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Gastos'!$A$1:$E$215</definedName>
    <definedName hidden="1" localSheetId="1" name="_xlnm._FilterDatabase">'Inventário de Lotes'!$A$1:$E$40</definedName>
    <definedName hidden="1" localSheetId="2" name="_xlnm._FilterDatabase">'Resumo Mensal'!$A$3:$G$123</definedName>
    <definedName hidden="1" localSheetId="3" name="_xlnm._FilterDatabase">Carteira!$A$1:$Z$92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Mq+R9ZRSDDtxWod/tpOJvkwjKNLm7L4ALMW5Pimgjeg="/>
    </ext>
  </extLst>
</workbook>
</file>

<file path=xl/sharedStrings.xml><?xml version="1.0" encoding="utf-8"?>
<sst xmlns="http://schemas.openxmlformats.org/spreadsheetml/2006/main" count="2220" uniqueCount="463">
  <si>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</si>
  <si>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</si>
  <si>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</si>
  <si>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</si>
  <si>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</si>
  <si>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</si>
  <si>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</si>
  <si>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</si>
  <si>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</si>
  <si>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</si>
  <si>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</si>
  <si>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</si>
  <si>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</si>
  <si>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</si>
  <si>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</si>
  <si>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</si>
  <si>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</si>
  <si>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</si>
  <si>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</si>
  <si>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</si>
  <si>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</si>
  <si>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</si>
  <si>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</si>
  <si>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</si>
  <si>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</si>
  <si>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</si>
  <si>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</si>
  <si>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</si>
  <si>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7800 abr.</t>
  </si>
  <si>
    <t>Internet</t>
  </si>
  <si>
    <t>Lote 900 mar.</t>
  </si>
  <si>
    <t>Material</t>
  </si>
  <si>
    <t>Total geral</t>
  </si>
  <si>
    <t>Escola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</si>
  <si>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</si>
  <si>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</si>
  <si>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</si>
  <si>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</si>
  <si>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</si>
  <si>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</si>
  <si>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</si>
  <si>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</si>
  <si>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</si>
  <si>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</si>
  <si>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</si>
  <si>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</si>
  <si>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</si>
  <si>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</si>
  <si>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</si>
  <si>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</si>
  <si>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</si>
  <si>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</si>
  <si>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</si>
  <si>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</si>
  <si>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</si>
  <si>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</si>
  <si>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</si>
  <si>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</si>
  <si>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</si>
  <si>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Tratamento Lara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</si>
  <si>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</si>
  <si>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</si>
  <si>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</si>
  <si>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</si>
  <si>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</si>
  <si>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</si>
  <si>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</si>
  <si>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</si>
  <si>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</si>
  <si>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</si>
  <si>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Lote 3000 mar. V</t>
  </si>
  <si>
    <t>CDB XP 230%</t>
  </si>
  <si>
    <t>Lote 3000 mar. B</t>
  </si>
  <si>
    <t>-</t>
  </si>
  <si>
    <t>Lote 8500 mar.</t>
  </si>
  <si>
    <t>CDB Sofisa 105%</t>
  </si>
  <si>
    <t>CDB Neon Planejado 150% CDI - 60 dias</t>
  </si>
  <si>
    <t>Lote 7000 mai.</t>
  </si>
  <si>
    <t>Lote 3600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</si>
  <si>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</si>
  <si>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</si>
  <si>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</si>
  <si>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</si>
  <si>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</si>
  <si>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</si>
  <si>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</si>
  <si>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</si>
  <si>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</si>
  <si>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</si>
  <si>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</si>
  <si>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</si>
  <si>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</si>
  <si>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</si>
  <si>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</si>
  <si>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</si>
  <si>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</si>
  <si>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</si>
  <si>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</si>
  <si>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</si>
  <si>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</si>
  <si>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</si>
  <si>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Resumo mensal automático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</si>
  <si>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</si>
  <si>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</si>
  <si>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</si>
  <si>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</si>
  <si>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</si>
  <si>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</si>
  <si>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</si>
  <si>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</si>
  <si>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</si>
  <si>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</si>
  <si>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</si>
  <si>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</si>
  <si>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</si>
  <si>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</si>
  <si>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</si>
  <si>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</si>
  <si>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</si>
  <si>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</si>
  <si>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</si>
  <si>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</si>
  <si>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</si>
  <si>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</si>
  <si>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</si>
  <si>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</si>
  <si>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</si>
  <si>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</si>
  <si>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</si>
  <si>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</si>
  <si>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</si>
  <si>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</si>
  <si>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</si>
  <si>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</si>
  <si>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</si>
  <si>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</si>
  <si>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</si>
  <si>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</si>
  <si>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</si>
  <si>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</si>
  <si>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</si>
  <si>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</si>
  <si>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</si>
  <si>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</si>
  <si>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</si>
  <si>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</si>
  <si>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</si>
  <si>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</si>
  <si>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ACE Capital Multicenários FC FIF MULT - RL</t>
  </si>
  <si>
    <t>266.87</t>
  </si>
  <si>
    <t>0.00</t>
  </si>
  <si>
    <t>Não</t>
  </si>
  <si>
    <t>pendente de confirmação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</si>
  <si>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</si>
  <si>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</si>
  <si>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</si>
  <si>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</si>
  <si>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</si>
  <si>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</si>
  <si>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</si>
  <si>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</si>
  <si>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</si>
  <si>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ARX Fuji FIC de FIF RF CP RL</t>
  </si>
  <si>
    <t>103.94</t>
  </si>
  <si>
    <t>CDI</t>
  </si>
  <si>
    <t>Rentab, bruta 12M 15,31%; 103,94% do CDI; Aplicação D+0; Resgate D+0 + liquidação D+1; Mov, mínima e saldo mínimo R$ 1,000; Risco 4/baixo</t>
  </si>
  <si>
    <t>ARX</t>
  </si>
  <si>
    <t>Baixo</t>
  </si>
  <si>
    <t>Secundária</t>
  </si>
  <si>
    <t>CDB 3 Meses 100% CDI</t>
  </si>
  <si>
    <t>100.00</t>
  </si>
  <si>
    <t>CDB</t>
  </si>
  <si>
    <t>Perna base do combo</t>
  </si>
  <si>
    <t>Pendente de confirmação</t>
  </si>
  <si>
    <t>Aplicação_Máxima, Banco_Emissor, Produto_Base, Produto_Bonus, Ratio_Base, Ratio_Bonus, Score_Banco, Max_Usos</t>
  </si>
  <si>
    <t>CDB 6 Meses 100% CDI</t>
  </si>
  <si>
    <t>CDB BMG DI 109% CDI - 1 ano</t>
  </si>
  <si>
    <t>109.00</t>
  </si>
  <si>
    <t>Resgate no vencimento; IR 17,5%; Perfil conservador; Risco baixo</t>
  </si>
  <si>
    <t>BMG</t>
  </si>
  <si>
    <t>CDB BMG DI 110% CDI - 6 anos</t>
  </si>
  <si>
    <t>110.00</t>
  </si>
  <si>
    <t>Resgate no vencimento; IR 15%; Perfil moderado; Risco moderado</t>
  </si>
  <si>
    <t>Moderado</t>
  </si>
  <si>
    <t>CDB BMG DI 111% CDI - 2 anos</t>
  </si>
  <si>
    <t>111.00</t>
  </si>
  <si>
    <t>Resgate no vencimento; IR 15%; Perfil conservador; Risco baixo</t>
  </si>
  <si>
    <t>CDB BMG DI 112% CDI - 3 anos</t>
  </si>
  <si>
    <t>112.00</t>
  </si>
  <si>
    <t>CDB BMG DI 113% CDI - 4 anos</t>
  </si>
  <si>
    <t>113.00</t>
  </si>
  <si>
    <t>CDB BMG DI 114% CDI - 5 anos</t>
  </si>
  <si>
    <t>114.00</t>
  </si>
  <si>
    <t>CDB BMG DI Renda Mensal 108% CDI - 3 anos</t>
  </si>
  <si>
    <t>108.00</t>
  </si>
  <si>
    <t>Pagamento de juros mensal; Resgate no vencimento; Perfil conservador; Risco baixo</t>
  </si>
  <si>
    <t>Aplicação_Mínima, Aplicação_Máxima, Score_Banco, Max_Usos</t>
  </si>
  <si>
    <t>CDB BMG Duplo Indexado - 2 anos</t>
  </si>
  <si>
    <t>13.16</t>
  </si>
  <si>
    <t>CDI ou Pré</t>
  </si>
  <si>
    <t>Alternativa: 100% do CDI ou prefixado 13,16% a,a,; Resgate no vencimento; IR 15%; Perfil conservador; Risco baixo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</si>
  <si>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</si>
  <si>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</si>
  <si>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</si>
  <si>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105.00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</si>
  <si>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</si>
  <si>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</si>
  <si>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</si>
  <si>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CDB BMG IPCA+ 8,65% - 5 anos</t>
  </si>
  <si>
    <t>8.65</t>
  </si>
  <si>
    <t>IPCA+</t>
  </si>
  <si>
    <t>CDB BMG IPCA+ 8,68% - 3 anos</t>
  </si>
  <si>
    <t>8.68</t>
  </si>
  <si>
    <t>CDB BMG IPCA+ 8,69% - 4 anos</t>
  </si>
  <si>
    <t>8.69</t>
  </si>
  <si>
    <t>CDB BMG IPCA+ 9,01% - 2 anos</t>
  </si>
  <si>
    <t>CDB BMG Pré 14,84% - 3 anos</t>
  </si>
  <si>
    <t>14.84</t>
  </si>
  <si>
    <t>Pré</t>
  </si>
  <si>
    <t>CDB BMG Pré 14,88% - 2 anos</t>
  </si>
  <si>
    <t>14.88</t>
  </si>
  <si>
    <t>CDB BMG Pré 14,90% - 4 anos</t>
  </si>
  <si>
    <t>14.90</t>
  </si>
  <si>
    <t>CDB BMG Pré 14,96% - 5 anos</t>
  </si>
  <si>
    <t>14.96</t>
  </si>
  <si>
    <t>CDB BMG Super Poupança</t>
  </si>
  <si>
    <t>107.00</t>
  </si>
  <si>
    <t>Selic</t>
  </si>
  <si>
    <t>Emissor: BMG | 107,00% da Selic | prazo 1096 dias | carência 0 dias | aplicação mínima R$ 50,00 | aplicação máxima R$ 500,000,000,00 | FGC</t>
  </si>
  <si>
    <t>Confirmado</t>
  </si>
  <si>
    <t>Score_Banco, Max_Usos</t>
  </si>
  <si>
    <t>CDB BTG 15,00% Prefixado</t>
  </si>
  <si>
    <t>15.00</t>
  </si>
  <si>
    <t>Prefixado</t>
  </si>
  <si>
    <t>Oportunidade BTG</t>
  </si>
  <si>
    <t>BTG</t>
  </si>
  <si>
    <t>CDB Digimais 140%</t>
  </si>
  <si>
    <t>140.00</t>
  </si>
  <si>
    <t>Taxa fixa alta</t>
  </si>
  <si>
    <t>Digimais</t>
  </si>
  <si>
    <t>CDB InfinitePay 106%</t>
  </si>
  <si>
    <t>106.00</t>
  </si>
  <si>
    <t>Emissor: InfinitePay | 106,00% do CDI | prazo 91 dias | carência 31 dias | aplicação mínima R$ 1,00 | FGC</t>
  </si>
  <si>
    <t>InfinitePay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</si>
  <si>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</si>
  <si>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</si>
  <si>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</si>
  <si>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</si>
  <si>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</si>
  <si>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</si>
  <si>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116.00</t>
  </si>
  <si>
    <t>Vencimento 10/10/2026; Rendimento desde o 1º dia útil; Após o vencimento rende 100% CDI com resgate 24h; Risco baixo</t>
  </si>
  <si>
    <t>CDB Neon Planejado 119% CDI - 361 dias</t>
  </si>
  <si>
    <t>119.00</t>
  </si>
  <si>
    <t>Vencimento 08/04/2027; Rendimento desde o 1º dia útil; Após o vencimento rende 100% CDI com resgate 24h; Risco baixo</t>
  </si>
  <si>
    <t>CDB Neon Planejado 120% CDI - 721 dias</t>
  </si>
  <si>
    <t>120.00</t>
  </si>
  <si>
    <t>Vencimento 02/04/2028; Rendimento desde o 1º dia útil; Após o vencimento rende 100% CDI com resgate 24h; Risco baixo</t>
  </si>
  <si>
    <t>150.00</t>
  </si>
  <si>
    <t>Vencimento 11/06/2026; Rendimento desde o 1º dia útil; Após o vencimento rende 100% CDI com resgate 24h; Risco baixo</t>
  </si>
  <si>
    <t>CDB Neon Resgate Diário 100% CDI</t>
  </si>
  <si>
    <t>Vencimento 27/03/2029; Resgate 24h por dia; Rendimento desde o 1º dia útil; Risco baixo</t>
  </si>
  <si>
    <t>CDB PagBank 104%</t>
  </si>
  <si>
    <t>104.00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</si>
  <si>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</si>
  <si>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Muito Baixo</t>
  </si>
  <si>
    <t>Banco_Emissor, Score_Banco, Max_Usos</t>
  </si>
  <si>
    <t>CDB PagBank 105%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</si>
  <si>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</si>
  <si>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14,80%</t>
  </si>
  <si>
    <t>14.80</t>
  </si>
  <si>
    <t>PagBank 11/04/2026 | BancoSeguro | 14,80% a,a, | vencimento 01/04/2028 | resgate no vencimento | carência até 01/04/2028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</si>
  <si>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</si>
  <si>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</si>
  <si>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</si>
  <si>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</si>
  <si>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PagBank IPCA+ 8,40%</t>
  </si>
  <si>
    <t>8.40</t>
  </si>
  <si>
    <t>IPCA</t>
  </si>
  <si>
    <t>PagBank 11/04/2026 | BancoSeguro | IPCA + 8,40% a,a, | vencimento 11/04/2027 | resgate no vencimento | carência até 11/04/2027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</si>
  <si>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</si>
  <si>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</si>
  <si>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PicPay Bank</t>
  </si>
  <si>
    <t>Aplicação_Máxima, Produto_Base, Produto_Bonus, Ratio_Base, Ratio_Bonus, Score_Banco, Max_Usos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</si>
  <si>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</si>
  <si>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</si>
  <si>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</si>
  <si>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107.25</t>
  </si>
  <si>
    <t>PicPay 11/04/2026 | 107,25% do CDI | vencimento 13/10/2027 | resgate no vencimento | aplicação mínima R$ 100,00</t>
  </si>
  <si>
    <t>CDB Sofisa 102% 366d</t>
  </si>
  <si>
    <t>102.00</t>
  </si>
  <si>
    <t>Sofisa | CDBs Pós Fixados | 102,00% do CDI | prazo 366 dias | resgate antecipado inativo | liquidez no vencimento | aplicação mínima R$ 1,00 | IR não isento | grau de risco baixo</t>
  </si>
  <si>
    <t>Sofisa</t>
  </si>
  <si>
    <t>Sofisa | CDB Liquidez Diária | 105,00% do CDI | prazo 1086 dias | resgate antecipado ativo | liquidez diária | aplicação mínima R$ 1,00 | IR não isento | grau de risco baixo</t>
  </si>
  <si>
    <t>103.00</t>
  </si>
  <si>
    <t>130.00</t>
  </si>
  <si>
    <t>30.00</t>
  </si>
  <si>
    <t>Desativado</t>
  </si>
  <si>
    <t>Aplicação_Máxima, Banco_Emissor, Score_Banco, Max_Usos</t>
  </si>
  <si>
    <t>CDB XP 150%</t>
  </si>
  <si>
    <t>Emissor: XP | 150,00% do CDI | prazo 60 dias | carência 0 dias | aplicação mínima R$ 10,000,00 | aplicação máxima R$ 60,000,00 | FGC</t>
  </si>
  <si>
    <t>XP</t>
  </si>
  <si>
    <t>230.00</t>
  </si>
  <si>
    <t>Emissor: XP | 230,00% do CDI | prazo 60 dias | carência 0 dias | aplicação mínima R$ 100,00 | aplicação máxima R$ 3,000,00 | FGC</t>
  </si>
  <si>
    <t>Combo PicPay 100-115</t>
  </si>
  <si>
    <t>115.00</t>
  </si>
  <si>
    <t>Combo</t>
  </si>
  <si>
    <t>CDB Picpay 100%</t>
  </si>
  <si>
    <t>CDB Picpay 115%</t>
  </si>
  <si>
    <t>PicPay 11/04/2026 | combo atual visto no app: investir no CDB base 100% do CDI para desbloquear oferta de 115% do CDI | proporção explícita de 2:1 (cada R$ 200,00 no base libera R$ 100,00 no bônus) | saldo disponível para investir no combo estava R$ 0,00 na captura</t>
  </si>
  <si>
    <t>PicPay</t>
  </si>
  <si>
    <t>Observação/Oportunidade</t>
  </si>
  <si>
    <t>Combo PicPay 100-120 3m</t>
  </si>
  <si>
    <t>CDB Picpay 120% 3m</t>
  </si>
  <si>
    <t>PicPay 11/04/2026 | existe oferta condicional de 120% do CDI associada ao CDB base de 3 meses 100% do CDI | regra exata de desbloqueio não foi exibida nesta captura; linha mantida apenas como referência do combo</t>
  </si>
  <si>
    <t>Aplicação_Mínima, Aplicação_Máxima, Ratio_Base, Ratio_Bonus, Score_Banco, Max_Usos</t>
  </si>
  <si>
    <t>Combo PicPay 100-120 6m</t>
  </si>
  <si>
    <t>CDB Picpay 120% 6m</t>
  </si>
  <si>
    <t>PicPay 11/04/2026 | existe oferta condicional de 120% do CDI associada ao CDB base de 6 meses 100% do CDI | regra exata de desbloqueio não foi exibida nesta captura; linha mantida apenas como referência do combo</t>
  </si>
  <si>
    <t>Compromissada ABC 80% CDI</t>
  </si>
  <si>
    <t>80.00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</si>
  <si>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</si>
  <si>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</si>
  <si>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</si>
  <si>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</si>
  <si>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</si>
  <si>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</si>
  <si>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</si>
  <si>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</si>
  <si>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115.75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</si>
  <si>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</si>
  <si>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</si>
  <si>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</si>
  <si>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</si>
  <si>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119.16</t>
  </si>
  <si>
    <t>PicPay 11/04/2026 | CDI + 2,50% a,a, | equivalente a 119,16% do CDI | vencimento 05/05/2028 | tipo/FGC/risco não visíveis no screenshot; classificação conservadora</t>
  </si>
  <si>
    <t>J&amp;F Investimentos 3 meses</t>
  </si>
  <si>
    <t>104.41</t>
  </si>
  <si>
    <t>PicPay 11/04/2026 | 15,40% a,a, | equivalente a 104,41% do CDI | vencimento 05/08/2026 | tipo/FGC/risco não visíveis no screenshot; classificação conservadora</t>
  </si>
  <si>
    <t>J&amp;F Investimentos 6 meses</t>
  </si>
  <si>
    <t>108.76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</si>
  <si>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</si>
  <si>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</si>
  <si>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</si>
  <si>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</si>
  <si>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LCA BTG Prefixado 5 anos</t>
  </si>
  <si>
    <t>10.84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</si>
  <si>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</si>
  <si>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</si>
  <si>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</si>
  <si>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88.00</t>
  </si>
  <si>
    <t>Liquidez após 90 dias</t>
  </si>
  <si>
    <t>Inter</t>
  </si>
  <si>
    <t>LCA IPCA+ 5,50% 3 anos</t>
  </si>
  <si>
    <t>5.50</t>
  </si>
  <si>
    <t>Emissor: Genérico FGC | IPCA + 5,50% | prazo 1080 dias | carência 1080 dias | aplicação mínima R$ 1,000,00 | FGC | isento de IR</t>
  </si>
  <si>
    <t>LCA Original Pós-Fixado 2 anos</t>
  </si>
  <si>
    <t>93.50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</si>
  <si>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</si>
  <si>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</si>
  <si>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</si>
  <si>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</si>
  <si>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</si>
  <si>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11.86</t>
  </si>
  <si>
    <t>PicPay 11/04/2026 | 11,86% a,a, | vencimento 10/04/2028 | resgate no vencimento | ativo garantido pelo FGC | aplicação mínima não visível no screenshot</t>
  </si>
  <si>
    <t>LCA Original Prefixado 3 anos</t>
  </si>
  <si>
    <t>11.80</t>
  </si>
  <si>
    <t>PicPay 11/04/2026 | 11,80% a,a, | vencimento 09/04/2029 | resgate no vencimento | ativo garantido pelo FGC | aplicação mínima não visível no screenshot</t>
  </si>
  <si>
    <t>LCA Rabobank Merge</t>
  </si>
  <si>
    <t>Emissor: Rabobank | 93,50% do CDI | prazo 360 dias | carência 360 dias | aplicação mínima R$ 1,000,00 | FGC | isento de IR</t>
  </si>
  <si>
    <t>Rabobank</t>
  </si>
  <si>
    <t>LCI Daycoval Merge</t>
  </si>
  <si>
    <t>92.00</t>
  </si>
  <si>
    <t>LCI</t>
  </si>
  <si>
    <t>Emissor: Daycoval | 92,00% do CDI | prazo 180 dias | carência 180 dias | aplicação mínima R$ 1,000,00 | FGC | isento de IR</t>
  </si>
  <si>
    <t>Daycoval</t>
  </si>
  <si>
    <t>LCI IPCA+ 5,82% 2 anos</t>
  </si>
  <si>
    <t>5.82</t>
  </si>
  <si>
    <t>Emissor: Genérico FGC | IPCA + 5,82% | prazo 720 dias | carência 720 dias | aplicação mínima R$ 1,000,00 | FGC | isento de IR</t>
  </si>
  <si>
    <t>LCI Pós 100% CDI 12m</t>
  </si>
  <si>
    <t>Emissor: Genérico FGC | 100,00% do CDI | prazo 360 dias | carência 360 dias | aplicação mínima R$ 1,000,00 | FGC | isento de IR</t>
  </si>
  <si>
    <t>LCI Prefixada 11,46% 12m</t>
  </si>
  <si>
    <t>11.46</t>
  </si>
  <si>
    <t>Emissor: Genérico FGC | 11,46% a,a, | prazo 360 dias | carência 360 dias | aplicação mínima R$ 1,000,00 | FGC | isento de IR</t>
  </si>
  <si>
    <t>Mapfre Confianza FIF RF Referenciado DI CP RL</t>
  </si>
  <si>
    <t>104.21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</si>
  <si>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</si>
  <si>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</si>
  <si>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</si>
  <si>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</si>
  <si>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</si>
  <si>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Mercado Pago Cofrinho 120% CDI (Meli+)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</si>
  <si>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</si>
  <si>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</si>
  <si>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110.37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</si>
  <si>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</si>
  <si>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</si>
  <si>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</si>
  <si>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7.67</t>
  </si>
  <si>
    <t>37.09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</si>
  <si>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</si>
  <si>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</si>
  <si>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Educa+ 2028</t>
  </si>
  <si>
    <t>7.63</t>
  </si>
  <si>
    <t>34.52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</si>
  <si>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</si>
  <si>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</si>
  <si>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7.60</t>
  </si>
  <si>
    <t>32.13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</si>
  <si>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</si>
  <si>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</si>
  <si>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7.56</t>
  </si>
  <si>
    <t>29.93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</si>
  <si>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</si>
  <si>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</si>
  <si>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7.50</t>
  </si>
  <si>
    <t>27.95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</si>
  <si>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</si>
  <si>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</si>
  <si>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7.44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</si>
  <si>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</si>
  <si>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</si>
  <si>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7.38</t>
  </si>
  <si>
    <t>24.45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</si>
  <si>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</si>
  <si>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</si>
  <si>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7.31</t>
  </si>
  <si>
    <t>22.93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</si>
  <si>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</si>
  <si>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</si>
  <si>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7.57</t>
  </si>
  <si>
    <t>29.48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</si>
  <si>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</si>
  <si>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</si>
  <si>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5.80</t>
  </si>
  <si>
    <t>Emissor: Tesouro | IPCA + 5,80% | prazo 3285 dias | carência 0 dias | aplicação mínima R$ 30,00</t>
  </si>
  <si>
    <t>Tesouro IPCA+ com Juros Semestrais 2037</t>
  </si>
  <si>
    <t>7.34</t>
  </si>
  <si>
    <t>43.42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</si>
  <si>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</si>
  <si>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</si>
  <si>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13.39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</si>
  <si>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</si>
  <si>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</si>
  <si>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1.00</t>
  </si>
  <si>
    <t>Emissor: Tesouro | 1,00% da Selic | prazo 1095 dias | carência 0 dias | aplicação mínima R$ 30,00</t>
  </si>
  <si>
    <t>Tesouro Selic 2031</t>
  </si>
  <si>
    <t>0.09</t>
  </si>
  <si>
    <t>187.06</t>
  </si>
  <si>
    <t>Tesouro Direto via Sofisa | Tesouro Selic 2031 | Selic + 0,09% a,a, | vencimento 01/03/2031 | valor unitário R$ 18,706,17 | aplicação mínima R$ 187,06 | liquidez diária no ambiente Tesouro Direto</t>
  </si>
  <si>
    <t>Trend Bolsas Globais FIA RL</t>
  </si>
  <si>
    <t>267.89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</si>
  <si>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</si>
  <si>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</si>
  <si>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</si>
  <si>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338.42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</si>
  <si>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</si>
  <si>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</si>
  <si>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100.47</t>
  </si>
  <si>
    <t>Rentab, bruta 12M 14,81%; 100,47% do CDI; Aplicação D+0; Resgate D+0 + liquidação D+0; Mov, mínima e saldo mínimo R$ 100; Risco 1/baixo</t>
  </si>
  <si>
    <t>Trend Ouro FIF Multi RL</t>
  </si>
  <si>
    <t>441.89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</si>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</sst>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/d/yyyy"/>
    <numFmt numFmtId="165" formatCode="0.000"/>
    <numFmt numFmtId="166" formatCode="dd/mm"/>
    <numFmt numFmtId="167" formatCode="&quot;R$ &quot;#,##0.00;[Red]&quot;-R$ &quot;#,##0.00"/>
    <numFmt numFmtId="168" formatCode="d.m"/>
    <numFmt numFmtId="169" formatCode="dd.mm"/>
  </numFmts>
  <fonts count="16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FFF2CC"/>
        <bgColor rgb="FFFFF2CC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9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ill="1" applyFont="1">
      <alignment horizontal="left" readingOrder="0" shrinkToFit="0" vertical="bottom" wrapText="0"/>
    </xf>
    <xf borderId="0" fillId="0" fontId="8" numFmtId="168" xfId="0" applyAlignment="1" applyFont="1" applyNumberFormat="1">
      <alignment horizontal="righ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0" fontId="8" numFmtId="169" xfId="0" applyAlignment="1" applyFont="1" applyNumberFormat="1">
      <alignment horizontal="right" readingOrder="0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1865465879"/>
        <c:axId val="811568571"/>
      </c:barChart>
      <c:catAx>
        <c:axId val="18654658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811568571"/>
      </c:catAx>
      <c:valAx>
        <c:axId val="8115685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865465879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04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350.01"/>
        <n v="98.98"/>
        <n v="113.31"/>
        <n v="530.0"/>
        <n v="1500.0"/>
        <n v="195.0"/>
        <n v="95.05"/>
        <n v="7200.0"/>
        <n v="580.0"/>
        <n v="930.0"/>
        <n v="68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4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57"/>
    <col customWidth="1" min="2" max="2" width="18.86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G15" s="12"/>
      <c r="H15" s="21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G16" s="12"/>
      <c r="H16" s="21"/>
      <c r="I16" s="14"/>
      <c r="J16" s="14"/>
    </row>
    <row r="17" ht="14.25" customHeight="1">
      <c r="A17" s="1">
        <v>46113.0</v>
      </c>
      <c r="B17" s="8" t="s">
        <v>34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35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36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37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38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39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40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37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36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41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42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41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42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43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44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45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46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47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38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48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46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49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50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51</v>
      </c>
      <c r="C53" s="9">
        <v>150.0</v>
      </c>
      <c r="D53" s="10" t="s">
        <v>7</v>
      </c>
      <c r="E53" s="2" t="s">
        <v>28</v>
      </c>
      <c r="G53" s="9"/>
      <c r="H53" s="28"/>
    </row>
    <row r="54" ht="14.25" customHeight="1">
      <c r="A54" s="1">
        <v>46114.0</v>
      </c>
      <c r="B54" s="8" t="s">
        <v>39</v>
      </c>
      <c r="C54" s="9">
        <v>5310.25</v>
      </c>
      <c r="D54" s="10" t="s">
        <v>7</v>
      </c>
      <c r="E54" s="2" t="s">
        <v>28</v>
      </c>
      <c r="G54" s="9"/>
      <c r="H54" s="28"/>
    </row>
    <row r="55" ht="14.25" customHeight="1">
      <c r="A55" s="1">
        <v>46114.0</v>
      </c>
      <c r="B55" s="8" t="s">
        <v>52</v>
      </c>
      <c r="C55" s="9">
        <v>170.0</v>
      </c>
      <c r="D55" s="8" t="s">
        <v>7</v>
      </c>
      <c r="E55" s="2" t="s">
        <v>28</v>
      </c>
      <c r="G55" s="9"/>
      <c r="H55" s="28"/>
    </row>
    <row r="56" ht="14.25" customHeight="1">
      <c r="A56" s="1">
        <v>46114.0</v>
      </c>
      <c r="B56" s="8" t="s">
        <v>53</v>
      </c>
      <c r="C56" s="9">
        <v>900.0</v>
      </c>
      <c r="D56" s="10" t="s">
        <v>7</v>
      </c>
      <c r="E56" s="2" t="s">
        <v>28</v>
      </c>
      <c r="G56" s="9"/>
      <c r="H56" s="28"/>
    </row>
    <row r="57" ht="14.25" customHeight="1">
      <c r="A57" s="1">
        <v>46114.0</v>
      </c>
      <c r="B57" s="8" t="s">
        <v>54</v>
      </c>
      <c r="C57" s="9">
        <v>170.0</v>
      </c>
      <c r="D57" s="10" t="s">
        <v>7</v>
      </c>
      <c r="E57" s="2" t="s">
        <v>28</v>
      </c>
      <c r="G57" s="9"/>
      <c r="H57" s="28"/>
    </row>
    <row r="58" ht="14.25" customHeight="1">
      <c r="A58" s="1">
        <v>46114.0</v>
      </c>
      <c r="B58" s="8" t="s">
        <v>55</v>
      </c>
      <c r="C58" s="9">
        <v>52.0</v>
      </c>
      <c r="D58" s="8" t="s">
        <v>7</v>
      </c>
      <c r="E58" s="2" t="s">
        <v>28</v>
      </c>
      <c r="G58" s="9"/>
      <c r="H58" s="28"/>
    </row>
    <row r="59" ht="14.25" customHeight="1">
      <c r="A59" s="1">
        <v>46114.0</v>
      </c>
      <c r="B59" s="8" t="s">
        <v>56</v>
      </c>
      <c r="C59" s="9">
        <v>120.0</v>
      </c>
      <c r="D59" s="10" t="s">
        <v>7</v>
      </c>
      <c r="E59" s="2" t="s">
        <v>28</v>
      </c>
      <c r="G59" s="9"/>
      <c r="H59" s="28"/>
    </row>
    <row r="60" ht="14.25" customHeight="1">
      <c r="A60" s="1">
        <v>46114.0</v>
      </c>
      <c r="B60" s="8" t="s">
        <v>57</v>
      </c>
      <c r="C60" s="9">
        <v>35.0</v>
      </c>
      <c r="D60" s="8" t="s">
        <v>7</v>
      </c>
      <c r="E60" s="2" t="s">
        <v>28</v>
      </c>
      <c r="G60" s="9"/>
      <c r="H60" s="28"/>
    </row>
    <row r="61" ht="14.25" customHeight="1">
      <c r="A61" s="23">
        <v>46118.0</v>
      </c>
      <c r="B61" s="8" t="s">
        <v>58</v>
      </c>
      <c r="C61" s="9">
        <v>950.0</v>
      </c>
      <c r="D61" s="10" t="s">
        <v>7</v>
      </c>
      <c r="E61" s="2" t="s">
        <v>28</v>
      </c>
      <c r="G61" s="9"/>
      <c r="H61" s="28"/>
    </row>
    <row r="62" ht="14.25" customHeight="1">
      <c r="A62" s="1">
        <v>46087.0</v>
      </c>
      <c r="B62" s="8" t="s">
        <v>49</v>
      </c>
      <c r="C62" s="9">
        <v>136.15</v>
      </c>
      <c r="D62" s="10" t="s">
        <v>7</v>
      </c>
      <c r="E62" s="8" t="s">
        <v>30</v>
      </c>
      <c r="G62" s="9"/>
      <c r="H62" s="28"/>
    </row>
    <row r="63" ht="14.25" customHeight="1">
      <c r="A63" s="1">
        <v>46087.0</v>
      </c>
      <c r="B63" s="8" t="s">
        <v>58</v>
      </c>
      <c r="C63" s="9">
        <v>800.0</v>
      </c>
      <c r="D63" s="10" t="s">
        <v>7</v>
      </c>
      <c r="E63" s="2" t="s">
        <v>30</v>
      </c>
      <c r="G63" s="9"/>
      <c r="H63" s="28"/>
    </row>
    <row r="64" ht="14.25" customHeight="1">
      <c r="A64" s="23">
        <v>46132.0</v>
      </c>
      <c r="B64" s="2" t="s">
        <v>23</v>
      </c>
      <c r="C64" s="19">
        <v>6350.01</v>
      </c>
      <c r="G64" s="9"/>
      <c r="H64" s="28"/>
    </row>
    <row r="65" ht="14.25" customHeight="1">
      <c r="A65" s="23">
        <v>46132.0</v>
      </c>
      <c r="B65" s="8" t="s">
        <v>41</v>
      </c>
      <c r="C65" s="9">
        <v>98.98</v>
      </c>
      <c r="G65" s="9"/>
      <c r="H65" s="28"/>
    </row>
    <row r="66" ht="14.25" customHeight="1">
      <c r="A66" s="23">
        <v>46132.0</v>
      </c>
      <c r="B66" s="8" t="s">
        <v>38</v>
      </c>
      <c r="C66" s="9">
        <v>113.31</v>
      </c>
      <c r="G66" s="9"/>
      <c r="H66" s="28"/>
    </row>
    <row r="67" ht="14.25" customHeight="1">
      <c r="A67" s="1">
        <v>46141.0</v>
      </c>
      <c r="B67" s="8" t="s">
        <v>59</v>
      </c>
      <c r="C67" s="9">
        <v>530.0</v>
      </c>
      <c r="G67" s="9"/>
      <c r="H67" s="28"/>
    </row>
    <row r="68" ht="14.25" customHeight="1">
      <c r="A68" s="1">
        <v>46146.0</v>
      </c>
      <c r="B68" s="8" t="s">
        <v>39</v>
      </c>
      <c r="C68" s="9">
        <v>1500.0</v>
      </c>
      <c r="G68" s="9"/>
      <c r="H68" s="28"/>
    </row>
    <row r="69" ht="14.25" customHeight="1">
      <c r="A69" s="23">
        <v>46148.0</v>
      </c>
      <c r="B69" s="8" t="s">
        <v>49</v>
      </c>
      <c r="C69" s="9">
        <v>195.0</v>
      </c>
      <c r="G69" s="9"/>
      <c r="H69" s="28"/>
    </row>
    <row r="70" ht="14.25" customHeight="1">
      <c r="A70" s="23">
        <v>46148.0</v>
      </c>
      <c r="B70" s="8" t="s">
        <v>58</v>
      </c>
      <c r="C70" s="9">
        <v>950.0</v>
      </c>
      <c r="G70" s="9"/>
      <c r="H70" s="28"/>
    </row>
    <row r="71" ht="14.25" customHeight="1">
      <c r="A71" s="23">
        <v>46150.0</v>
      </c>
      <c r="B71" s="8" t="s">
        <v>50</v>
      </c>
      <c r="C71" s="9">
        <v>120.0</v>
      </c>
      <c r="G71" s="9"/>
      <c r="H71" s="28"/>
    </row>
    <row r="72" ht="14.25" customHeight="1">
      <c r="A72" s="1">
        <v>46152.0</v>
      </c>
      <c r="B72" s="2" t="s">
        <v>36</v>
      </c>
      <c r="C72" s="9">
        <v>65.0</v>
      </c>
      <c r="G72" s="9"/>
      <c r="H72" s="28"/>
    </row>
    <row r="73" ht="14.25" customHeight="1">
      <c r="A73" s="23">
        <v>46153.0</v>
      </c>
      <c r="B73" s="8" t="s">
        <v>41</v>
      </c>
      <c r="C73" s="9">
        <v>95.05</v>
      </c>
      <c r="G73" s="9"/>
      <c r="H73" s="28"/>
    </row>
    <row r="74" ht="14.25" customHeight="1">
      <c r="A74" s="23">
        <v>46154.0</v>
      </c>
      <c r="B74" s="8" t="s">
        <v>25</v>
      </c>
      <c r="C74" s="9">
        <v>981.95</v>
      </c>
      <c r="G74" s="9"/>
      <c r="H74" s="28"/>
    </row>
    <row r="75" ht="14.25" customHeight="1">
      <c r="A75" s="23">
        <v>46154.0</v>
      </c>
      <c r="B75" s="8" t="s">
        <v>33</v>
      </c>
      <c r="C75" s="3">
        <v>2831.4</v>
      </c>
      <c r="G75" s="9"/>
      <c r="H75" s="28"/>
    </row>
    <row r="76" ht="14.25" customHeight="1">
      <c r="A76" s="23">
        <v>46154.0</v>
      </c>
      <c r="B76" s="8" t="s">
        <v>42</v>
      </c>
      <c r="C76" s="9">
        <v>50.0</v>
      </c>
      <c r="G76" s="9"/>
      <c r="H76" s="28"/>
    </row>
    <row r="77" ht="14.25" customHeight="1">
      <c r="A77" s="23">
        <v>46157.0</v>
      </c>
      <c r="B77" s="8" t="s">
        <v>29</v>
      </c>
      <c r="C77" s="9">
        <v>132.4</v>
      </c>
      <c r="G77" s="9"/>
      <c r="H77" s="28"/>
    </row>
    <row r="78" ht="14.25" customHeight="1">
      <c r="A78" s="23">
        <v>46162.0</v>
      </c>
      <c r="B78" s="2" t="s">
        <v>23</v>
      </c>
      <c r="C78" s="9">
        <v>7200.0</v>
      </c>
      <c r="G78" s="9"/>
      <c r="H78" s="28"/>
    </row>
    <row r="79" ht="14.25" customHeight="1">
      <c r="A79" s="23">
        <v>46162.0</v>
      </c>
      <c r="B79" s="8" t="s">
        <v>38</v>
      </c>
      <c r="C79" s="9">
        <v>113.31</v>
      </c>
      <c r="G79" s="9"/>
      <c r="H79" s="28"/>
    </row>
    <row r="80" ht="14.25" customHeight="1">
      <c r="A80" s="1">
        <v>46175.0</v>
      </c>
      <c r="B80" s="8" t="s">
        <v>39</v>
      </c>
      <c r="C80" s="9">
        <v>580.0</v>
      </c>
      <c r="G80" s="9"/>
      <c r="H80" s="28"/>
    </row>
    <row r="81" ht="14.25" customHeight="1">
      <c r="A81" s="23">
        <v>46178.0</v>
      </c>
      <c r="B81" s="8" t="s">
        <v>49</v>
      </c>
      <c r="C81" s="9">
        <v>195.0</v>
      </c>
      <c r="G81" s="9"/>
      <c r="H81" s="28"/>
    </row>
    <row r="82" ht="14.25" customHeight="1">
      <c r="A82" s="23">
        <v>46178.0</v>
      </c>
      <c r="B82" s="8" t="s">
        <v>58</v>
      </c>
      <c r="C82" s="9">
        <v>950.0</v>
      </c>
      <c r="G82" s="9"/>
      <c r="H82" s="28"/>
    </row>
    <row r="83" ht="14.25" customHeight="1">
      <c r="A83" s="1">
        <v>46181.0</v>
      </c>
      <c r="B83" s="8" t="s">
        <v>50</v>
      </c>
      <c r="C83" s="9">
        <v>120.0</v>
      </c>
      <c r="G83" s="9"/>
      <c r="H83" s="28"/>
    </row>
    <row r="84" ht="14.25" customHeight="1">
      <c r="A84" s="1">
        <v>46183.0</v>
      </c>
      <c r="B84" s="2" t="s">
        <v>36</v>
      </c>
      <c r="C84" s="9">
        <v>65.0</v>
      </c>
      <c r="G84" s="9"/>
      <c r="H84" s="28"/>
    </row>
    <row r="85" ht="14.25" customHeight="1">
      <c r="A85" s="1">
        <v>46183.0</v>
      </c>
      <c r="B85" s="8" t="s">
        <v>42</v>
      </c>
      <c r="C85" s="9">
        <v>50.0</v>
      </c>
      <c r="G85" s="9"/>
      <c r="H85" s="28"/>
    </row>
    <row r="86" ht="14.25" customHeight="1">
      <c r="A86" s="1">
        <v>46183.0</v>
      </c>
      <c r="B86" s="8" t="s">
        <v>59</v>
      </c>
      <c r="C86" s="9">
        <v>530.0</v>
      </c>
      <c r="G86" s="9"/>
      <c r="H86" s="28"/>
    </row>
    <row r="87" ht="14.25" customHeight="1">
      <c r="A87" s="1">
        <v>46184.0</v>
      </c>
      <c r="B87" s="8" t="s">
        <v>41</v>
      </c>
      <c r="C87" s="9">
        <v>95.12</v>
      </c>
      <c r="G87" s="9"/>
      <c r="H87" s="28"/>
    </row>
    <row r="88" ht="14.25" customHeight="1">
      <c r="A88" s="23">
        <v>46185.0</v>
      </c>
      <c r="B88" s="8" t="s">
        <v>25</v>
      </c>
      <c r="C88" s="9">
        <v>981.95</v>
      </c>
      <c r="G88" s="9"/>
      <c r="H88" s="28"/>
    </row>
    <row r="89" ht="14.25" customHeight="1">
      <c r="A89" s="23">
        <v>46185.0</v>
      </c>
      <c r="B89" s="8" t="s">
        <v>33</v>
      </c>
      <c r="C89" s="3">
        <v>2831.4</v>
      </c>
      <c r="G89" s="9"/>
      <c r="H89" s="28"/>
    </row>
    <row r="90" ht="14.25" customHeight="1">
      <c r="A90" s="23">
        <v>46188.0</v>
      </c>
      <c r="B90" s="8" t="s">
        <v>29</v>
      </c>
      <c r="C90" s="9">
        <v>132.4</v>
      </c>
      <c r="G90" s="9"/>
      <c r="H90" s="28"/>
    </row>
    <row r="91" ht="14.25" customHeight="1">
      <c r="A91" s="23">
        <v>46192.0</v>
      </c>
      <c r="B91" s="2" t="s">
        <v>23</v>
      </c>
      <c r="C91" s="9">
        <v>7200.0</v>
      </c>
      <c r="G91" s="9"/>
      <c r="H91" s="28"/>
    </row>
    <row r="92" ht="14.25" customHeight="1">
      <c r="A92" s="23">
        <v>46192.0</v>
      </c>
      <c r="B92" s="8" t="s">
        <v>38</v>
      </c>
      <c r="C92" s="9">
        <v>113.31</v>
      </c>
      <c r="G92" s="9"/>
      <c r="H92" s="28"/>
    </row>
    <row r="93" ht="14.25" customHeight="1">
      <c r="A93" s="1">
        <v>46205.0</v>
      </c>
      <c r="B93" s="8" t="s">
        <v>39</v>
      </c>
      <c r="C93" s="9">
        <v>930.0</v>
      </c>
      <c r="G93" s="9"/>
      <c r="H93" s="28"/>
    </row>
    <row r="94" ht="14.25" customHeight="1">
      <c r="A94" s="23">
        <v>46209.0</v>
      </c>
      <c r="B94" s="8" t="s">
        <v>49</v>
      </c>
      <c r="C94" s="9">
        <v>195.0</v>
      </c>
      <c r="G94" s="9"/>
      <c r="H94" s="28"/>
    </row>
    <row r="95" ht="14.25" customHeight="1">
      <c r="A95" s="23">
        <v>46209.0</v>
      </c>
      <c r="B95" s="8" t="s">
        <v>58</v>
      </c>
      <c r="C95" s="9">
        <v>950.0</v>
      </c>
      <c r="G95" s="9"/>
      <c r="H95" s="28"/>
    </row>
    <row r="96" ht="14.25" customHeight="1">
      <c r="A96" s="23">
        <v>46211.0</v>
      </c>
      <c r="B96" s="8" t="s">
        <v>50</v>
      </c>
      <c r="C96" s="9">
        <v>120.0</v>
      </c>
      <c r="G96" s="9"/>
      <c r="H96" s="28"/>
    </row>
    <row r="97" ht="14.25" customHeight="1">
      <c r="A97" s="1">
        <v>46213.0</v>
      </c>
      <c r="B97" s="2" t="s">
        <v>36</v>
      </c>
      <c r="C97" s="9">
        <v>65.0</v>
      </c>
      <c r="G97" s="9"/>
      <c r="H97" s="28"/>
    </row>
    <row r="98" ht="14.25" customHeight="1">
      <c r="A98" s="23">
        <v>46216.0</v>
      </c>
      <c r="B98" s="8" t="s">
        <v>25</v>
      </c>
      <c r="C98" s="9">
        <v>981.95</v>
      </c>
      <c r="G98" s="9"/>
      <c r="H98" s="28"/>
    </row>
    <row r="99" ht="14.25" customHeight="1">
      <c r="A99" s="23">
        <v>46216.0</v>
      </c>
      <c r="B99" s="8" t="s">
        <v>41</v>
      </c>
      <c r="C99" s="9">
        <v>95.12</v>
      </c>
      <c r="G99" s="9"/>
      <c r="H99" s="28"/>
    </row>
    <row r="100" ht="14.25" customHeight="1">
      <c r="A100" s="23">
        <v>46216.0</v>
      </c>
      <c r="B100" s="8" t="s">
        <v>33</v>
      </c>
      <c r="C100" s="3">
        <v>2831.4</v>
      </c>
      <c r="G100" s="9"/>
      <c r="H100" s="28"/>
    </row>
    <row r="101" ht="14.25" customHeight="1">
      <c r="A101" s="23">
        <v>46218.0</v>
      </c>
      <c r="B101" s="8" t="s">
        <v>29</v>
      </c>
      <c r="C101" s="9">
        <v>132.4</v>
      </c>
      <c r="G101" s="9"/>
      <c r="H101" s="28"/>
    </row>
    <row r="102" ht="14.25" customHeight="1">
      <c r="A102" s="23">
        <v>46218.0</v>
      </c>
      <c r="B102" s="8" t="s">
        <v>42</v>
      </c>
      <c r="C102" s="9">
        <v>50.0</v>
      </c>
      <c r="G102" s="9"/>
      <c r="H102" s="28"/>
    </row>
    <row r="103" ht="14.25" customHeight="1">
      <c r="A103" s="23">
        <v>46223.0</v>
      </c>
      <c r="B103" s="2" t="s">
        <v>23</v>
      </c>
      <c r="C103" s="9">
        <v>6800.0</v>
      </c>
      <c r="G103" s="9"/>
      <c r="H103" s="28"/>
    </row>
    <row r="104" ht="14.25" customHeight="1">
      <c r="A104" s="23">
        <v>46223.0</v>
      </c>
      <c r="B104" s="8" t="s">
        <v>38</v>
      </c>
      <c r="C104" s="9">
        <v>113.31</v>
      </c>
      <c r="G104" s="9"/>
      <c r="H104" s="28"/>
    </row>
    <row r="105" ht="14.25" customHeight="1">
      <c r="A105" s="1">
        <v>46237.0</v>
      </c>
      <c r="B105" s="8" t="s">
        <v>39</v>
      </c>
      <c r="C105" s="9">
        <v>1500.0</v>
      </c>
      <c r="G105" s="9"/>
      <c r="H105" s="28"/>
    </row>
    <row r="106" ht="14.25" customHeight="1">
      <c r="A106" s="23">
        <v>46239.0</v>
      </c>
      <c r="B106" s="8" t="s">
        <v>58</v>
      </c>
      <c r="C106" s="9">
        <v>950.0</v>
      </c>
      <c r="F106" s="26"/>
      <c r="G106" s="12"/>
      <c r="H106" s="21"/>
      <c r="I106" s="14"/>
      <c r="J106" s="14"/>
    </row>
    <row r="107" ht="14.25" customHeight="1">
      <c r="A107" s="23">
        <v>46240.0</v>
      </c>
      <c r="B107" s="8" t="s">
        <v>49</v>
      </c>
      <c r="C107" s="9">
        <v>195.0</v>
      </c>
      <c r="F107" s="26"/>
      <c r="G107" s="12"/>
      <c r="H107" s="21"/>
      <c r="I107" s="14"/>
      <c r="J107" s="14"/>
    </row>
    <row r="108" ht="14.25" customHeight="1">
      <c r="A108" s="23">
        <v>46240.0</v>
      </c>
      <c r="B108" s="8" t="s">
        <v>50</v>
      </c>
      <c r="C108" s="9">
        <v>120.0</v>
      </c>
      <c r="G108" s="9"/>
      <c r="H108" s="28"/>
    </row>
    <row r="109" ht="14.25" customHeight="1">
      <c r="A109" s="1">
        <v>46244.0</v>
      </c>
      <c r="B109" s="2" t="s">
        <v>36</v>
      </c>
      <c r="C109" s="9">
        <v>65.0</v>
      </c>
      <c r="G109" s="9"/>
      <c r="H109" s="28"/>
    </row>
    <row r="110" ht="14.25" customHeight="1">
      <c r="A110" s="23">
        <v>46245.0</v>
      </c>
      <c r="B110" s="8" t="s">
        <v>41</v>
      </c>
      <c r="C110" s="9">
        <v>95.12</v>
      </c>
      <c r="G110" s="9"/>
      <c r="H110" s="28"/>
    </row>
    <row r="111" ht="14.25" customHeight="1">
      <c r="A111" s="1">
        <v>46246.0</v>
      </c>
      <c r="B111" s="8" t="s">
        <v>25</v>
      </c>
      <c r="C111" s="9">
        <v>981.95</v>
      </c>
      <c r="G111" s="9"/>
      <c r="H111" s="28"/>
    </row>
    <row r="112" ht="14.25" customHeight="1">
      <c r="A112" s="1">
        <v>46246.0</v>
      </c>
      <c r="B112" s="8" t="s">
        <v>33</v>
      </c>
      <c r="C112" s="3">
        <v>2831.4</v>
      </c>
      <c r="G112" s="9"/>
      <c r="H112" s="28"/>
    </row>
    <row r="113" ht="14.25" customHeight="1">
      <c r="A113" s="1">
        <v>46246.0</v>
      </c>
      <c r="B113" s="8" t="s">
        <v>31</v>
      </c>
      <c r="C113" s="9">
        <v>460.0</v>
      </c>
      <c r="G113" s="9"/>
      <c r="H113" s="28"/>
    </row>
    <row r="114" ht="14.25" customHeight="1">
      <c r="A114" s="1">
        <v>46246.0</v>
      </c>
      <c r="B114" s="8" t="s">
        <v>42</v>
      </c>
      <c r="C114" s="9">
        <v>50.0</v>
      </c>
      <c r="G114" s="9"/>
      <c r="H114" s="28"/>
    </row>
    <row r="115" ht="14.25" customHeight="1">
      <c r="A115" s="1">
        <v>46246.0</v>
      </c>
      <c r="B115" s="8" t="s">
        <v>59</v>
      </c>
      <c r="C115" s="9">
        <v>530.0</v>
      </c>
      <c r="G115" s="9"/>
      <c r="H115" s="28"/>
    </row>
    <row r="116" ht="14.25" customHeight="1">
      <c r="A116" s="23">
        <v>46249.0</v>
      </c>
      <c r="B116" s="8" t="s">
        <v>29</v>
      </c>
      <c r="C116" s="9">
        <v>132.4</v>
      </c>
      <c r="G116" s="9"/>
      <c r="H116" s="28"/>
    </row>
    <row r="117" ht="14.25" customHeight="1">
      <c r="A117" s="23">
        <v>46254.0</v>
      </c>
      <c r="B117" s="2" t="s">
        <v>23</v>
      </c>
      <c r="C117" s="9">
        <v>5800.0</v>
      </c>
      <c r="G117" s="9"/>
      <c r="H117" s="28"/>
    </row>
    <row r="118" ht="14.25" customHeight="1">
      <c r="A118" s="23">
        <v>46254.0</v>
      </c>
      <c r="B118" s="8" t="s">
        <v>38</v>
      </c>
      <c r="C118" s="9">
        <v>113.31</v>
      </c>
      <c r="G118" s="9"/>
      <c r="H118" s="28"/>
    </row>
    <row r="119" ht="14.25" customHeight="1">
      <c r="A119" s="1">
        <v>46267.0</v>
      </c>
      <c r="B119" s="8" t="s">
        <v>39</v>
      </c>
      <c r="C119" s="9">
        <v>2000.0</v>
      </c>
      <c r="G119" s="9"/>
      <c r="H119" s="28"/>
    </row>
    <row r="120" ht="14.25" customHeight="1">
      <c r="A120" s="23">
        <v>46269.0</v>
      </c>
      <c r="B120" s="8" t="s">
        <v>58</v>
      </c>
      <c r="C120" s="9">
        <v>950.0</v>
      </c>
      <c r="G120" s="9"/>
      <c r="H120" s="28"/>
    </row>
    <row r="121" ht="14.25" customHeight="1">
      <c r="A121" s="23">
        <v>46271.0</v>
      </c>
      <c r="B121" s="8" t="s">
        <v>49</v>
      </c>
      <c r="C121" s="9">
        <v>195.0</v>
      </c>
      <c r="G121" s="9"/>
      <c r="H121" s="28"/>
    </row>
    <row r="122" ht="14.25" customHeight="1">
      <c r="A122" s="23">
        <v>46273.0</v>
      </c>
      <c r="B122" s="8" t="s">
        <v>50</v>
      </c>
      <c r="C122" s="9">
        <v>120.0</v>
      </c>
      <c r="G122" s="9"/>
      <c r="H122" s="28"/>
    </row>
    <row r="123" ht="14.25" customHeight="1">
      <c r="A123" s="23">
        <v>46273.0</v>
      </c>
      <c r="B123" s="8" t="s">
        <v>60</v>
      </c>
      <c r="C123" s="9">
        <v>90.0</v>
      </c>
      <c r="G123" s="9"/>
      <c r="H123" s="28"/>
    </row>
    <row r="124" ht="14.25" customHeight="1">
      <c r="A124" s="23">
        <v>46274.0</v>
      </c>
      <c r="B124" s="8" t="s">
        <v>42</v>
      </c>
      <c r="C124" s="9">
        <v>50.0</v>
      </c>
      <c r="G124" s="9"/>
      <c r="H124" s="28"/>
    </row>
    <row r="125" ht="14.25" customHeight="1">
      <c r="A125" s="1">
        <v>46275.0</v>
      </c>
      <c r="B125" s="2" t="s">
        <v>36</v>
      </c>
      <c r="C125" s="9">
        <v>65.0</v>
      </c>
      <c r="G125" s="9"/>
      <c r="H125" s="28"/>
    </row>
    <row r="126" ht="14.25" customHeight="1">
      <c r="A126" s="23">
        <v>46276.0</v>
      </c>
      <c r="B126" s="8" t="s">
        <v>25</v>
      </c>
      <c r="C126" s="9">
        <v>981.95</v>
      </c>
      <c r="G126" s="9"/>
      <c r="H126" s="28"/>
    </row>
    <row r="127" ht="14.25" customHeight="1">
      <c r="A127" s="23">
        <v>46276.0</v>
      </c>
      <c r="B127" s="8" t="s">
        <v>41</v>
      </c>
      <c r="C127" s="9">
        <v>95.12</v>
      </c>
      <c r="G127" s="9"/>
      <c r="H127" s="28"/>
    </row>
    <row r="128" ht="14.25" customHeight="1">
      <c r="A128" s="23">
        <v>46276.0</v>
      </c>
      <c r="B128" s="8" t="s">
        <v>33</v>
      </c>
      <c r="C128" s="3">
        <v>2831.4</v>
      </c>
      <c r="G128" s="9"/>
      <c r="H128" s="28"/>
    </row>
    <row r="129" ht="14.25" customHeight="1">
      <c r="A129" s="23">
        <v>46280.0</v>
      </c>
      <c r="B129" s="8" t="s">
        <v>29</v>
      </c>
      <c r="C129" s="9">
        <v>132.4</v>
      </c>
      <c r="G129" s="9"/>
      <c r="H129" s="28"/>
    </row>
    <row r="130" ht="14.25" customHeight="1">
      <c r="A130" s="23">
        <v>46285.0</v>
      </c>
      <c r="B130" s="2" t="s">
        <v>23</v>
      </c>
      <c r="C130" s="9">
        <v>6850.0</v>
      </c>
      <c r="G130" s="9"/>
      <c r="H130" s="28"/>
    </row>
    <row r="131" ht="14.25" customHeight="1">
      <c r="A131" s="23">
        <v>46286.0</v>
      </c>
      <c r="B131" s="8" t="s">
        <v>38</v>
      </c>
      <c r="C131" s="9">
        <v>113.31</v>
      </c>
      <c r="G131" s="9"/>
      <c r="H131" s="28"/>
    </row>
    <row r="132" ht="14.25" customHeight="1">
      <c r="A132" s="1">
        <v>46297.0</v>
      </c>
      <c r="B132" s="8" t="s">
        <v>39</v>
      </c>
      <c r="C132" s="9">
        <v>1800.0</v>
      </c>
      <c r="G132" s="9"/>
      <c r="H132" s="28"/>
    </row>
    <row r="133" ht="14.25" customHeight="1">
      <c r="A133" s="23">
        <v>46300.0</v>
      </c>
      <c r="B133" s="8" t="s">
        <v>58</v>
      </c>
      <c r="C133" s="9">
        <v>950.0</v>
      </c>
      <c r="G133" s="9"/>
      <c r="H133" s="28"/>
    </row>
    <row r="134" ht="14.25" customHeight="1">
      <c r="A134" s="23">
        <v>46301.0</v>
      </c>
      <c r="B134" s="8" t="s">
        <v>49</v>
      </c>
      <c r="C134" s="9">
        <v>195.0</v>
      </c>
      <c r="G134" s="9"/>
      <c r="H134" s="28"/>
    </row>
    <row r="135" ht="14.25" customHeight="1">
      <c r="A135" s="1">
        <v>46302.0</v>
      </c>
      <c r="B135" s="8" t="s">
        <v>59</v>
      </c>
      <c r="C135" s="9">
        <v>530.0</v>
      </c>
      <c r="G135" s="9"/>
      <c r="H135" s="28"/>
    </row>
    <row r="136" ht="14.25" customHeight="1">
      <c r="A136" s="1">
        <v>46303.0</v>
      </c>
      <c r="B136" s="8" t="s">
        <v>50</v>
      </c>
      <c r="C136" s="9">
        <v>120.0</v>
      </c>
      <c r="G136" s="9"/>
      <c r="H136" s="28"/>
    </row>
    <row r="137" ht="14.25" customHeight="1">
      <c r="A137" s="1">
        <v>46303.0</v>
      </c>
      <c r="B137" s="8" t="s">
        <v>60</v>
      </c>
      <c r="C137" s="9">
        <v>90.0</v>
      </c>
      <c r="G137" s="9"/>
      <c r="H137" s="28"/>
    </row>
    <row r="138" ht="14.25" customHeight="1">
      <c r="A138" s="1">
        <v>46303.0</v>
      </c>
      <c r="B138" s="8" t="s">
        <v>61</v>
      </c>
      <c r="C138" s="9">
        <v>119.8</v>
      </c>
      <c r="G138" s="9"/>
      <c r="H138" s="28"/>
    </row>
    <row r="139" ht="14.25" customHeight="1">
      <c r="A139" s="1">
        <v>46305.0</v>
      </c>
      <c r="B139" s="2" t="s">
        <v>36</v>
      </c>
      <c r="C139" s="9">
        <v>65.0</v>
      </c>
      <c r="G139" s="9"/>
      <c r="H139" s="28"/>
    </row>
    <row r="140" ht="14.25" customHeight="1">
      <c r="A140" s="23">
        <v>46308.0</v>
      </c>
      <c r="B140" s="8" t="s">
        <v>25</v>
      </c>
      <c r="C140" s="9">
        <v>981.95</v>
      </c>
      <c r="G140" s="9"/>
      <c r="H140" s="28"/>
    </row>
    <row r="141" ht="14.25" customHeight="1">
      <c r="A141" s="23">
        <v>46308.0</v>
      </c>
      <c r="B141" s="8" t="s">
        <v>41</v>
      </c>
      <c r="C141" s="9">
        <v>95.12</v>
      </c>
      <c r="G141" s="9"/>
      <c r="H141" s="28"/>
    </row>
    <row r="142" ht="14.25" customHeight="1">
      <c r="A142" s="23">
        <v>46308.0</v>
      </c>
      <c r="B142" s="8" t="s">
        <v>33</v>
      </c>
      <c r="C142" s="3">
        <v>2831.4</v>
      </c>
      <c r="G142" s="9"/>
      <c r="H142" s="28"/>
    </row>
    <row r="143" ht="14.25" customHeight="1">
      <c r="A143" s="23">
        <v>46308.0</v>
      </c>
      <c r="B143" s="8" t="s">
        <v>42</v>
      </c>
      <c r="C143" s="9">
        <v>50.0</v>
      </c>
      <c r="G143" s="9"/>
      <c r="H143" s="28"/>
    </row>
    <row r="144" ht="14.25" customHeight="1">
      <c r="A144" s="23">
        <v>46310.0</v>
      </c>
      <c r="B144" s="8" t="s">
        <v>29</v>
      </c>
      <c r="C144" s="9">
        <v>132.4</v>
      </c>
      <c r="G144" s="9"/>
      <c r="H144" s="28"/>
    </row>
    <row r="145" ht="14.25" customHeight="1">
      <c r="A145" s="1">
        <v>46315.0</v>
      </c>
      <c r="B145" s="2" t="s">
        <v>23</v>
      </c>
      <c r="C145" s="9">
        <v>6000.0</v>
      </c>
      <c r="G145" s="9"/>
      <c r="H145" s="28"/>
    </row>
    <row r="146" ht="14.25" customHeight="1">
      <c r="A146" s="1">
        <v>46315.0</v>
      </c>
      <c r="B146" s="8" t="s">
        <v>38</v>
      </c>
      <c r="C146" s="9">
        <v>113.31</v>
      </c>
      <c r="G146" s="9"/>
      <c r="H146" s="28"/>
    </row>
    <row r="147" ht="14.25" customHeight="1">
      <c r="A147" s="1">
        <v>46329.0</v>
      </c>
      <c r="B147" s="8" t="s">
        <v>39</v>
      </c>
      <c r="C147" s="9">
        <v>2200.0</v>
      </c>
      <c r="G147" s="9"/>
      <c r="H147" s="28"/>
    </row>
    <row r="148" ht="14.25" customHeight="1">
      <c r="A148" s="23">
        <v>46332.0</v>
      </c>
      <c r="B148" s="8" t="s">
        <v>49</v>
      </c>
      <c r="C148" s="9">
        <v>195.0</v>
      </c>
      <c r="G148" s="9"/>
      <c r="H148" s="28"/>
    </row>
    <row r="149" ht="14.25" customHeight="1">
      <c r="A149" s="23">
        <v>46332.0</v>
      </c>
      <c r="B149" s="8" t="s">
        <v>58</v>
      </c>
      <c r="C149" s="9">
        <v>950.0</v>
      </c>
      <c r="G149" s="9"/>
      <c r="H149" s="28"/>
    </row>
    <row r="150" ht="14.25" customHeight="1">
      <c r="A150" s="23">
        <v>46335.0</v>
      </c>
      <c r="B150" s="8" t="s">
        <v>50</v>
      </c>
      <c r="C150" s="9">
        <v>120.0</v>
      </c>
      <c r="G150" s="9"/>
      <c r="H150" s="28"/>
    </row>
    <row r="151" ht="14.25" customHeight="1">
      <c r="A151" s="23">
        <v>46335.0</v>
      </c>
      <c r="B151" s="8" t="s">
        <v>60</v>
      </c>
      <c r="C151" s="9">
        <v>90.0</v>
      </c>
      <c r="G151" s="9"/>
      <c r="H151" s="28"/>
    </row>
    <row r="152" ht="14.25" customHeight="1">
      <c r="A152" s="1">
        <v>46336.0</v>
      </c>
      <c r="B152" s="2" t="s">
        <v>36</v>
      </c>
      <c r="C152" s="9">
        <v>65.0</v>
      </c>
      <c r="G152" s="9"/>
      <c r="H152" s="28"/>
    </row>
    <row r="153" ht="14.25" customHeight="1">
      <c r="A153" s="23">
        <v>46337.0</v>
      </c>
      <c r="B153" s="8" t="s">
        <v>41</v>
      </c>
      <c r="C153" s="9">
        <v>95.12</v>
      </c>
      <c r="G153" s="9"/>
      <c r="H153" s="28"/>
    </row>
    <row r="154" ht="14.25" customHeight="1">
      <c r="A154" s="23">
        <v>46337.0</v>
      </c>
      <c r="B154" s="8" t="s">
        <v>42</v>
      </c>
      <c r="C154" s="9">
        <v>50.0</v>
      </c>
      <c r="G154" s="9"/>
      <c r="H154" s="28"/>
    </row>
    <row r="155" ht="14.25" customHeight="1">
      <c r="A155" s="23">
        <v>46338.0</v>
      </c>
      <c r="B155" s="8" t="s">
        <v>25</v>
      </c>
      <c r="C155" s="9">
        <v>981.95</v>
      </c>
      <c r="G155" s="9"/>
      <c r="H155" s="28"/>
    </row>
    <row r="156" ht="14.25" customHeight="1">
      <c r="A156" s="23">
        <v>46338.0</v>
      </c>
      <c r="B156" s="8" t="s">
        <v>33</v>
      </c>
      <c r="C156" s="3">
        <v>2831.4</v>
      </c>
      <c r="G156" s="9"/>
      <c r="H156" s="28"/>
    </row>
    <row r="157" ht="14.25" customHeight="1">
      <c r="A157" s="23">
        <v>46342.0</v>
      </c>
      <c r="B157" s="8" t="s">
        <v>29</v>
      </c>
      <c r="C157" s="9">
        <v>132.4</v>
      </c>
      <c r="G157" s="9"/>
      <c r="H157" s="28"/>
    </row>
    <row r="158" ht="14.25" customHeight="1">
      <c r="A158" s="23">
        <v>46346.0</v>
      </c>
      <c r="B158" s="2" t="s">
        <v>23</v>
      </c>
      <c r="C158" s="9">
        <v>5750.0</v>
      </c>
      <c r="G158" s="9"/>
      <c r="H158" s="28"/>
    </row>
    <row r="159" ht="14.25" customHeight="1">
      <c r="A159" s="23">
        <v>46346.0</v>
      </c>
      <c r="B159" s="8" t="s">
        <v>38</v>
      </c>
      <c r="C159" s="9">
        <v>113.31</v>
      </c>
      <c r="G159" s="9"/>
      <c r="H159" s="28"/>
    </row>
    <row r="160" ht="14.25" customHeight="1">
      <c r="A160" s="1">
        <v>46358.0</v>
      </c>
      <c r="B160" s="8" t="s">
        <v>39</v>
      </c>
      <c r="C160" s="9">
        <v>1880.0</v>
      </c>
      <c r="G160" s="9"/>
      <c r="H160" s="28"/>
    </row>
    <row r="161" ht="14.25" customHeight="1">
      <c r="A161" s="1">
        <v>46360.0</v>
      </c>
      <c r="B161" s="8" t="s">
        <v>58</v>
      </c>
      <c r="C161" s="9">
        <v>950.0</v>
      </c>
      <c r="G161" s="9"/>
      <c r="H161" s="28"/>
    </row>
    <row r="162" ht="14.25" customHeight="1">
      <c r="A162" s="23">
        <v>46363.0</v>
      </c>
      <c r="B162" s="8" t="s">
        <v>49</v>
      </c>
      <c r="C162" s="9">
        <v>195.0</v>
      </c>
      <c r="G162" s="9"/>
      <c r="H162" s="28"/>
    </row>
    <row r="163" ht="14.25" customHeight="1">
      <c r="A163" s="1">
        <v>46364.0</v>
      </c>
      <c r="B163" s="8" t="s">
        <v>50</v>
      </c>
      <c r="C163" s="9">
        <v>120.0</v>
      </c>
      <c r="G163" s="9"/>
      <c r="H163" s="28"/>
    </row>
    <row r="164" ht="14.25" customHeight="1">
      <c r="A164" s="23">
        <v>46365.0</v>
      </c>
      <c r="B164" s="8" t="s">
        <v>42</v>
      </c>
      <c r="C164" s="9">
        <v>50.0</v>
      </c>
      <c r="G164" s="9"/>
      <c r="H164" s="28"/>
    </row>
    <row r="165" ht="14.25" customHeight="1">
      <c r="A165" s="1">
        <v>46365.0</v>
      </c>
      <c r="B165" s="8" t="s">
        <v>59</v>
      </c>
      <c r="C165" s="9">
        <v>530.0</v>
      </c>
      <c r="G165" s="9"/>
      <c r="H165" s="28"/>
    </row>
    <row r="166" ht="14.25" customHeight="1">
      <c r="A166" s="1">
        <v>46366.0</v>
      </c>
      <c r="B166" s="2" t="s">
        <v>36</v>
      </c>
      <c r="C166" s="9">
        <v>65.0</v>
      </c>
      <c r="G166" s="9"/>
      <c r="H166" s="28"/>
    </row>
    <row r="167" ht="14.25" customHeight="1">
      <c r="A167" s="23">
        <v>46367.0</v>
      </c>
      <c r="B167" s="8" t="s">
        <v>25</v>
      </c>
      <c r="C167" s="9">
        <v>981.95</v>
      </c>
      <c r="G167" s="9"/>
      <c r="H167" s="28"/>
    </row>
    <row r="168" ht="14.25" customHeight="1">
      <c r="A168" s="23">
        <v>46367.0</v>
      </c>
      <c r="B168" s="8" t="s">
        <v>41</v>
      </c>
      <c r="C168" s="9">
        <v>95.12</v>
      </c>
      <c r="G168" s="9"/>
      <c r="H168" s="28"/>
    </row>
    <row r="169" ht="14.25" customHeight="1">
      <c r="A169" s="23">
        <v>46367.0</v>
      </c>
      <c r="B169" s="8" t="s">
        <v>33</v>
      </c>
      <c r="C169" s="3">
        <v>2831.4</v>
      </c>
      <c r="G169" s="9"/>
      <c r="H169" s="28"/>
    </row>
    <row r="170" ht="14.25" customHeight="1">
      <c r="A170" s="23">
        <v>46367.0</v>
      </c>
      <c r="B170" s="8" t="s">
        <v>62</v>
      </c>
      <c r="C170" s="9">
        <v>2900.0</v>
      </c>
      <c r="G170" s="9"/>
      <c r="H170" s="28"/>
    </row>
    <row r="171" ht="14.25" customHeight="1">
      <c r="A171" s="23">
        <v>46368.0</v>
      </c>
      <c r="B171" s="8" t="s">
        <v>29</v>
      </c>
      <c r="C171" s="9">
        <v>132.4</v>
      </c>
      <c r="G171" s="9"/>
      <c r="H171" s="28"/>
    </row>
    <row r="172" ht="14.25" customHeight="1">
      <c r="A172" s="23">
        <v>46376.0</v>
      </c>
      <c r="B172" s="2" t="s">
        <v>23</v>
      </c>
      <c r="C172" s="9">
        <v>6250.0</v>
      </c>
      <c r="G172" s="9"/>
      <c r="H172" s="28"/>
    </row>
    <row r="173" ht="14.25" customHeight="1">
      <c r="A173" s="23">
        <v>46377.0</v>
      </c>
      <c r="B173" s="8" t="s">
        <v>38</v>
      </c>
      <c r="C173" s="9">
        <v>113.31</v>
      </c>
      <c r="G173" s="9"/>
      <c r="H173" s="28"/>
    </row>
    <row r="174" ht="14.25" customHeight="1">
      <c r="A174" s="23">
        <v>46391.0</v>
      </c>
      <c r="B174" s="8" t="s">
        <v>39</v>
      </c>
      <c r="C174" s="9">
        <v>2000.0</v>
      </c>
      <c r="G174" s="9"/>
      <c r="H174" s="28"/>
    </row>
    <row r="175" ht="14.25" customHeight="1">
      <c r="A175" s="23">
        <v>46393.0</v>
      </c>
      <c r="B175" s="8" t="s">
        <v>49</v>
      </c>
      <c r="C175" s="9">
        <v>281.1</v>
      </c>
      <c r="G175" s="9"/>
      <c r="H175" s="28"/>
    </row>
    <row r="176" ht="14.25" customHeight="1">
      <c r="A176" s="23">
        <v>46393.0</v>
      </c>
      <c r="B176" s="8" t="s">
        <v>58</v>
      </c>
      <c r="C176" s="9">
        <v>950.0</v>
      </c>
      <c r="G176" s="9"/>
      <c r="H176" s="28"/>
    </row>
    <row r="177" ht="14.25" customHeight="1">
      <c r="A177" s="23">
        <v>46395.0</v>
      </c>
      <c r="B177" s="8" t="s">
        <v>50</v>
      </c>
      <c r="C177" s="9">
        <v>120.0</v>
      </c>
      <c r="G177" s="9"/>
      <c r="H177" s="28"/>
    </row>
    <row r="178" ht="14.25" customHeight="1">
      <c r="A178" s="1">
        <v>46397.0</v>
      </c>
      <c r="B178" s="2" t="s">
        <v>36</v>
      </c>
      <c r="C178" s="9">
        <v>65.0</v>
      </c>
      <c r="G178" s="9"/>
      <c r="H178" s="28"/>
    </row>
    <row r="179" ht="14.25" customHeight="1">
      <c r="A179" s="23">
        <v>46398.0</v>
      </c>
      <c r="B179" s="8" t="s">
        <v>41</v>
      </c>
      <c r="C179" s="9">
        <v>105.37</v>
      </c>
      <c r="G179" s="9"/>
      <c r="H179" s="28"/>
    </row>
    <row r="180" ht="14.25" customHeight="1">
      <c r="A180" s="23">
        <v>46399.0</v>
      </c>
      <c r="B180" s="8" t="s">
        <v>25</v>
      </c>
      <c r="C180" s="9">
        <v>983.13</v>
      </c>
      <c r="G180" s="9"/>
      <c r="H180" s="28"/>
    </row>
    <row r="181" ht="14.25" customHeight="1">
      <c r="A181" s="23">
        <v>46400.0</v>
      </c>
      <c r="B181" s="8" t="s">
        <v>42</v>
      </c>
      <c r="C181" s="9">
        <v>50.0</v>
      </c>
      <c r="G181" s="9"/>
      <c r="H181" s="28"/>
    </row>
    <row r="182" ht="14.25" customHeight="1">
      <c r="A182" s="23">
        <v>46403.0</v>
      </c>
      <c r="B182" s="8" t="s">
        <v>29</v>
      </c>
      <c r="C182" s="9">
        <v>135.89</v>
      </c>
      <c r="G182" s="9"/>
      <c r="H182" s="28"/>
    </row>
    <row r="183" ht="14.25" customHeight="1">
      <c r="A183" s="23">
        <v>46407.0</v>
      </c>
      <c r="B183" s="2" t="s">
        <v>23</v>
      </c>
      <c r="C183" s="9">
        <v>7796.0</v>
      </c>
      <c r="G183" s="9"/>
      <c r="H183" s="28"/>
    </row>
    <row r="184" ht="14.25" customHeight="1">
      <c r="A184" s="23">
        <v>46407.0</v>
      </c>
      <c r="B184" s="8" t="s">
        <v>38</v>
      </c>
      <c r="C184" s="9">
        <v>102.36</v>
      </c>
      <c r="G184" s="9"/>
      <c r="H184" s="28"/>
    </row>
    <row r="185" ht="14.25" customHeight="1">
      <c r="A185" s="23">
        <v>46420.0</v>
      </c>
      <c r="B185" s="8" t="s">
        <v>39</v>
      </c>
      <c r="C185" s="9">
        <v>1800.0</v>
      </c>
      <c r="G185" s="9"/>
      <c r="H185" s="28"/>
    </row>
    <row r="186" ht="14.25" customHeight="1">
      <c r="A186" s="23">
        <v>46422.0</v>
      </c>
      <c r="B186" s="8" t="s">
        <v>49</v>
      </c>
      <c r="C186" s="9">
        <v>195.05</v>
      </c>
      <c r="G186" s="9"/>
      <c r="H186" s="28"/>
    </row>
    <row r="187" ht="14.25" customHeight="1">
      <c r="A187" s="23">
        <v>46422.0</v>
      </c>
      <c r="B187" s="8" t="s">
        <v>58</v>
      </c>
      <c r="C187" s="9">
        <v>950.0</v>
      </c>
      <c r="G187" s="9"/>
      <c r="H187" s="28"/>
    </row>
    <row r="188" ht="14.25" customHeight="1">
      <c r="A188" s="23">
        <v>46426.0</v>
      </c>
      <c r="B188" s="8" t="s">
        <v>50</v>
      </c>
      <c r="C188" s="9">
        <v>120.0</v>
      </c>
      <c r="G188" s="9"/>
      <c r="H188" s="28"/>
    </row>
    <row r="189" ht="14.25" customHeight="1">
      <c r="A189" s="1">
        <v>46428.0</v>
      </c>
      <c r="B189" s="2" t="s">
        <v>36</v>
      </c>
      <c r="C189" s="9">
        <v>65.0</v>
      </c>
      <c r="G189" s="9"/>
      <c r="H189" s="28"/>
    </row>
    <row r="190" ht="14.25" customHeight="1">
      <c r="A190" s="23">
        <v>46428.0</v>
      </c>
      <c r="B190" s="8" t="s">
        <v>42</v>
      </c>
      <c r="C190" s="9">
        <v>50.0</v>
      </c>
      <c r="E190" s="2"/>
      <c r="G190" s="9"/>
      <c r="H190" s="28"/>
    </row>
    <row r="191" ht="14.25" customHeight="1">
      <c r="A191" s="23">
        <v>46428.0</v>
      </c>
      <c r="B191" s="8" t="s">
        <v>59</v>
      </c>
      <c r="C191" s="9">
        <v>530.0</v>
      </c>
      <c r="G191" s="9"/>
      <c r="H191" s="28"/>
    </row>
    <row r="192" ht="14.25" customHeight="1">
      <c r="A192" s="23">
        <v>46429.0</v>
      </c>
      <c r="B192" s="8" t="s">
        <v>41</v>
      </c>
      <c r="C192" s="9">
        <v>95.12</v>
      </c>
      <c r="G192" s="9"/>
      <c r="H192" s="28"/>
    </row>
    <row r="193" ht="14.25" customHeight="1">
      <c r="A193" s="23">
        <v>46430.0</v>
      </c>
      <c r="B193" s="8" t="s">
        <v>25</v>
      </c>
      <c r="C193" s="9">
        <v>981.95</v>
      </c>
      <c r="G193" s="9"/>
      <c r="H193" s="28"/>
    </row>
    <row r="194" ht="14.25" customHeight="1">
      <c r="A194" s="23">
        <v>46430.0</v>
      </c>
      <c r="B194" s="23" t="s">
        <v>27</v>
      </c>
      <c r="C194" s="9">
        <v>1407.65</v>
      </c>
      <c r="G194" s="9"/>
      <c r="H194" s="28"/>
    </row>
    <row r="195" ht="14.25" customHeight="1">
      <c r="A195" s="23">
        <v>46433.0</v>
      </c>
      <c r="B195" s="8" t="s">
        <v>29</v>
      </c>
      <c r="C195" s="9">
        <v>132.4</v>
      </c>
      <c r="G195" s="9"/>
      <c r="H195" s="28"/>
    </row>
    <row r="196" ht="14.25" customHeight="1">
      <c r="A196" s="23">
        <v>46437.0</v>
      </c>
      <c r="B196" s="2" t="s">
        <v>23</v>
      </c>
      <c r="C196" s="9">
        <v>6004.07</v>
      </c>
      <c r="G196" s="9"/>
      <c r="H196" s="28"/>
    </row>
    <row r="197" ht="14.25" customHeight="1">
      <c r="A197" s="23">
        <v>46437.0</v>
      </c>
      <c r="B197" s="8" t="s">
        <v>38</v>
      </c>
      <c r="C197" s="9">
        <v>113.31</v>
      </c>
      <c r="G197" s="9"/>
      <c r="H197" s="28"/>
    </row>
    <row r="198" ht="14.25" customHeight="1">
      <c r="A198" s="23">
        <v>46437.0</v>
      </c>
      <c r="B198" s="8" t="s">
        <v>33</v>
      </c>
      <c r="C198" s="9">
        <v>2831.4</v>
      </c>
      <c r="G198" s="9"/>
      <c r="H198" s="28"/>
    </row>
    <row r="199" ht="14.25" customHeight="1">
      <c r="A199" s="23">
        <v>46437.0</v>
      </c>
      <c r="B199" s="8" t="s">
        <v>31</v>
      </c>
      <c r="C199" s="9">
        <v>460.0</v>
      </c>
      <c r="G199" s="9"/>
      <c r="H199" s="28"/>
    </row>
    <row r="200" ht="14.25" customHeight="1">
      <c r="A200" s="1">
        <v>46448.0</v>
      </c>
      <c r="B200" s="8" t="s">
        <v>39</v>
      </c>
      <c r="C200" s="9">
        <v>1771.95</v>
      </c>
      <c r="G200" s="9"/>
      <c r="H200" s="28"/>
    </row>
    <row r="201" ht="14.25" customHeight="1">
      <c r="A201" s="1">
        <v>46451.0</v>
      </c>
      <c r="B201" s="8" t="s">
        <v>6</v>
      </c>
      <c r="C201" s="9">
        <v>64.89</v>
      </c>
      <c r="G201" s="9"/>
      <c r="H201" s="28"/>
    </row>
    <row r="202" ht="14.25" customHeight="1">
      <c r="A202" s="1">
        <v>46451.0</v>
      </c>
      <c r="B202" s="8" t="s">
        <v>63</v>
      </c>
      <c r="C202" s="9">
        <v>141.8</v>
      </c>
      <c r="G202" s="9"/>
      <c r="H202" s="28"/>
    </row>
    <row r="203" ht="14.25" customHeight="1">
      <c r="A203" s="1">
        <v>46452.0</v>
      </c>
      <c r="B203" s="8" t="s">
        <v>49</v>
      </c>
      <c r="C203" s="9">
        <v>136.15</v>
      </c>
      <c r="G203" s="9"/>
      <c r="H203" s="28"/>
    </row>
    <row r="204" ht="14.25" customHeight="1">
      <c r="A204" s="1">
        <v>46452.0</v>
      </c>
      <c r="B204" s="8" t="s">
        <v>58</v>
      </c>
      <c r="C204" s="9">
        <v>800.0</v>
      </c>
      <c r="G204" s="9"/>
      <c r="H204" s="28"/>
    </row>
    <row r="205" ht="14.25" customHeight="1">
      <c r="A205" s="1">
        <v>46455.0</v>
      </c>
      <c r="B205" s="8" t="s">
        <v>40</v>
      </c>
      <c r="C205" s="9">
        <v>57.89</v>
      </c>
      <c r="G205" s="9"/>
      <c r="H205" s="28"/>
    </row>
    <row r="206" ht="14.25" customHeight="1">
      <c r="A206" s="1">
        <v>46456.0</v>
      </c>
      <c r="B206" s="2" t="s">
        <v>37</v>
      </c>
      <c r="C206" s="9">
        <v>1336.73</v>
      </c>
      <c r="G206" s="9"/>
      <c r="H206" s="28"/>
    </row>
    <row r="207" ht="14.25" customHeight="1">
      <c r="A207" s="1">
        <v>46456.0</v>
      </c>
      <c r="B207" s="2" t="s">
        <v>36</v>
      </c>
      <c r="C207" s="9">
        <v>65.0</v>
      </c>
      <c r="G207" s="9"/>
      <c r="H207" s="28"/>
    </row>
    <row r="208" ht="14.25" customHeight="1">
      <c r="A208" s="1">
        <v>46457.0</v>
      </c>
      <c r="B208" s="8" t="s">
        <v>41</v>
      </c>
      <c r="C208" s="9">
        <v>86.15</v>
      </c>
      <c r="G208" s="9"/>
      <c r="H208" s="28"/>
    </row>
    <row r="209" ht="14.25" customHeight="1">
      <c r="A209" s="1">
        <v>46457.0</v>
      </c>
      <c r="B209" s="8" t="s">
        <v>42</v>
      </c>
      <c r="C209" s="9">
        <v>50.0</v>
      </c>
      <c r="G209" s="9"/>
      <c r="H209" s="28"/>
    </row>
    <row r="210" ht="14.25" customHeight="1">
      <c r="A210" s="23">
        <v>46458.0</v>
      </c>
      <c r="B210" s="8" t="s">
        <v>25</v>
      </c>
      <c r="C210" s="9">
        <v>981.22</v>
      </c>
      <c r="G210" s="9"/>
      <c r="H210" s="28"/>
    </row>
    <row r="211" ht="14.25" customHeight="1">
      <c r="A211" s="23">
        <v>46458.0</v>
      </c>
      <c r="B211" s="8" t="s">
        <v>33</v>
      </c>
      <c r="C211" s="3">
        <v>2831.4</v>
      </c>
      <c r="G211" s="9"/>
      <c r="H211" s="28"/>
    </row>
    <row r="212" ht="14.25" customHeight="1">
      <c r="A212" s="1">
        <v>46462.0</v>
      </c>
      <c r="B212" s="8" t="s">
        <v>29</v>
      </c>
      <c r="C212" s="9">
        <v>132.4</v>
      </c>
      <c r="G212" s="9"/>
      <c r="H212" s="28"/>
    </row>
    <row r="213" ht="14.25" customHeight="1">
      <c r="A213" s="1">
        <v>46466.0</v>
      </c>
      <c r="B213" s="2" t="s">
        <v>23</v>
      </c>
      <c r="C213" s="9">
        <v>7494.55</v>
      </c>
      <c r="G213" s="9"/>
      <c r="H213" s="28"/>
    </row>
    <row r="214" ht="14.25" customHeight="1">
      <c r="A214" s="1">
        <v>46466.0</v>
      </c>
      <c r="B214" s="8" t="s">
        <v>38</v>
      </c>
      <c r="C214" s="9">
        <v>87.84</v>
      </c>
      <c r="G214" s="9"/>
      <c r="H214" s="28"/>
    </row>
    <row r="215" ht="14.25" customHeight="1">
      <c r="A215" s="1">
        <v>46477.0</v>
      </c>
      <c r="B215" s="8" t="s">
        <v>34</v>
      </c>
      <c r="C215" s="9">
        <v>35.62</v>
      </c>
      <c r="G215" s="9"/>
      <c r="H215" s="28"/>
    </row>
    <row r="216" ht="14.25" customHeight="1">
      <c r="A216" s="23"/>
      <c r="B216" s="23"/>
      <c r="C216" s="9"/>
      <c r="G216" s="9"/>
      <c r="H216" s="28"/>
    </row>
    <row r="217" ht="14.25" customHeight="1">
      <c r="A217" s="23"/>
      <c r="B217" s="23"/>
      <c r="C217" s="9"/>
      <c r="G217" s="9"/>
      <c r="H217" s="28"/>
    </row>
    <row r="218" ht="14.25" customHeight="1">
      <c r="A218" s="23"/>
      <c r="B218" s="23"/>
      <c r="C218" s="9"/>
      <c r="G218" s="9"/>
      <c r="H218" s="28"/>
    </row>
    <row r="219" ht="14.25" customHeight="1">
      <c r="A219" s="23"/>
      <c r="B219" s="23"/>
      <c r="C219" s="9"/>
      <c r="G219" s="9"/>
      <c r="H219" s="28"/>
    </row>
    <row r="220" ht="14.25" customHeight="1">
      <c r="A220" s="23"/>
      <c r="B220" s="23"/>
      <c r="C220" s="9"/>
      <c r="G220" s="9"/>
      <c r="H220" s="28"/>
    </row>
    <row r="221" ht="14.25" customHeight="1">
      <c r="A221" s="23"/>
      <c r="B221" s="23"/>
      <c r="C221" s="9"/>
      <c r="G221" s="9"/>
      <c r="H221" s="28"/>
    </row>
    <row r="222" ht="14.25" customHeight="1">
      <c r="A222" s="23"/>
      <c r="B222" s="23"/>
      <c r="C222" s="9"/>
      <c r="G222" s="9"/>
      <c r="H222" s="28"/>
    </row>
    <row r="223" ht="14.25" customHeight="1">
      <c r="A223" s="23"/>
      <c r="B223" s="23"/>
      <c r="C223" s="9"/>
      <c r="G223" s="9"/>
      <c r="H223" s="28"/>
    </row>
    <row r="224" ht="14.25" customHeight="1">
      <c r="A224" s="23"/>
      <c r="B224" s="23"/>
      <c r="C224" s="9"/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9"/>
      <c r="B316" s="29"/>
      <c r="C316" s="30"/>
      <c r="G316" s="9"/>
      <c r="H316" s="28"/>
    </row>
    <row r="317" ht="14.25" customHeight="1">
      <c r="A317" s="29"/>
      <c r="B317" s="29"/>
      <c r="C317" s="30"/>
      <c r="G317" s="9"/>
      <c r="H317" s="28"/>
    </row>
    <row r="318" ht="14.25" customHeight="1">
      <c r="A318" s="29"/>
      <c r="B318" s="29"/>
      <c r="C318" s="30"/>
      <c r="G318" s="9"/>
      <c r="H318" s="28"/>
    </row>
    <row r="319" ht="14.25" customHeight="1">
      <c r="A319" s="29"/>
      <c r="B319" s="29"/>
      <c r="C319" s="30"/>
      <c r="G319" s="9"/>
      <c r="H319" s="28"/>
    </row>
    <row r="320" ht="14.25" customHeight="1">
      <c r="A320" s="29"/>
      <c r="B320" s="29"/>
      <c r="C320" s="30"/>
      <c r="G320" s="9"/>
      <c r="H320" s="28"/>
    </row>
    <row r="321" ht="14.25" customHeight="1">
      <c r="A321" s="29"/>
      <c r="B321" s="29"/>
      <c r="C321" s="30"/>
      <c r="G321" s="9"/>
      <c r="H321" s="28"/>
    </row>
    <row r="322" ht="14.25" customHeight="1">
      <c r="A322" s="29"/>
      <c r="B322" s="29"/>
      <c r="C322" s="30"/>
      <c r="G322" s="9"/>
      <c r="H322" s="28"/>
    </row>
    <row r="323" ht="14.25" customHeight="1">
      <c r="A323" s="29"/>
      <c r="B323" s="29"/>
      <c r="C323" s="30"/>
      <c r="G323" s="9"/>
      <c r="H323" s="28"/>
    </row>
    <row r="324" ht="14.25" customHeight="1">
      <c r="A324" s="29"/>
      <c r="B324" s="29"/>
      <c r="C324" s="30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3"/>
    </row>
    <row r="393" ht="14.25" customHeight="1">
      <c r="A393" s="23"/>
    </row>
    <row r="394" ht="14.25" customHeight="1">
      <c r="A394" s="23"/>
    </row>
    <row r="395" ht="14.25" customHeight="1">
      <c r="A395" s="23"/>
    </row>
    <row r="396" ht="14.25" customHeight="1">
      <c r="A396" s="23"/>
    </row>
    <row r="397" ht="14.25" customHeight="1">
      <c r="A397" s="23"/>
    </row>
    <row r="398" ht="14.25" customHeight="1">
      <c r="A398" s="23"/>
    </row>
    <row r="399" ht="14.25" customHeight="1">
      <c r="A399" s="23"/>
    </row>
    <row r="400" ht="14.25" customHeight="1">
      <c r="A400" s="23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autoFilter ref="$A$1:$E$215">
    <sortState ref="A1:E215">
      <sortCondition ref="E1:E215"/>
      <sortCondition ref="A1:A215"/>
      <sortCondition ref="B1:B215"/>
      <sortCondition ref="C1:C215"/>
      <sortCondition ref="D1:D215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4.86"/>
    <col customWidth="1" min="6" max="7" width="8.71"/>
  </cols>
  <sheetData>
    <row r="1" ht="14.25" customHeight="1">
      <c r="A1" s="31" t="s">
        <v>64</v>
      </c>
      <c r="B1" s="32" t="s">
        <v>65</v>
      </c>
      <c r="C1" s="33" t="s">
        <v>66</v>
      </c>
      <c r="D1" s="34" t="s">
        <v>67</v>
      </c>
      <c r="E1" s="34" t="s">
        <v>68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69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69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69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69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69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69</v>
      </c>
    </row>
    <row r="8" ht="14.25" customHeight="1">
      <c r="A8" s="2" t="s">
        <v>70</v>
      </c>
      <c r="B8" s="35">
        <v>46084.0</v>
      </c>
      <c r="C8" s="35">
        <v>46084.0</v>
      </c>
      <c r="D8" s="22">
        <v>3000.0</v>
      </c>
      <c r="E8" s="36" t="s">
        <v>71</v>
      </c>
    </row>
    <row r="9" ht="14.25" customHeight="1">
      <c r="A9" s="2" t="s">
        <v>72</v>
      </c>
      <c r="B9" s="35">
        <v>46085.0</v>
      </c>
      <c r="C9" s="35">
        <v>46085.0</v>
      </c>
      <c r="D9" s="22">
        <v>3000.0</v>
      </c>
      <c r="E9" s="36" t="s">
        <v>71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73</v>
      </c>
    </row>
    <row r="11" ht="14.25" customHeight="1">
      <c r="A11" s="2" t="s">
        <v>74</v>
      </c>
      <c r="B11" s="35">
        <v>46087.0</v>
      </c>
      <c r="C11" s="35">
        <v>46087.0</v>
      </c>
      <c r="D11" s="22">
        <v>8587.0</v>
      </c>
      <c r="E11" s="37" t="s">
        <v>75</v>
      </c>
    </row>
    <row r="12" ht="14.25" customHeight="1">
      <c r="A12" s="2" t="s">
        <v>30</v>
      </c>
      <c r="B12" s="35">
        <v>46087.0</v>
      </c>
      <c r="C12" s="35">
        <v>46087.0</v>
      </c>
      <c r="D12" s="22">
        <v>936.15</v>
      </c>
      <c r="E12" s="37" t="s">
        <v>73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73</v>
      </c>
    </row>
    <row r="14" ht="14.25" customHeight="1">
      <c r="A14" s="2" t="s">
        <v>28</v>
      </c>
      <c r="B14" s="35">
        <v>46114.0</v>
      </c>
      <c r="C14" s="35">
        <v>46114.0</v>
      </c>
      <c r="D14" s="39">
        <v>7857.25</v>
      </c>
      <c r="E14" s="38" t="s">
        <v>73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73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76</v>
      </c>
    </row>
    <row r="17" ht="14.25" customHeight="1">
      <c r="A17" s="2" t="s">
        <v>77</v>
      </c>
      <c r="B17" s="23">
        <v>46145.0</v>
      </c>
      <c r="C17" s="9"/>
      <c r="D17" s="9">
        <v>7000.0</v>
      </c>
      <c r="E17" s="38"/>
    </row>
    <row r="18" ht="14.25" customHeight="1">
      <c r="A18" s="2" t="s">
        <v>78</v>
      </c>
      <c r="B18" s="23">
        <v>46148.0</v>
      </c>
      <c r="C18" s="9"/>
      <c r="D18" s="9">
        <v>3600.0</v>
      </c>
      <c r="E18" s="38"/>
    </row>
    <row r="19" ht="14.25" customHeight="1">
      <c r="A19" s="2" t="s">
        <v>79</v>
      </c>
      <c r="B19" s="23">
        <v>46148.0</v>
      </c>
      <c r="C19" s="9"/>
      <c r="D19" s="9">
        <v>5680.0</v>
      </c>
      <c r="E19" s="38"/>
    </row>
    <row r="20" ht="14.25" customHeight="1">
      <c r="A20" s="2" t="s">
        <v>80</v>
      </c>
      <c r="B20" s="23">
        <v>46175.0</v>
      </c>
      <c r="C20" s="9"/>
      <c r="D20" s="9">
        <v>7000.0</v>
      </c>
      <c r="E20" s="38"/>
    </row>
    <row r="21" ht="14.25" customHeight="1">
      <c r="A21" s="27" t="s">
        <v>81</v>
      </c>
      <c r="B21" s="23">
        <v>46178.0</v>
      </c>
      <c r="C21" s="19"/>
      <c r="D21" s="19">
        <v>1800.0</v>
      </c>
      <c r="E21" s="38"/>
    </row>
    <row r="22" ht="14.25" customHeight="1">
      <c r="A22" s="2" t="s">
        <v>82</v>
      </c>
      <c r="B22" s="23">
        <v>46178.0</v>
      </c>
      <c r="C22" s="9"/>
      <c r="D22" s="9">
        <v>5680.0</v>
      </c>
      <c r="E22" s="38"/>
    </row>
    <row r="23" ht="14.25" customHeight="1">
      <c r="A23" s="2" t="s">
        <v>83</v>
      </c>
      <c r="B23" s="23">
        <v>46205.0</v>
      </c>
      <c r="C23" s="9"/>
      <c r="D23" s="9">
        <v>7000.0</v>
      </c>
      <c r="E23" s="38"/>
    </row>
    <row r="24" ht="14.25" customHeight="1">
      <c r="A24" s="2" t="s">
        <v>84</v>
      </c>
      <c r="B24" s="23">
        <v>46208.0</v>
      </c>
      <c r="C24" s="9"/>
      <c r="D24" s="9">
        <v>5680.0</v>
      </c>
      <c r="E24" s="38"/>
    </row>
    <row r="25" ht="14.25" customHeight="1">
      <c r="A25" s="2" t="s">
        <v>85</v>
      </c>
      <c r="B25" s="23">
        <v>46235.0</v>
      </c>
      <c r="C25" s="9"/>
      <c r="D25" s="9">
        <v>7000.0</v>
      </c>
      <c r="E25" s="38"/>
    </row>
    <row r="26" ht="14.25" customHeight="1">
      <c r="A26" s="2" t="s">
        <v>86</v>
      </c>
      <c r="B26" s="23">
        <v>46238.0</v>
      </c>
      <c r="C26" s="9"/>
      <c r="D26" s="9">
        <v>5680.0</v>
      </c>
      <c r="E26" s="38"/>
    </row>
    <row r="27" ht="14.25" customHeight="1">
      <c r="A27" s="2" t="s">
        <v>87</v>
      </c>
      <c r="B27" s="23">
        <v>46266.0</v>
      </c>
      <c r="C27" s="9"/>
      <c r="D27" s="9">
        <v>7000.0</v>
      </c>
      <c r="E27" s="38"/>
    </row>
    <row r="28" ht="14.25" customHeight="1">
      <c r="A28" s="2" t="s">
        <v>88</v>
      </c>
      <c r="B28" s="23">
        <v>46269.0</v>
      </c>
      <c r="C28" s="9"/>
      <c r="D28" s="9">
        <v>5680.0</v>
      </c>
      <c r="E28" s="38"/>
    </row>
    <row r="29" ht="14.25" customHeight="1">
      <c r="A29" s="2" t="s">
        <v>89</v>
      </c>
      <c r="B29" s="23">
        <v>46297.0</v>
      </c>
      <c r="C29" s="9"/>
      <c r="D29" s="9">
        <v>7000.0</v>
      </c>
      <c r="E29" s="38"/>
    </row>
    <row r="30" ht="14.25" customHeight="1">
      <c r="A30" s="2" t="s">
        <v>90</v>
      </c>
      <c r="B30" s="23">
        <v>46300.0</v>
      </c>
      <c r="C30" s="9"/>
      <c r="D30" s="9">
        <v>5680.0</v>
      </c>
      <c r="E30" s="38"/>
    </row>
    <row r="31" ht="14.25" customHeight="1">
      <c r="A31" s="2" t="s">
        <v>91</v>
      </c>
      <c r="B31" s="23">
        <v>46328.0</v>
      </c>
      <c r="C31" s="9"/>
      <c r="D31" s="9">
        <v>7000.0</v>
      </c>
      <c r="E31" s="38"/>
    </row>
    <row r="32" ht="14.25" customHeight="1">
      <c r="A32" s="2" t="s">
        <v>92</v>
      </c>
      <c r="B32" s="23">
        <v>46331.0</v>
      </c>
      <c r="C32" s="9"/>
      <c r="D32" s="9">
        <v>5680.0</v>
      </c>
      <c r="E32" s="38"/>
    </row>
    <row r="33" ht="14.25" customHeight="1">
      <c r="A33" s="2" t="s">
        <v>93</v>
      </c>
      <c r="B33" s="23">
        <v>46359.0</v>
      </c>
      <c r="C33" s="9"/>
      <c r="D33" s="9">
        <v>7000.0</v>
      </c>
      <c r="E33" s="38"/>
    </row>
    <row r="34" ht="14.25" customHeight="1">
      <c r="A34" s="2" t="s">
        <v>94</v>
      </c>
      <c r="B34" s="23">
        <v>46362.0</v>
      </c>
      <c r="C34" s="9"/>
      <c r="D34" s="9">
        <v>5680.0</v>
      </c>
      <c r="E34" s="38"/>
    </row>
    <row r="35" ht="14.25" customHeight="1">
      <c r="A35" s="2" t="s">
        <v>95</v>
      </c>
      <c r="B35" s="23">
        <v>46390.0</v>
      </c>
      <c r="C35" s="9"/>
      <c r="D35" s="9">
        <v>7000.0</v>
      </c>
      <c r="E35" s="38"/>
    </row>
    <row r="36" ht="14.25" customHeight="1">
      <c r="A36" s="2" t="s">
        <v>96</v>
      </c>
      <c r="B36" s="23">
        <v>46393.0</v>
      </c>
      <c r="C36" s="9"/>
      <c r="D36" s="9">
        <v>5680.0</v>
      </c>
      <c r="E36" s="38"/>
    </row>
    <row r="37" ht="14.25" customHeight="1">
      <c r="A37" s="2" t="s">
        <v>97</v>
      </c>
      <c r="B37" s="23">
        <v>46421.0</v>
      </c>
      <c r="C37" s="9"/>
      <c r="D37" s="9">
        <v>7000.0</v>
      </c>
      <c r="E37" s="38"/>
    </row>
    <row r="38" ht="14.25" customHeight="1">
      <c r="A38" s="2" t="s">
        <v>98</v>
      </c>
      <c r="B38" s="23">
        <v>46424.0</v>
      </c>
      <c r="C38" s="9"/>
      <c r="D38" s="9">
        <v>5680.0</v>
      </c>
      <c r="E38" s="38"/>
    </row>
    <row r="39" ht="14.25" customHeight="1">
      <c r="A39" s="2" t="s">
        <v>99</v>
      </c>
      <c r="B39" s="23">
        <v>46449.0</v>
      </c>
      <c r="C39" s="9"/>
      <c r="D39" s="9">
        <v>7000.0</v>
      </c>
      <c r="E39" s="38"/>
    </row>
    <row r="40" ht="14.25" customHeight="1">
      <c r="A40" s="2" t="s">
        <v>100</v>
      </c>
      <c r="B40" s="23">
        <v>46452.0</v>
      </c>
      <c r="C40" s="9"/>
      <c r="D40" s="9">
        <v>5680.0</v>
      </c>
      <c r="E40" s="38"/>
    </row>
    <row r="41" ht="14.25" customHeight="1">
      <c r="A41" s="2"/>
      <c r="B41" s="23"/>
      <c r="C41" s="9"/>
      <c r="D41" s="9"/>
      <c r="E41" s="38"/>
    </row>
    <row r="42" ht="14.25" customHeight="1">
      <c r="A42" s="2"/>
      <c r="B42" s="23"/>
      <c r="C42" s="9"/>
      <c r="D42" s="9"/>
      <c r="E42" s="38"/>
    </row>
    <row r="43" ht="14.25" customHeight="1">
      <c r="A43" s="2"/>
      <c r="B43" s="23"/>
      <c r="C43" s="9"/>
      <c r="D43" s="9"/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B239" s="23"/>
      <c r="E239" s="36"/>
    </row>
    <row r="240" ht="14.25" customHeight="1">
      <c r="B240" s="23"/>
      <c r="E240" s="36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E$40">
    <sortState ref="A1:E40">
      <sortCondition ref="B1:B40"/>
      <sortCondition ref="A1:A40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 t="s">
        <v>101</v>
      </c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102</v>
      </c>
    </row>
    <row r="2" ht="15.75" customHeight="1">
      <c r="J2" s="47" t="s">
        <v>103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104</v>
      </c>
      <c r="B3" s="49" t="s">
        <v>105</v>
      </c>
      <c r="C3" s="49" t="s">
        <v>106</v>
      </c>
      <c r="D3" s="49" t="s">
        <v>107</v>
      </c>
      <c r="E3" s="49" t="s">
        <v>108</v>
      </c>
      <c r="F3" s="49" t="s">
        <v>109</v>
      </c>
      <c r="G3" s="49" t="s">
        <v>110</v>
      </c>
      <c r="J3" s="50" t="s">
        <v>111</v>
      </c>
      <c r="K3" s="51">
        <f>SUM(B4:B123)</f>
        <v>210236.61</v>
      </c>
      <c r="M3" s="8" t="s">
        <v>112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113</v>
      </c>
      <c r="K4" s="51">
        <f>SUM(C4:C123)</f>
        <v>211129.41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114</v>
      </c>
      <c r="K5" s="51">
        <f>SUMIFS(D4:D123,A4:A123,"&lt;="&amp;EOMONTH(TODAY(),0)+1-1,A4:A123,"&lt;&gt;")</f>
        <v>14794.36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19882.49</v>
      </c>
      <c r="C6" s="53">
        <f>IF($A6="","",SUMIFS('Inventário de Lotes'!$D:$D,'Inventário de Lotes'!$B:$B,"&gt;="&amp;$A6,'Inventário de Lotes'!$B:$B,"&lt;"&amp;EDATE($A6,1)))</f>
        <v>17162.38</v>
      </c>
      <c r="D6" s="53">
        <f t="shared" si="1"/>
        <v>-2720.11</v>
      </c>
      <c r="E6" s="54">
        <f>IF($A6="","",COUNTIFS('Todos os Gastos'!$A:$A,"&gt;="&amp;$A6,'Todos os Gastos'!$A:$A,"&lt;"&amp;EDATE($A6,1)))</f>
        <v>27</v>
      </c>
      <c r="F6" s="54">
        <f>IF($A6="","",COUNTIFS('Inventário de Lotes'!$B:$B,"&gt;="&amp;$A6,'Inventário de Lotes'!$B:$B,"&lt;"&amp;EDATE($A6,1)))</f>
        <v>4</v>
      </c>
      <c r="G6" s="53">
        <f t="shared" si="2"/>
        <v>14794.36</v>
      </c>
      <c r="J6" s="50" t="s">
        <v>115</v>
      </c>
      <c r="K6" s="51">
        <f>G17</f>
        <v>892.8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14234.11</v>
      </c>
      <c r="C7" s="56">
        <f>IF($A7="","",SUMIFS('Inventário de Lotes'!$D:$D,'Inventário de Lotes'!$B:$B,"&gt;="&amp;$A7,'Inventário de Lotes'!$B:$B,"&lt;"&amp;EDATE($A7,1)))</f>
        <v>16280</v>
      </c>
      <c r="D7" s="56">
        <f t="shared" si="1"/>
        <v>2045.89</v>
      </c>
      <c r="E7" s="57">
        <f>IF($A7="","",COUNTIFS('Todos os Gastos'!$A:$A,"&gt;="&amp;$A7,'Todos os Gastos'!$A:$A,"&lt;"&amp;EDATE($A7,1)))</f>
        <v>12</v>
      </c>
      <c r="F7" s="57">
        <f>IF($A7="","",COUNTIFS('Inventário de Lotes'!$B:$B,"&gt;="&amp;$A7,'Inventário de Lotes'!$B:$B,"&lt;"&amp;EDATE($A7,1)))</f>
        <v>3</v>
      </c>
      <c r="G7" s="56">
        <f t="shared" si="2"/>
        <v>16840.25</v>
      </c>
      <c r="J7" s="50" t="s">
        <v>116</v>
      </c>
      <c r="K7" s="51">
        <f>SUMIFS(D4:D123,A4:A123,"&gt;="&amp;EOMONTH(TODAY(),-1)+1,A4:A123,"&lt;"&amp;EDATE(EOMONTH(TODAY(),-1)+1,1))</f>
        <v>-2720.11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17476.07</v>
      </c>
      <c r="J8" s="50" t="s">
        <v>117</v>
      </c>
      <c r="K8" s="51">
        <f>AVERAGEIF(D4:D123,"&lt;&gt;",D4:D123)</f>
        <v>63.77142857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16891.89</v>
      </c>
      <c r="J9" s="50" t="s">
        <v>118</v>
      </c>
      <c r="K9" s="51">
        <f>MAX(B4:B123)</f>
        <v>19882.49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15747.71</v>
      </c>
      <c r="J10" s="50" t="s">
        <v>119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13953.53</v>
      </c>
      <c r="J11" s="50" t="s">
        <v>120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12559.55</v>
      </c>
      <c r="J12" s="50" t="s">
        <v>121</v>
      </c>
      <c r="K12" s="58" t="str">
        <f>TEXT(TODAY(),"mmm/yy")</f>
        <v>abr./26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11665.37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7251.19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7342.34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4286.39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892.8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9" width="23.0"/>
    <col customWidth="1" min="10" max="10" width="8.57"/>
    <col customWidth="1" min="11" max="11" width="14.86"/>
    <col customWidth="1" min="12" max="15" width="23.0"/>
    <col customWidth="1" min="16" max="16" width="19.0"/>
    <col customWidth="1" min="17" max="17" width="14.14"/>
    <col customWidth="1" min="18" max="18" width="7.43"/>
    <col customWidth="1" min="19" max="19" width="256.86"/>
    <col customWidth="1" min="20" max="21" width="23.0"/>
    <col customWidth="1" min="22" max="22" width="13.29"/>
    <col customWidth="1" min="23" max="23" width="23.0"/>
    <col customWidth="1" min="24" max="24" width="23.86"/>
    <col customWidth="1" min="25" max="25" width="22.86"/>
    <col customWidth="1" min="26" max="26" width="101.71"/>
  </cols>
  <sheetData>
    <row r="1">
      <c r="A1" s="60" t="s">
        <v>122</v>
      </c>
      <c r="B1" s="60" t="s">
        <v>123</v>
      </c>
      <c r="C1" s="60" t="s">
        <v>124</v>
      </c>
      <c r="D1" s="60" t="s">
        <v>125</v>
      </c>
      <c r="E1" s="60" t="s">
        <v>126</v>
      </c>
      <c r="F1" s="60" t="s">
        <v>127</v>
      </c>
      <c r="G1" s="60" t="s">
        <v>128</v>
      </c>
      <c r="H1" s="60" t="s">
        <v>129</v>
      </c>
      <c r="I1" s="60" t="s">
        <v>130</v>
      </c>
      <c r="J1" s="60" t="s">
        <v>131</v>
      </c>
      <c r="K1" s="60" t="s">
        <v>132</v>
      </c>
      <c r="L1" s="60" t="s">
        <v>133</v>
      </c>
      <c r="M1" s="60" t="s">
        <v>134</v>
      </c>
      <c r="N1" s="60" t="s">
        <v>135</v>
      </c>
      <c r="O1" s="60" t="s">
        <v>136</v>
      </c>
      <c r="P1" s="60" t="s">
        <v>137</v>
      </c>
      <c r="Q1" s="60" t="s">
        <v>138</v>
      </c>
      <c r="R1" s="60" t="s">
        <v>139</v>
      </c>
      <c r="S1" s="60" t="s">
        <v>140</v>
      </c>
      <c r="T1" s="60" t="s">
        <v>141</v>
      </c>
      <c r="U1" s="60" t="s">
        <v>142</v>
      </c>
      <c r="V1" s="60" t="s">
        <v>143</v>
      </c>
      <c r="W1" s="60" t="s">
        <v>144</v>
      </c>
      <c r="X1" s="60" t="s">
        <v>145</v>
      </c>
      <c r="Y1" s="60" t="s">
        <v>146</v>
      </c>
      <c r="Z1" s="60" t="s">
        <v>147</v>
      </c>
    </row>
    <row r="2">
      <c r="A2" s="42" t="s">
        <v>148</v>
      </c>
      <c r="B2" s="61" t="s">
        <v>149</v>
      </c>
      <c r="C2" s="61" t="s">
        <v>150</v>
      </c>
      <c r="D2" s="61" t="s">
        <v>150</v>
      </c>
      <c r="E2" s="61">
        <v>1.0</v>
      </c>
      <c r="F2" s="61">
        <v>17.0</v>
      </c>
      <c r="G2" s="42" t="s">
        <v>151</v>
      </c>
      <c r="H2" s="61">
        <v>100.0</v>
      </c>
      <c r="I2" s="62" t="s">
        <v>152</v>
      </c>
      <c r="J2" s="42" t="s">
        <v>153</v>
      </c>
      <c r="K2" s="42" t="s">
        <v>154</v>
      </c>
      <c r="L2" s="63"/>
      <c r="M2" s="63"/>
      <c r="N2" s="63"/>
      <c r="O2" s="63"/>
      <c r="P2" s="42" t="s">
        <v>151</v>
      </c>
      <c r="Q2" s="42" t="s">
        <v>155</v>
      </c>
      <c r="R2" s="42" t="s">
        <v>151</v>
      </c>
      <c r="S2" s="42" t="s">
        <v>156</v>
      </c>
      <c r="T2" s="42" t="s">
        <v>157</v>
      </c>
      <c r="U2" s="62" t="s">
        <v>152</v>
      </c>
      <c r="V2" s="42" t="s">
        <v>158</v>
      </c>
      <c r="W2" s="62" t="s">
        <v>152</v>
      </c>
      <c r="X2" s="62" t="s">
        <v>159</v>
      </c>
      <c r="Y2" s="64" t="s">
        <v>160</v>
      </c>
      <c r="Z2" s="62" t="s">
        <v>161</v>
      </c>
    </row>
    <row r="3">
      <c r="A3" s="42" t="s">
        <v>162</v>
      </c>
      <c r="B3" s="61" t="s">
        <v>163</v>
      </c>
      <c r="C3" s="61" t="s">
        <v>150</v>
      </c>
      <c r="D3" s="61" t="s">
        <v>150</v>
      </c>
      <c r="E3" s="61">
        <v>1.0</v>
      </c>
      <c r="F3" s="61">
        <v>1.0</v>
      </c>
      <c r="G3" s="42" t="s">
        <v>151</v>
      </c>
      <c r="H3" s="61">
        <v>1000.0</v>
      </c>
      <c r="I3" s="65" t="s">
        <v>152</v>
      </c>
      <c r="J3" s="42" t="s">
        <v>153</v>
      </c>
      <c r="K3" s="42" t="s">
        <v>154</v>
      </c>
      <c r="L3" s="63"/>
      <c r="M3" s="63"/>
      <c r="N3" s="63"/>
      <c r="O3" s="63"/>
      <c r="P3" s="42" t="s">
        <v>151</v>
      </c>
      <c r="Q3" s="42" t="s">
        <v>164</v>
      </c>
      <c r="R3" s="42" t="s">
        <v>151</v>
      </c>
      <c r="S3" s="42" t="s">
        <v>165</v>
      </c>
      <c r="T3" s="42" t="s">
        <v>166</v>
      </c>
      <c r="U3" s="65" t="s">
        <v>152</v>
      </c>
      <c r="V3" s="42" t="s">
        <v>167</v>
      </c>
      <c r="W3" s="65" t="s">
        <v>152</v>
      </c>
      <c r="X3" s="65" t="s">
        <v>168</v>
      </c>
      <c r="Y3" s="64" t="s">
        <v>160</v>
      </c>
      <c r="Z3" s="65" t="s">
        <v>161</v>
      </c>
    </row>
    <row r="4">
      <c r="A4" s="42" t="s">
        <v>169</v>
      </c>
      <c r="B4" s="61" t="s">
        <v>170</v>
      </c>
      <c r="C4" s="61" t="s">
        <v>150</v>
      </c>
      <c r="D4" s="61" t="s">
        <v>150</v>
      </c>
      <c r="E4" s="61">
        <v>90.0</v>
      </c>
      <c r="F4" s="61">
        <v>90.0</v>
      </c>
      <c r="G4" s="42" t="s">
        <v>151</v>
      </c>
      <c r="H4" s="61">
        <v>200.0</v>
      </c>
      <c r="I4" s="62" t="s">
        <v>152</v>
      </c>
      <c r="J4" s="42" t="s">
        <v>151</v>
      </c>
      <c r="K4" s="42" t="s">
        <v>171</v>
      </c>
      <c r="L4" s="62" t="s">
        <v>152</v>
      </c>
      <c r="M4" s="62" t="s">
        <v>152</v>
      </c>
      <c r="N4" s="62" t="s">
        <v>152</v>
      </c>
      <c r="O4" s="62" t="s">
        <v>152</v>
      </c>
      <c r="P4" s="42" t="s">
        <v>153</v>
      </c>
      <c r="Q4" s="42" t="s">
        <v>164</v>
      </c>
      <c r="R4" s="42" t="s">
        <v>153</v>
      </c>
      <c r="S4" s="42" t="s">
        <v>172</v>
      </c>
      <c r="T4" s="62" t="s">
        <v>152</v>
      </c>
      <c r="U4" s="62" t="s">
        <v>152</v>
      </c>
      <c r="V4" s="42" t="s">
        <v>158</v>
      </c>
      <c r="W4" s="62" t="s">
        <v>152</v>
      </c>
      <c r="X4" s="62" t="s">
        <v>159</v>
      </c>
      <c r="Y4" s="66" t="s">
        <v>173</v>
      </c>
      <c r="Z4" s="62" t="s">
        <v>174</v>
      </c>
    </row>
    <row r="5">
      <c r="A5" s="42" t="s">
        <v>175</v>
      </c>
      <c r="B5" s="61" t="s">
        <v>170</v>
      </c>
      <c r="C5" s="61" t="s">
        <v>150</v>
      </c>
      <c r="D5" s="61" t="s">
        <v>150</v>
      </c>
      <c r="E5" s="61">
        <v>180.0</v>
      </c>
      <c r="F5" s="61">
        <v>180.0</v>
      </c>
      <c r="G5" s="42" t="s">
        <v>151</v>
      </c>
      <c r="H5" s="61">
        <v>200.0</v>
      </c>
      <c r="I5" s="62" t="s">
        <v>152</v>
      </c>
      <c r="J5" s="42" t="s">
        <v>151</v>
      </c>
      <c r="K5" s="42" t="s">
        <v>171</v>
      </c>
      <c r="L5" s="62" t="s">
        <v>152</v>
      </c>
      <c r="M5" s="62" t="s">
        <v>152</v>
      </c>
      <c r="N5" s="62" t="s">
        <v>152</v>
      </c>
      <c r="O5" s="62" t="s">
        <v>152</v>
      </c>
      <c r="P5" s="42" t="s">
        <v>153</v>
      </c>
      <c r="Q5" s="42" t="s">
        <v>164</v>
      </c>
      <c r="R5" s="42" t="s">
        <v>153</v>
      </c>
      <c r="S5" s="42" t="s">
        <v>172</v>
      </c>
      <c r="T5" s="62" t="s">
        <v>152</v>
      </c>
      <c r="U5" s="62" t="s">
        <v>152</v>
      </c>
      <c r="V5" s="42" t="s">
        <v>158</v>
      </c>
      <c r="W5" s="62" t="s">
        <v>152</v>
      </c>
      <c r="X5" s="62" t="s">
        <v>159</v>
      </c>
      <c r="Y5" s="66" t="s">
        <v>173</v>
      </c>
      <c r="Z5" s="62" t="s">
        <v>174</v>
      </c>
    </row>
    <row r="6">
      <c r="A6" s="42" t="s">
        <v>176</v>
      </c>
      <c r="B6" s="61" t="s">
        <v>177</v>
      </c>
      <c r="C6" s="61" t="s">
        <v>150</v>
      </c>
      <c r="D6" s="61" t="s">
        <v>150</v>
      </c>
      <c r="E6" s="61">
        <v>365.0</v>
      </c>
      <c r="F6" s="61">
        <v>365.0</v>
      </c>
      <c r="G6" s="42" t="s">
        <v>151</v>
      </c>
      <c r="H6" s="61">
        <v>100.0</v>
      </c>
      <c r="I6" s="62" t="s">
        <v>152</v>
      </c>
      <c r="J6" s="42" t="s">
        <v>153</v>
      </c>
      <c r="K6" s="42" t="s">
        <v>171</v>
      </c>
      <c r="L6" s="63"/>
      <c r="M6" s="63"/>
      <c r="N6" s="63"/>
      <c r="O6" s="63"/>
      <c r="P6" s="42" t="s">
        <v>151</v>
      </c>
      <c r="Q6" s="42" t="s">
        <v>164</v>
      </c>
      <c r="R6" s="42" t="s">
        <v>153</v>
      </c>
      <c r="S6" s="42" t="s">
        <v>178</v>
      </c>
      <c r="T6" s="42" t="s">
        <v>179</v>
      </c>
      <c r="U6" s="62" t="s">
        <v>152</v>
      </c>
      <c r="V6" s="42" t="s">
        <v>167</v>
      </c>
      <c r="W6" s="62" t="s">
        <v>152</v>
      </c>
      <c r="X6" s="62" t="s">
        <v>159</v>
      </c>
      <c r="Y6" s="64" t="s">
        <v>160</v>
      </c>
      <c r="Z6" s="62" t="s">
        <v>161</v>
      </c>
    </row>
    <row r="7">
      <c r="A7" s="42" t="s">
        <v>180</v>
      </c>
      <c r="B7" s="61" t="s">
        <v>181</v>
      </c>
      <c r="C7" s="61" t="s">
        <v>150</v>
      </c>
      <c r="D7" s="61" t="s">
        <v>150</v>
      </c>
      <c r="E7" s="61">
        <v>2190.0</v>
      </c>
      <c r="F7" s="61">
        <v>2190.0</v>
      </c>
      <c r="G7" s="42" t="s">
        <v>151</v>
      </c>
      <c r="H7" s="61">
        <v>100.0</v>
      </c>
      <c r="I7" s="62" t="s">
        <v>152</v>
      </c>
      <c r="J7" s="42" t="s">
        <v>153</v>
      </c>
      <c r="K7" s="42" t="s">
        <v>171</v>
      </c>
      <c r="L7" s="63"/>
      <c r="M7" s="63"/>
      <c r="N7" s="63"/>
      <c r="O7" s="63"/>
      <c r="P7" s="42" t="s">
        <v>151</v>
      </c>
      <c r="Q7" s="42" t="s">
        <v>164</v>
      </c>
      <c r="R7" s="42" t="s">
        <v>153</v>
      </c>
      <c r="S7" s="42" t="s">
        <v>182</v>
      </c>
      <c r="T7" s="42" t="s">
        <v>179</v>
      </c>
      <c r="U7" s="62" t="s">
        <v>152</v>
      </c>
      <c r="V7" s="42" t="s">
        <v>183</v>
      </c>
      <c r="W7" s="62" t="s">
        <v>152</v>
      </c>
      <c r="X7" s="62" t="s">
        <v>159</v>
      </c>
      <c r="Y7" s="64" t="s">
        <v>160</v>
      </c>
      <c r="Z7" s="62" t="s">
        <v>161</v>
      </c>
    </row>
    <row r="8">
      <c r="A8" s="42" t="s">
        <v>184</v>
      </c>
      <c r="B8" s="61" t="s">
        <v>185</v>
      </c>
      <c r="C8" s="61" t="s">
        <v>150</v>
      </c>
      <c r="D8" s="61" t="s">
        <v>150</v>
      </c>
      <c r="E8" s="61">
        <v>730.0</v>
      </c>
      <c r="F8" s="61">
        <v>730.0</v>
      </c>
      <c r="G8" s="42" t="s">
        <v>151</v>
      </c>
      <c r="H8" s="61">
        <v>100.0</v>
      </c>
      <c r="I8" s="62" t="s">
        <v>152</v>
      </c>
      <c r="J8" s="42" t="s">
        <v>153</v>
      </c>
      <c r="K8" s="42" t="s">
        <v>171</v>
      </c>
      <c r="L8" s="63"/>
      <c r="M8" s="63"/>
      <c r="N8" s="63"/>
      <c r="O8" s="63"/>
      <c r="P8" s="42" t="s">
        <v>151</v>
      </c>
      <c r="Q8" s="42" t="s">
        <v>164</v>
      </c>
      <c r="R8" s="42" t="s">
        <v>153</v>
      </c>
      <c r="S8" s="42" t="s">
        <v>186</v>
      </c>
      <c r="T8" s="42" t="s">
        <v>179</v>
      </c>
      <c r="U8" s="62" t="s">
        <v>152</v>
      </c>
      <c r="V8" s="42" t="s">
        <v>167</v>
      </c>
      <c r="W8" s="62" t="s">
        <v>152</v>
      </c>
      <c r="X8" s="62" t="s">
        <v>159</v>
      </c>
      <c r="Y8" s="64" t="s">
        <v>160</v>
      </c>
      <c r="Z8" s="62" t="s">
        <v>161</v>
      </c>
    </row>
    <row r="9">
      <c r="A9" s="42" t="s">
        <v>187</v>
      </c>
      <c r="B9" s="61" t="s">
        <v>188</v>
      </c>
      <c r="C9" s="61" t="s">
        <v>150</v>
      </c>
      <c r="D9" s="61" t="s">
        <v>150</v>
      </c>
      <c r="E9" s="61">
        <v>1095.0</v>
      </c>
      <c r="F9" s="61">
        <v>1095.0</v>
      </c>
      <c r="G9" s="42" t="s">
        <v>151</v>
      </c>
      <c r="H9" s="61">
        <v>100.0</v>
      </c>
      <c r="I9" s="62" t="s">
        <v>152</v>
      </c>
      <c r="J9" s="42" t="s">
        <v>153</v>
      </c>
      <c r="K9" s="42" t="s">
        <v>171</v>
      </c>
      <c r="L9" s="63"/>
      <c r="M9" s="63"/>
      <c r="N9" s="63"/>
      <c r="O9" s="63"/>
      <c r="P9" s="42" t="s">
        <v>151</v>
      </c>
      <c r="Q9" s="42" t="s">
        <v>164</v>
      </c>
      <c r="R9" s="42" t="s">
        <v>153</v>
      </c>
      <c r="S9" s="42" t="s">
        <v>186</v>
      </c>
      <c r="T9" s="42" t="s">
        <v>179</v>
      </c>
      <c r="U9" s="62" t="s">
        <v>152</v>
      </c>
      <c r="V9" s="42" t="s">
        <v>167</v>
      </c>
      <c r="W9" s="62" t="s">
        <v>152</v>
      </c>
      <c r="X9" s="62" t="s">
        <v>159</v>
      </c>
      <c r="Y9" s="64" t="s">
        <v>160</v>
      </c>
      <c r="Z9" s="62" t="s">
        <v>161</v>
      </c>
    </row>
    <row r="10">
      <c r="A10" s="42" t="s">
        <v>189</v>
      </c>
      <c r="B10" s="61" t="s">
        <v>190</v>
      </c>
      <c r="C10" s="61" t="s">
        <v>150</v>
      </c>
      <c r="D10" s="61" t="s">
        <v>150</v>
      </c>
      <c r="E10" s="61">
        <v>1460.0</v>
      </c>
      <c r="F10" s="61">
        <v>1460.0</v>
      </c>
      <c r="G10" s="42" t="s">
        <v>151</v>
      </c>
      <c r="H10" s="61">
        <v>100.0</v>
      </c>
      <c r="I10" s="62" t="s">
        <v>152</v>
      </c>
      <c r="J10" s="42" t="s">
        <v>153</v>
      </c>
      <c r="K10" s="42" t="s">
        <v>171</v>
      </c>
      <c r="L10" s="63"/>
      <c r="M10" s="63"/>
      <c r="N10" s="63"/>
      <c r="O10" s="63"/>
      <c r="P10" s="42" t="s">
        <v>151</v>
      </c>
      <c r="Q10" s="42" t="s">
        <v>164</v>
      </c>
      <c r="R10" s="42" t="s">
        <v>153</v>
      </c>
      <c r="S10" s="42" t="s">
        <v>182</v>
      </c>
      <c r="T10" s="42" t="s">
        <v>179</v>
      </c>
      <c r="U10" s="62" t="s">
        <v>152</v>
      </c>
      <c r="V10" s="42" t="s">
        <v>183</v>
      </c>
      <c r="W10" s="62" t="s">
        <v>152</v>
      </c>
      <c r="X10" s="62" t="s">
        <v>159</v>
      </c>
      <c r="Y10" s="64" t="s">
        <v>160</v>
      </c>
      <c r="Z10" s="62" t="s">
        <v>161</v>
      </c>
    </row>
    <row r="11">
      <c r="A11" s="42" t="s">
        <v>191</v>
      </c>
      <c r="B11" s="61" t="s">
        <v>192</v>
      </c>
      <c r="C11" s="61" t="s">
        <v>150</v>
      </c>
      <c r="D11" s="61" t="s">
        <v>150</v>
      </c>
      <c r="E11" s="61">
        <v>1825.0</v>
      </c>
      <c r="F11" s="61">
        <v>1825.0</v>
      </c>
      <c r="G11" s="42" t="s">
        <v>151</v>
      </c>
      <c r="H11" s="61">
        <v>100.0</v>
      </c>
      <c r="I11" s="62" t="s">
        <v>152</v>
      </c>
      <c r="J11" s="42" t="s">
        <v>153</v>
      </c>
      <c r="K11" s="42" t="s">
        <v>171</v>
      </c>
      <c r="L11" s="63"/>
      <c r="M11" s="63"/>
      <c r="N11" s="63"/>
      <c r="O11" s="63"/>
      <c r="P11" s="42" t="s">
        <v>151</v>
      </c>
      <c r="Q11" s="42" t="s">
        <v>164</v>
      </c>
      <c r="R11" s="42" t="s">
        <v>153</v>
      </c>
      <c r="S11" s="42" t="s">
        <v>182</v>
      </c>
      <c r="T11" s="42" t="s">
        <v>179</v>
      </c>
      <c r="U11" s="62" t="s">
        <v>152</v>
      </c>
      <c r="V11" s="42" t="s">
        <v>183</v>
      </c>
      <c r="W11" s="62" t="s">
        <v>152</v>
      </c>
      <c r="X11" s="62" t="s">
        <v>159</v>
      </c>
      <c r="Y11" s="64" t="s">
        <v>160</v>
      </c>
      <c r="Z11" s="62" t="s">
        <v>161</v>
      </c>
    </row>
    <row r="12">
      <c r="A12" s="42" t="s">
        <v>193</v>
      </c>
      <c r="B12" s="61" t="s">
        <v>194</v>
      </c>
      <c r="C12" s="61" t="s">
        <v>150</v>
      </c>
      <c r="D12" s="61" t="s">
        <v>150</v>
      </c>
      <c r="E12" s="61">
        <v>1095.0</v>
      </c>
      <c r="F12" s="61">
        <v>1095.0</v>
      </c>
      <c r="G12" s="42" t="s">
        <v>151</v>
      </c>
      <c r="H12" s="62" t="s">
        <v>152</v>
      </c>
      <c r="I12" s="62" t="s">
        <v>152</v>
      </c>
      <c r="J12" s="42" t="s">
        <v>153</v>
      </c>
      <c r="K12" s="42" t="s">
        <v>171</v>
      </c>
      <c r="L12" s="63"/>
      <c r="M12" s="63"/>
      <c r="N12" s="63"/>
      <c r="O12" s="63"/>
      <c r="P12" s="42" t="s">
        <v>151</v>
      </c>
      <c r="Q12" s="42" t="s">
        <v>164</v>
      </c>
      <c r="R12" s="42" t="s">
        <v>153</v>
      </c>
      <c r="S12" s="42" t="s">
        <v>195</v>
      </c>
      <c r="T12" s="42" t="s">
        <v>179</v>
      </c>
      <c r="U12" s="62" t="s">
        <v>152</v>
      </c>
      <c r="V12" s="42" t="s">
        <v>167</v>
      </c>
      <c r="W12" s="62" t="s">
        <v>152</v>
      </c>
      <c r="X12" s="62" t="s">
        <v>159</v>
      </c>
      <c r="Y12" s="64" t="s">
        <v>160</v>
      </c>
      <c r="Z12" s="62" t="s">
        <v>196</v>
      </c>
    </row>
    <row r="13">
      <c r="A13" s="42" t="s">
        <v>197</v>
      </c>
      <c r="B13" s="61" t="s">
        <v>170</v>
      </c>
      <c r="C13" s="61" t="s">
        <v>198</v>
      </c>
      <c r="D13" s="61" t="s">
        <v>150</v>
      </c>
      <c r="E13" s="61">
        <v>730.0</v>
      </c>
      <c r="F13" s="61">
        <v>730.0</v>
      </c>
      <c r="G13" s="42" t="s">
        <v>151</v>
      </c>
      <c r="H13" s="62" t="s">
        <v>152</v>
      </c>
      <c r="I13" s="62" t="s">
        <v>152</v>
      </c>
      <c r="J13" s="42" t="s">
        <v>153</v>
      </c>
      <c r="K13" s="42" t="s">
        <v>171</v>
      </c>
      <c r="L13" s="63"/>
      <c r="M13" s="63"/>
      <c r="N13" s="63"/>
      <c r="O13" s="63"/>
      <c r="P13" s="42" t="s">
        <v>151</v>
      </c>
      <c r="Q13" s="42" t="s">
        <v>199</v>
      </c>
      <c r="R13" s="42" t="s">
        <v>153</v>
      </c>
      <c r="S13" s="42" t="s">
        <v>200</v>
      </c>
      <c r="T13" s="42" t="s">
        <v>179</v>
      </c>
      <c r="U13" s="62" t="s">
        <v>152</v>
      </c>
      <c r="V13" s="42" t="s">
        <v>167</v>
      </c>
      <c r="W13" s="62" t="s">
        <v>152</v>
      </c>
      <c r="X13" s="62" t="s">
        <v>159</v>
      </c>
      <c r="Y13" s="64" t="s">
        <v>160</v>
      </c>
      <c r="Z13" s="62" t="s">
        <v>196</v>
      </c>
    </row>
    <row r="14">
      <c r="A14" s="42" t="s">
        <v>201</v>
      </c>
      <c r="B14" s="61" t="s">
        <v>170</v>
      </c>
      <c r="C14" s="67">
        <v>46369.0</v>
      </c>
      <c r="D14" s="61" t="s">
        <v>150</v>
      </c>
      <c r="E14" s="61">
        <v>1095.0</v>
      </c>
      <c r="F14" s="61">
        <v>1095.0</v>
      </c>
      <c r="G14" s="42" t="s">
        <v>151</v>
      </c>
      <c r="H14" s="62" t="s">
        <v>152</v>
      </c>
      <c r="I14" s="62" t="s">
        <v>152</v>
      </c>
      <c r="J14" s="42" t="s">
        <v>153</v>
      </c>
      <c r="K14" s="42" t="s">
        <v>171</v>
      </c>
      <c r="L14" s="63"/>
      <c r="M14" s="63"/>
      <c r="N14" s="63"/>
      <c r="O14" s="63"/>
      <c r="P14" s="42" t="s">
        <v>151</v>
      </c>
      <c r="Q14" s="42" t="s">
        <v>199</v>
      </c>
      <c r="R14" s="42" t="s">
        <v>153</v>
      </c>
      <c r="S14" s="42" t="s">
        <v>202</v>
      </c>
      <c r="T14" s="42" t="s">
        <v>179</v>
      </c>
      <c r="U14" s="62" t="s">
        <v>152</v>
      </c>
      <c r="V14" s="42" t="s">
        <v>167</v>
      </c>
      <c r="W14" s="62" t="s">
        <v>152</v>
      </c>
      <c r="X14" s="62" t="s">
        <v>159</v>
      </c>
      <c r="Y14" s="64" t="s">
        <v>160</v>
      </c>
      <c r="Z14" s="62" t="s">
        <v>196</v>
      </c>
    </row>
    <row r="15">
      <c r="A15" s="42" t="s">
        <v>203</v>
      </c>
      <c r="B15" s="61" t="s">
        <v>204</v>
      </c>
      <c r="C15" s="61" t="s">
        <v>177</v>
      </c>
      <c r="D15" s="61" t="s">
        <v>150</v>
      </c>
      <c r="E15" s="61">
        <v>1825.0</v>
      </c>
      <c r="F15" s="61">
        <v>0.0</v>
      </c>
      <c r="G15" s="42" t="s">
        <v>151</v>
      </c>
      <c r="H15" s="61">
        <v>50.0</v>
      </c>
      <c r="I15" s="68" t="s">
        <v>152</v>
      </c>
      <c r="J15" s="42" t="s">
        <v>153</v>
      </c>
      <c r="K15" s="42" t="s">
        <v>171</v>
      </c>
      <c r="L15" s="63"/>
      <c r="M15" s="63"/>
      <c r="N15" s="63"/>
      <c r="O15" s="63"/>
      <c r="P15" s="42" t="s">
        <v>151</v>
      </c>
      <c r="Q15" s="42" t="s">
        <v>205</v>
      </c>
      <c r="R15" s="42" t="s">
        <v>153</v>
      </c>
      <c r="S15" s="42" t="s">
        <v>206</v>
      </c>
      <c r="T15" s="42" t="s">
        <v>179</v>
      </c>
      <c r="U15" s="68" t="s">
        <v>152</v>
      </c>
      <c r="V15" s="42" t="s">
        <v>167</v>
      </c>
      <c r="W15" s="68" t="s">
        <v>152</v>
      </c>
      <c r="X15" s="68" t="s">
        <v>207</v>
      </c>
      <c r="Y15" s="64" t="s">
        <v>160</v>
      </c>
      <c r="Z15" s="68" t="s">
        <v>161</v>
      </c>
    </row>
    <row r="16">
      <c r="A16" s="42" t="s">
        <v>208</v>
      </c>
      <c r="B16" s="61" t="s">
        <v>209</v>
      </c>
      <c r="C16" s="61" t="s">
        <v>150</v>
      </c>
      <c r="D16" s="61" t="s">
        <v>150</v>
      </c>
      <c r="E16" s="61">
        <v>1825.0</v>
      </c>
      <c r="F16" s="61">
        <v>1825.0</v>
      </c>
      <c r="G16" s="42" t="s">
        <v>151</v>
      </c>
      <c r="H16" s="61">
        <v>50.0</v>
      </c>
      <c r="I16" s="62" t="s">
        <v>152</v>
      </c>
      <c r="J16" s="42" t="s">
        <v>153</v>
      </c>
      <c r="K16" s="42" t="s">
        <v>171</v>
      </c>
      <c r="L16" s="63"/>
      <c r="M16" s="63"/>
      <c r="N16" s="63"/>
      <c r="O16" s="63"/>
      <c r="P16" s="42" t="s">
        <v>151</v>
      </c>
      <c r="Q16" s="42" t="s">
        <v>210</v>
      </c>
      <c r="R16" s="42" t="s">
        <v>153</v>
      </c>
      <c r="S16" s="42" t="s">
        <v>182</v>
      </c>
      <c r="T16" s="42" t="s">
        <v>179</v>
      </c>
      <c r="U16" s="62" t="s">
        <v>152</v>
      </c>
      <c r="V16" s="42" t="s">
        <v>183</v>
      </c>
      <c r="W16" s="62" t="s">
        <v>152</v>
      </c>
      <c r="X16" s="62" t="s">
        <v>159</v>
      </c>
      <c r="Y16" s="64" t="s">
        <v>160</v>
      </c>
      <c r="Z16" s="62" t="s">
        <v>161</v>
      </c>
    </row>
    <row r="17">
      <c r="A17" s="42" t="s">
        <v>211</v>
      </c>
      <c r="B17" s="61" t="s">
        <v>212</v>
      </c>
      <c r="C17" s="61" t="s">
        <v>150</v>
      </c>
      <c r="D17" s="61" t="s">
        <v>150</v>
      </c>
      <c r="E17" s="61">
        <v>1095.0</v>
      </c>
      <c r="F17" s="61">
        <v>1095.0</v>
      </c>
      <c r="G17" s="42" t="s">
        <v>151</v>
      </c>
      <c r="H17" s="61">
        <v>50.0</v>
      </c>
      <c r="I17" s="62" t="s">
        <v>152</v>
      </c>
      <c r="J17" s="42" t="s">
        <v>153</v>
      </c>
      <c r="K17" s="42" t="s">
        <v>171</v>
      </c>
      <c r="L17" s="63"/>
      <c r="M17" s="63"/>
      <c r="N17" s="63"/>
      <c r="O17" s="63"/>
      <c r="P17" s="42" t="s">
        <v>151</v>
      </c>
      <c r="Q17" s="42" t="s">
        <v>210</v>
      </c>
      <c r="R17" s="42" t="s">
        <v>153</v>
      </c>
      <c r="S17" s="42" t="s">
        <v>186</v>
      </c>
      <c r="T17" s="42" t="s">
        <v>179</v>
      </c>
      <c r="U17" s="62" t="s">
        <v>152</v>
      </c>
      <c r="V17" s="42" t="s">
        <v>167</v>
      </c>
      <c r="W17" s="62" t="s">
        <v>152</v>
      </c>
      <c r="X17" s="62" t="s">
        <v>159</v>
      </c>
      <c r="Y17" s="64" t="s">
        <v>160</v>
      </c>
      <c r="Z17" s="62" t="s">
        <v>161</v>
      </c>
    </row>
    <row r="18">
      <c r="A18" s="42" t="s">
        <v>213</v>
      </c>
      <c r="B18" s="61" t="s">
        <v>214</v>
      </c>
      <c r="C18" s="61" t="s">
        <v>150</v>
      </c>
      <c r="D18" s="61" t="s">
        <v>150</v>
      </c>
      <c r="E18" s="61">
        <v>1460.0</v>
      </c>
      <c r="F18" s="61">
        <v>1460.0</v>
      </c>
      <c r="G18" s="42" t="s">
        <v>151</v>
      </c>
      <c r="H18" s="61">
        <v>50.0</v>
      </c>
      <c r="I18" s="62" t="s">
        <v>152</v>
      </c>
      <c r="J18" s="42" t="s">
        <v>153</v>
      </c>
      <c r="K18" s="42" t="s">
        <v>171</v>
      </c>
      <c r="L18" s="63"/>
      <c r="M18" s="63"/>
      <c r="N18" s="63"/>
      <c r="O18" s="63"/>
      <c r="P18" s="42" t="s">
        <v>151</v>
      </c>
      <c r="Q18" s="42" t="s">
        <v>210</v>
      </c>
      <c r="R18" s="42" t="s">
        <v>153</v>
      </c>
      <c r="S18" s="42" t="s">
        <v>182</v>
      </c>
      <c r="T18" s="42" t="s">
        <v>179</v>
      </c>
      <c r="U18" s="62" t="s">
        <v>152</v>
      </c>
      <c r="V18" s="42" t="s">
        <v>183</v>
      </c>
      <c r="W18" s="62" t="s">
        <v>152</v>
      </c>
      <c r="X18" s="62" t="s">
        <v>159</v>
      </c>
      <c r="Y18" s="64" t="s">
        <v>160</v>
      </c>
      <c r="Z18" s="62" t="s">
        <v>161</v>
      </c>
    </row>
    <row r="19">
      <c r="A19" s="42" t="s">
        <v>215</v>
      </c>
      <c r="B19" s="69">
        <v>46031.0</v>
      </c>
      <c r="C19" s="61" t="s">
        <v>150</v>
      </c>
      <c r="D19" s="61" t="s">
        <v>150</v>
      </c>
      <c r="E19" s="61">
        <v>730.0</v>
      </c>
      <c r="F19" s="61">
        <v>730.0</v>
      </c>
      <c r="G19" s="42" t="s">
        <v>151</v>
      </c>
      <c r="H19" s="61">
        <v>50.0</v>
      </c>
      <c r="I19" s="68" t="s">
        <v>152</v>
      </c>
      <c r="J19" s="42" t="s">
        <v>153</v>
      </c>
      <c r="K19" s="42" t="s">
        <v>171</v>
      </c>
      <c r="L19" s="63"/>
      <c r="M19" s="63"/>
      <c r="N19" s="63"/>
      <c r="O19" s="63"/>
      <c r="P19" s="42" t="s">
        <v>151</v>
      </c>
      <c r="Q19" s="42" t="s">
        <v>210</v>
      </c>
      <c r="R19" s="42" t="s">
        <v>153</v>
      </c>
      <c r="S19" s="42" t="s">
        <v>186</v>
      </c>
      <c r="T19" s="42" t="s">
        <v>179</v>
      </c>
      <c r="U19" s="68" t="s">
        <v>152</v>
      </c>
      <c r="V19" s="42" t="s">
        <v>167</v>
      </c>
      <c r="W19" s="68" t="s">
        <v>152</v>
      </c>
      <c r="X19" s="68" t="s">
        <v>207</v>
      </c>
      <c r="Y19" s="64" t="s">
        <v>160</v>
      </c>
      <c r="Z19" s="68" t="s">
        <v>161</v>
      </c>
    </row>
    <row r="20">
      <c r="A20" s="42" t="s">
        <v>216</v>
      </c>
      <c r="B20" s="61" t="s">
        <v>217</v>
      </c>
      <c r="C20" s="61" t="s">
        <v>150</v>
      </c>
      <c r="D20" s="61" t="s">
        <v>150</v>
      </c>
      <c r="E20" s="61">
        <v>1095.0</v>
      </c>
      <c r="F20" s="61">
        <v>1095.0</v>
      </c>
      <c r="G20" s="42" t="s">
        <v>151</v>
      </c>
      <c r="H20" s="61">
        <v>50.0</v>
      </c>
      <c r="I20" s="62" t="s">
        <v>152</v>
      </c>
      <c r="J20" s="42" t="s">
        <v>153</v>
      </c>
      <c r="K20" s="42" t="s">
        <v>171</v>
      </c>
      <c r="L20" s="63"/>
      <c r="M20" s="63"/>
      <c r="N20" s="63"/>
      <c r="O20" s="63"/>
      <c r="P20" s="42" t="s">
        <v>151</v>
      </c>
      <c r="Q20" s="42" t="s">
        <v>218</v>
      </c>
      <c r="R20" s="42" t="s">
        <v>153</v>
      </c>
      <c r="S20" s="42" t="s">
        <v>186</v>
      </c>
      <c r="T20" s="42" t="s">
        <v>179</v>
      </c>
      <c r="U20" s="62" t="s">
        <v>152</v>
      </c>
      <c r="V20" s="42" t="s">
        <v>167</v>
      </c>
      <c r="W20" s="62" t="s">
        <v>152</v>
      </c>
      <c r="X20" s="62" t="s">
        <v>159</v>
      </c>
      <c r="Y20" s="64" t="s">
        <v>160</v>
      </c>
      <c r="Z20" s="62" t="s">
        <v>161</v>
      </c>
    </row>
    <row r="21">
      <c r="A21" s="42" t="s">
        <v>219</v>
      </c>
      <c r="B21" s="61" t="s">
        <v>220</v>
      </c>
      <c r="C21" s="61" t="s">
        <v>150</v>
      </c>
      <c r="D21" s="61" t="s">
        <v>150</v>
      </c>
      <c r="E21" s="61">
        <v>730.0</v>
      </c>
      <c r="F21" s="61">
        <v>730.0</v>
      </c>
      <c r="G21" s="42" t="s">
        <v>151</v>
      </c>
      <c r="H21" s="61">
        <v>50.0</v>
      </c>
      <c r="I21" s="62" t="s">
        <v>152</v>
      </c>
      <c r="J21" s="42" t="s">
        <v>153</v>
      </c>
      <c r="K21" s="42" t="s">
        <v>171</v>
      </c>
      <c r="L21" s="63"/>
      <c r="M21" s="63"/>
      <c r="N21" s="63"/>
      <c r="O21" s="63"/>
      <c r="P21" s="42" t="s">
        <v>151</v>
      </c>
      <c r="Q21" s="42" t="s">
        <v>218</v>
      </c>
      <c r="R21" s="42" t="s">
        <v>153</v>
      </c>
      <c r="S21" s="42" t="s">
        <v>186</v>
      </c>
      <c r="T21" s="42" t="s">
        <v>179</v>
      </c>
      <c r="U21" s="62" t="s">
        <v>152</v>
      </c>
      <c r="V21" s="42" t="s">
        <v>167</v>
      </c>
      <c r="W21" s="62" t="s">
        <v>152</v>
      </c>
      <c r="X21" s="62" t="s">
        <v>159</v>
      </c>
      <c r="Y21" s="64" t="s">
        <v>160</v>
      </c>
      <c r="Z21" s="62" t="s">
        <v>161</v>
      </c>
    </row>
    <row r="22">
      <c r="A22" s="42" t="s">
        <v>221</v>
      </c>
      <c r="B22" s="61" t="s">
        <v>222</v>
      </c>
      <c r="C22" s="61" t="s">
        <v>150</v>
      </c>
      <c r="D22" s="61" t="s">
        <v>150</v>
      </c>
      <c r="E22" s="61">
        <v>1460.0</v>
      </c>
      <c r="F22" s="61">
        <v>1460.0</v>
      </c>
      <c r="G22" s="42" t="s">
        <v>151</v>
      </c>
      <c r="H22" s="61">
        <v>50.0</v>
      </c>
      <c r="I22" s="62" t="s">
        <v>152</v>
      </c>
      <c r="J22" s="42" t="s">
        <v>153</v>
      </c>
      <c r="K22" s="42" t="s">
        <v>171</v>
      </c>
      <c r="L22" s="63"/>
      <c r="M22" s="63"/>
      <c r="N22" s="63"/>
      <c r="O22" s="63"/>
      <c r="P22" s="42" t="s">
        <v>151</v>
      </c>
      <c r="Q22" s="42" t="s">
        <v>218</v>
      </c>
      <c r="R22" s="42" t="s">
        <v>153</v>
      </c>
      <c r="S22" s="42" t="s">
        <v>182</v>
      </c>
      <c r="T22" s="42" t="s">
        <v>179</v>
      </c>
      <c r="U22" s="62" t="s">
        <v>152</v>
      </c>
      <c r="V22" s="42" t="s">
        <v>183</v>
      </c>
      <c r="W22" s="62" t="s">
        <v>152</v>
      </c>
      <c r="X22" s="62" t="s">
        <v>159</v>
      </c>
      <c r="Y22" s="64" t="s">
        <v>160</v>
      </c>
      <c r="Z22" s="62" t="s">
        <v>161</v>
      </c>
    </row>
    <row r="23">
      <c r="A23" s="42" t="s">
        <v>223</v>
      </c>
      <c r="B23" s="61" t="s">
        <v>224</v>
      </c>
      <c r="C23" s="61" t="s">
        <v>150</v>
      </c>
      <c r="D23" s="61" t="s">
        <v>150</v>
      </c>
      <c r="E23" s="61">
        <v>1825.0</v>
      </c>
      <c r="F23" s="61">
        <v>1825.0</v>
      </c>
      <c r="G23" s="42" t="s">
        <v>151</v>
      </c>
      <c r="H23" s="61">
        <v>50.0</v>
      </c>
      <c r="I23" s="62" t="s">
        <v>152</v>
      </c>
      <c r="J23" s="42" t="s">
        <v>153</v>
      </c>
      <c r="K23" s="42" t="s">
        <v>171</v>
      </c>
      <c r="L23" s="63"/>
      <c r="M23" s="63"/>
      <c r="N23" s="63"/>
      <c r="O23" s="63"/>
      <c r="P23" s="42" t="s">
        <v>151</v>
      </c>
      <c r="Q23" s="42" t="s">
        <v>218</v>
      </c>
      <c r="R23" s="42" t="s">
        <v>153</v>
      </c>
      <c r="S23" s="42" t="s">
        <v>182</v>
      </c>
      <c r="T23" s="42" t="s">
        <v>179</v>
      </c>
      <c r="U23" s="62" t="s">
        <v>152</v>
      </c>
      <c r="V23" s="42" t="s">
        <v>183</v>
      </c>
      <c r="W23" s="62" t="s">
        <v>152</v>
      </c>
      <c r="X23" s="62" t="s">
        <v>159</v>
      </c>
      <c r="Y23" s="64" t="s">
        <v>160</v>
      </c>
      <c r="Z23" s="62" t="s">
        <v>161</v>
      </c>
    </row>
    <row r="24">
      <c r="A24" s="42" t="s">
        <v>225</v>
      </c>
      <c r="B24" s="61" t="s">
        <v>226</v>
      </c>
      <c r="C24" s="61" t="s">
        <v>150</v>
      </c>
      <c r="D24" s="61" t="s">
        <v>150</v>
      </c>
      <c r="E24" s="61">
        <v>1096.0</v>
      </c>
      <c r="F24" s="61">
        <v>0.0</v>
      </c>
      <c r="G24" s="42" t="s">
        <v>151</v>
      </c>
      <c r="H24" s="61">
        <v>50.0</v>
      </c>
      <c r="I24" s="61">
        <v>5.0E8</v>
      </c>
      <c r="J24" s="42" t="s">
        <v>153</v>
      </c>
      <c r="K24" s="42" t="s">
        <v>171</v>
      </c>
      <c r="L24" s="63"/>
      <c r="M24" s="63"/>
      <c r="N24" s="63"/>
      <c r="O24" s="63"/>
      <c r="P24" s="42" t="s">
        <v>151</v>
      </c>
      <c r="Q24" s="42" t="s">
        <v>227</v>
      </c>
      <c r="R24" s="42" t="s">
        <v>153</v>
      </c>
      <c r="S24" s="42" t="s">
        <v>228</v>
      </c>
      <c r="T24" s="42" t="s">
        <v>179</v>
      </c>
      <c r="U24" s="68" t="s">
        <v>152</v>
      </c>
      <c r="V24" s="42" t="s">
        <v>158</v>
      </c>
      <c r="W24" s="68" t="s">
        <v>152</v>
      </c>
      <c r="X24" s="68" t="s">
        <v>207</v>
      </c>
      <c r="Y24" s="70" t="s">
        <v>229</v>
      </c>
      <c r="Z24" s="68" t="s">
        <v>230</v>
      </c>
    </row>
    <row r="25">
      <c r="A25" s="42" t="s">
        <v>231</v>
      </c>
      <c r="B25" s="61" t="s">
        <v>232</v>
      </c>
      <c r="C25" s="61" t="s">
        <v>150</v>
      </c>
      <c r="D25" s="61" t="s">
        <v>150</v>
      </c>
      <c r="E25" s="61">
        <v>90.0</v>
      </c>
      <c r="F25" s="61">
        <v>90.0</v>
      </c>
      <c r="G25" s="42" t="s">
        <v>151</v>
      </c>
      <c r="H25" s="61">
        <v>1000.0</v>
      </c>
      <c r="I25" s="62" t="s">
        <v>152</v>
      </c>
      <c r="J25" s="42" t="s">
        <v>153</v>
      </c>
      <c r="K25" s="42" t="s">
        <v>171</v>
      </c>
      <c r="L25" s="63"/>
      <c r="M25" s="63"/>
      <c r="N25" s="63"/>
      <c r="O25" s="63"/>
      <c r="P25" s="42" t="s">
        <v>151</v>
      </c>
      <c r="Q25" s="42" t="s">
        <v>233</v>
      </c>
      <c r="R25" s="42" t="s">
        <v>153</v>
      </c>
      <c r="S25" s="42" t="s">
        <v>234</v>
      </c>
      <c r="T25" s="42" t="s">
        <v>235</v>
      </c>
      <c r="U25" s="62" t="s">
        <v>152</v>
      </c>
      <c r="V25" s="42" t="s">
        <v>167</v>
      </c>
      <c r="W25" s="62" t="s">
        <v>152</v>
      </c>
      <c r="X25" s="62" t="s">
        <v>159</v>
      </c>
      <c r="Y25" s="64" t="s">
        <v>160</v>
      </c>
      <c r="Z25" s="62" t="s">
        <v>161</v>
      </c>
    </row>
    <row r="26">
      <c r="A26" s="42" t="s">
        <v>236</v>
      </c>
      <c r="B26" s="61" t="s">
        <v>237</v>
      </c>
      <c r="C26" s="61" t="s">
        <v>150</v>
      </c>
      <c r="D26" s="61" t="s">
        <v>150</v>
      </c>
      <c r="E26" s="61">
        <v>360.0</v>
      </c>
      <c r="F26" s="61">
        <v>360.0</v>
      </c>
      <c r="G26" s="42" t="s">
        <v>151</v>
      </c>
      <c r="H26" s="61">
        <v>1000.0</v>
      </c>
      <c r="I26" s="62" t="s">
        <v>152</v>
      </c>
      <c r="J26" s="42" t="s">
        <v>153</v>
      </c>
      <c r="K26" s="42" t="s">
        <v>171</v>
      </c>
      <c r="L26" s="63"/>
      <c r="M26" s="63"/>
      <c r="N26" s="63"/>
      <c r="O26" s="63"/>
      <c r="P26" s="42" t="s">
        <v>151</v>
      </c>
      <c r="Q26" s="42" t="s">
        <v>164</v>
      </c>
      <c r="R26" s="42" t="s">
        <v>153</v>
      </c>
      <c r="S26" s="42" t="s">
        <v>238</v>
      </c>
      <c r="T26" s="42" t="s">
        <v>239</v>
      </c>
      <c r="U26" s="62" t="s">
        <v>152</v>
      </c>
      <c r="V26" s="42" t="s">
        <v>158</v>
      </c>
      <c r="W26" s="62" t="s">
        <v>152</v>
      </c>
      <c r="X26" s="62" t="s">
        <v>159</v>
      </c>
      <c r="Y26" s="64" t="s">
        <v>160</v>
      </c>
      <c r="Z26" s="62" t="s">
        <v>161</v>
      </c>
    </row>
    <row r="27">
      <c r="A27" s="42" t="s">
        <v>240</v>
      </c>
      <c r="B27" s="61" t="s">
        <v>241</v>
      </c>
      <c r="C27" s="61" t="s">
        <v>150</v>
      </c>
      <c r="D27" s="61" t="s">
        <v>150</v>
      </c>
      <c r="E27" s="61">
        <v>91.0</v>
      </c>
      <c r="F27" s="61">
        <v>31.0</v>
      </c>
      <c r="G27" s="42" t="s">
        <v>151</v>
      </c>
      <c r="H27" s="61">
        <v>1.0</v>
      </c>
      <c r="I27" s="65" t="s">
        <v>152</v>
      </c>
      <c r="J27" s="42" t="s">
        <v>153</v>
      </c>
      <c r="K27" s="42" t="s">
        <v>171</v>
      </c>
      <c r="L27" s="63"/>
      <c r="M27" s="63"/>
      <c r="N27" s="63"/>
      <c r="O27" s="63"/>
      <c r="P27" s="42" t="s">
        <v>151</v>
      </c>
      <c r="Q27" s="42" t="s">
        <v>164</v>
      </c>
      <c r="R27" s="42" t="s">
        <v>153</v>
      </c>
      <c r="S27" s="42" t="s">
        <v>242</v>
      </c>
      <c r="T27" s="42" t="s">
        <v>243</v>
      </c>
      <c r="U27" s="65" t="s">
        <v>152</v>
      </c>
      <c r="V27" s="42" t="s">
        <v>158</v>
      </c>
      <c r="W27" s="65" t="s">
        <v>152</v>
      </c>
      <c r="X27" s="65" t="s">
        <v>168</v>
      </c>
      <c r="Y27" s="64" t="s">
        <v>160</v>
      </c>
      <c r="Z27" s="65" t="s">
        <v>161</v>
      </c>
    </row>
    <row r="28">
      <c r="A28" s="42" t="s">
        <v>244</v>
      </c>
      <c r="B28" s="61" t="s">
        <v>170</v>
      </c>
      <c r="C28" s="61" t="s">
        <v>190</v>
      </c>
      <c r="D28" s="61" t="s">
        <v>150</v>
      </c>
      <c r="E28" s="61">
        <v>730.0</v>
      </c>
      <c r="F28" s="61">
        <v>0.0</v>
      </c>
      <c r="G28" s="42" t="s">
        <v>151</v>
      </c>
      <c r="H28" s="61">
        <v>1.0</v>
      </c>
      <c r="I28" s="62" t="s">
        <v>152</v>
      </c>
      <c r="J28" s="42" t="s">
        <v>153</v>
      </c>
      <c r="K28" s="42" t="s">
        <v>171</v>
      </c>
      <c r="L28" s="63"/>
      <c r="M28" s="63"/>
      <c r="N28" s="63"/>
      <c r="O28" s="63"/>
      <c r="P28" s="42" t="s">
        <v>151</v>
      </c>
      <c r="Q28" s="42" t="s">
        <v>205</v>
      </c>
      <c r="R28" s="42" t="s">
        <v>153</v>
      </c>
      <c r="S28" s="42" t="s">
        <v>245</v>
      </c>
      <c r="T28" s="42" t="s">
        <v>246</v>
      </c>
      <c r="U28" s="62" t="s">
        <v>152</v>
      </c>
      <c r="V28" s="42" t="s">
        <v>167</v>
      </c>
      <c r="W28" s="62" t="s">
        <v>152</v>
      </c>
      <c r="X28" s="62" t="s">
        <v>159</v>
      </c>
      <c r="Y28" s="64" t="s">
        <v>160</v>
      </c>
      <c r="Z28" s="62" t="s">
        <v>161</v>
      </c>
    </row>
    <row r="29">
      <c r="A29" s="42" t="s">
        <v>247</v>
      </c>
      <c r="B29" s="61" t="s">
        <v>188</v>
      </c>
      <c r="C29" s="61" t="s">
        <v>150</v>
      </c>
      <c r="D29" s="61" t="s">
        <v>150</v>
      </c>
      <c r="E29" s="61">
        <v>90.0</v>
      </c>
      <c r="F29" s="61">
        <v>90.0</v>
      </c>
      <c r="G29" s="42" t="s">
        <v>151</v>
      </c>
      <c r="H29" s="61">
        <v>100.0</v>
      </c>
      <c r="I29" s="61">
        <v>500000.0</v>
      </c>
      <c r="J29" s="42" t="s">
        <v>153</v>
      </c>
      <c r="K29" s="42" t="s">
        <v>171</v>
      </c>
      <c r="L29" s="63"/>
      <c r="M29" s="63"/>
      <c r="N29" s="63"/>
      <c r="O29" s="63"/>
      <c r="P29" s="42" t="s">
        <v>151</v>
      </c>
      <c r="Q29" s="42" t="s">
        <v>164</v>
      </c>
      <c r="R29" s="42" t="s">
        <v>153</v>
      </c>
      <c r="S29" s="42" t="s">
        <v>248</v>
      </c>
      <c r="T29" s="42" t="s">
        <v>246</v>
      </c>
      <c r="U29" s="68" t="s">
        <v>152</v>
      </c>
      <c r="V29" s="42" t="s">
        <v>167</v>
      </c>
      <c r="W29" s="68" t="s">
        <v>152</v>
      </c>
      <c r="X29" s="68" t="s">
        <v>207</v>
      </c>
      <c r="Y29" s="70" t="s">
        <v>229</v>
      </c>
      <c r="Z29" s="68" t="s">
        <v>230</v>
      </c>
    </row>
    <row r="30">
      <c r="A30" s="42" t="s">
        <v>249</v>
      </c>
      <c r="B30" s="61" t="s">
        <v>250</v>
      </c>
      <c r="C30" s="61" t="s">
        <v>150</v>
      </c>
      <c r="D30" s="61" t="s">
        <v>150</v>
      </c>
      <c r="E30" s="61">
        <v>181.0</v>
      </c>
      <c r="F30" s="61">
        <v>181.0</v>
      </c>
      <c r="G30" s="42" t="s">
        <v>151</v>
      </c>
      <c r="H30" s="61">
        <v>100.0</v>
      </c>
      <c r="I30" s="61">
        <v>500000.0</v>
      </c>
      <c r="J30" s="42" t="s">
        <v>153</v>
      </c>
      <c r="K30" s="42" t="s">
        <v>171</v>
      </c>
      <c r="L30" s="63"/>
      <c r="M30" s="63"/>
      <c r="N30" s="63"/>
      <c r="O30" s="63"/>
      <c r="P30" s="42" t="s">
        <v>151</v>
      </c>
      <c r="Q30" s="42" t="s">
        <v>164</v>
      </c>
      <c r="R30" s="42" t="s">
        <v>153</v>
      </c>
      <c r="S30" s="42" t="s">
        <v>251</v>
      </c>
      <c r="T30" s="42" t="s">
        <v>246</v>
      </c>
      <c r="U30" s="68" t="s">
        <v>152</v>
      </c>
      <c r="V30" s="42" t="s">
        <v>167</v>
      </c>
      <c r="W30" s="68" t="s">
        <v>152</v>
      </c>
      <c r="X30" s="68" t="s">
        <v>207</v>
      </c>
      <c r="Y30" s="70" t="s">
        <v>229</v>
      </c>
      <c r="Z30" s="68" t="s">
        <v>230</v>
      </c>
    </row>
    <row r="31">
      <c r="A31" s="42" t="s">
        <v>252</v>
      </c>
      <c r="B31" s="61" t="s">
        <v>253</v>
      </c>
      <c r="C31" s="61" t="s">
        <v>150</v>
      </c>
      <c r="D31" s="61" t="s">
        <v>150</v>
      </c>
      <c r="E31" s="61">
        <v>361.0</v>
      </c>
      <c r="F31" s="61">
        <v>361.0</v>
      </c>
      <c r="G31" s="42" t="s">
        <v>151</v>
      </c>
      <c r="H31" s="61">
        <v>100.0</v>
      </c>
      <c r="I31" s="61">
        <v>500000.0</v>
      </c>
      <c r="J31" s="42" t="s">
        <v>153</v>
      </c>
      <c r="K31" s="42" t="s">
        <v>171</v>
      </c>
      <c r="L31" s="63"/>
      <c r="M31" s="63"/>
      <c r="N31" s="63"/>
      <c r="O31" s="63"/>
      <c r="P31" s="42" t="s">
        <v>151</v>
      </c>
      <c r="Q31" s="42" t="s">
        <v>164</v>
      </c>
      <c r="R31" s="42" t="s">
        <v>153</v>
      </c>
      <c r="S31" s="42" t="s">
        <v>254</v>
      </c>
      <c r="T31" s="42" t="s">
        <v>246</v>
      </c>
      <c r="U31" s="68" t="s">
        <v>152</v>
      </c>
      <c r="V31" s="42" t="s">
        <v>167</v>
      </c>
      <c r="W31" s="68" t="s">
        <v>152</v>
      </c>
      <c r="X31" s="68" t="s">
        <v>207</v>
      </c>
      <c r="Y31" s="70" t="s">
        <v>229</v>
      </c>
      <c r="Z31" s="68" t="s">
        <v>230</v>
      </c>
    </row>
    <row r="32">
      <c r="A32" s="42" t="s">
        <v>255</v>
      </c>
      <c r="B32" s="61" t="s">
        <v>256</v>
      </c>
      <c r="C32" s="61" t="s">
        <v>150</v>
      </c>
      <c r="D32" s="61" t="s">
        <v>150</v>
      </c>
      <c r="E32" s="61">
        <v>721.0</v>
      </c>
      <c r="F32" s="61">
        <v>721.0</v>
      </c>
      <c r="G32" s="42" t="s">
        <v>151</v>
      </c>
      <c r="H32" s="61">
        <v>100.0</v>
      </c>
      <c r="I32" s="61">
        <v>500000.0</v>
      </c>
      <c r="J32" s="42" t="s">
        <v>153</v>
      </c>
      <c r="K32" s="42" t="s">
        <v>171</v>
      </c>
      <c r="L32" s="63"/>
      <c r="M32" s="63"/>
      <c r="N32" s="63"/>
      <c r="O32" s="63"/>
      <c r="P32" s="42" t="s">
        <v>151</v>
      </c>
      <c r="Q32" s="42" t="s">
        <v>164</v>
      </c>
      <c r="R32" s="42" t="s">
        <v>153</v>
      </c>
      <c r="S32" s="42" t="s">
        <v>257</v>
      </c>
      <c r="T32" s="42" t="s">
        <v>246</v>
      </c>
      <c r="U32" s="68" t="s">
        <v>152</v>
      </c>
      <c r="V32" s="42" t="s">
        <v>167</v>
      </c>
      <c r="W32" s="68" t="s">
        <v>152</v>
      </c>
      <c r="X32" s="68" t="s">
        <v>207</v>
      </c>
      <c r="Y32" s="70" t="s">
        <v>229</v>
      </c>
      <c r="Z32" s="68" t="s">
        <v>230</v>
      </c>
    </row>
    <row r="33">
      <c r="A33" s="42" t="s">
        <v>76</v>
      </c>
      <c r="B33" s="61" t="s">
        <v>258</v>
      </c>
      <c r="C33" s="61" t="s">
        <v>150</v>
      </c>
      <c r="D33" s="61" t="s">
        <v>150</v>
      </c>
      <c r="E33" s="61">
        <v>60.0</v>
      </c>
      <c r="F33" s="61">
        <v>60.0</v>
      </c>
      <c r="G33" s="42" t="s">
        <v>151</v>
      </c>
      <c r="H33" s="61">
        <v>100.0</v>
      </c>
      <c r="I33" s="61">
        <v>20000.0</v>
      </c>
      <c r="J33" s="42" t="s">
        <v>153</v>
      </c>
      <c r="K33" s="42" t="s">
        <v>171</v>
      </c>
      <c r="L33" s="63"/>
      <c r="M33" s="63"/>
      <c r="N33" s="63"/>
      <c r="O33" s="63"/>
      <c r="P33" s="42" t="s">
        <v>151</v>
      </c>
      <c r="Q33" s="42" t="s">
        <v>164</v>
      </c>
      <c r="R33" s="42" t="s">
        <v>153</v>
      </c>
      <c r="S33" s="42" t="s">
        <v>259</v>
      </c>
      <c r="T33" s="42" t="s">
        <v>246</v>
      </c>
      <c r="U33" s="68" t="s">
        <v>152</v>
      </c>
      <c r="V33" s="42" t="s">
        <v>167</v>
      </c>
      <c r="W33" s="68" t="s">
        <v>152</v>
      </c>
      <c r="X33" s="68" t="s">
        <v>207</v>
      </c>
      <c r="Y33" s="70" t="s">
        <v>229</v>
      </c>
      <c r="Z33" s="68" t="s">
        <v>230</v>
      </c>
    </row>
    <row r="34">
      <c r="A34" s="42" t="s">
        <v>260</v>
      </c>
      <c r="B34" s="61" t="s">
        <v>170</v>
      </c>
      <c r="C34" s="61" t="s">
        <v>150</v>
      </c>
      <c r="D34" s="61" t="s">
        <v>150</v>
      </c>
      <c r="E34" s="61">
        <v>1095.0</v>
      </c>
      <c r="F34" s="61">
        <v>0.0</v>
      </c>
      <c r="G34" s="42" t="s">
        <v>151</v>
      </c>
      <c r="H34" s="61">
        <v>1.0</v>
      </c>
      <c r="I34" s="62" t="s">
        <v>152</v>
      </c>
      <c r="J34" s="42" t="s">
        <v>153</v>
      </c>
      <c r="K34" s="42" t="s">
        <v>171</v>
      </c>
      <c r="L34" s="63"/>
      <c r="M34" s="63"/>
      <c r="N34" s="63"/>
      <c r="O34" s="63"/>
      <c r="P34" s="42" t="s">
        <v>151</v>
      </c>
      <c r="Q34" s="42" t="s">
        <v>164</v>
      </c>
      <c r="R34" s="42" t="s">
        <v>153</v>
      </c>
      <c r="S34" s="42" t="s">
        <v>261</v>
      </c>
      <c r="T34" s="42" t="s">
        <v>246</v>
      </c>
      <c r="U34" s="62" t="s">
        <v>152</v>
      </c>
      <c r="V34" s="42" t="s">
        <v>167</v>
      </c>
      <c r="W34" s="62" t="s">
        <v>152</v>
      </c>
      <c r="X34" s="62" t="s">
        <v>159</v>
      </c>
      <c r="Y34" s="64" t="s">
        <v>160</v>
      </c>
      <c r="Z34" s="62" t="s">
        <v>161</v>
      </c>
    </row>
    <row r="35">
      <c r="A35" s="42" t="s">
        <v>262</v>
      </c>
      <c r="B35" s="61" t="s">
        <v>263</v>
      </c>
      <c r="C35" s="61" t="s">
        <v>150</v>
      </c>
      <c r="D35" s="61" t="s">
        <v>150</v>
      </c>
      <c r="E35" s="61">
        <v>90.0</v>
      </c>
      <c r="F35" s="61">
        <v>90.0</v>
      </c>
      <c r="G35" s="42" t="s">
        <v>151</v>
      </c>
      <c r="H35" s="61">
        <v>1.0</v>
      </c>
      <c r="I35" s="61">
        <v>1.0E7</v>
      </c>
      <c r="J35" s="42" t="s">
        <v>153</v>
      </c>
      <c r="K35" s="42" t="s">
        <v>171</v>
      </c>
      <c r="L35" s="63"/>
      <c r="M35" s="63"/>
      <c r="N35" s="63"/>
      <c r="O35" s="63"/>
      <c r="P35" s="42" t="s">
        <v>151</v>
      </c>
      <c r="Q35" s="42" t="s">
        <v>164</v>
      </c>
      <c r="R35" s="42" t="s">
        <v>153</v>
      </c>
      <c r="S35" s="42" t="s">
        <v>264</v>
      </c>
      <c r="T35" s="62" t="s">
        <v>152</v>
      </c>
      <c r="U35" s="62" t="s">
        <v>152</v>
      </c>
      <c r="V35" s="42" t="s">
        <v>265</v>
      </c>
      <c r="W35" s="62" t="s">
        <v>152</v>
      </c>
      <c r="X35" s="62" t="s">
        <v>159</v>
      </c>
      <c r="Y35" s="64" t="s">
        <v>160</v>
      </c>
      <c r="Z35" s="62" t="s">
        <v>266</v>
      </c>
    </row>
    <row r="36">
      <c r="A36" s="42" t="s">
        <v>267</v>
      </c>
      <c r="B36" s="61" t="s">
        <v>204</v>
      </c>
      <c r="C36" s="61" t="s">
        <v>150</v>
      </c>
      <c r="D36" s="61" t="s">
        <v>150</v>
      </c>
      <c r="E36" s="61">
        <v>180.0</v>
      </c>
      <c r="F36" s="61">
        <v>180.0</v>
      </c>
      <c r="G36" s="42" t="s">
        <v>151</v>
      </c>
      <c r="H36" s="61">
        <v>500.0</v>
      </c>
      <c r="I36" s="61">
        <v>1.0E7</v>
      </c>
      <c r="J36" s="42" t="s">
        <v>153</v>
      </c>
      <c r="K36" s="42" t="s">
        <v>171</v>
      </c>
      <c r="L36" s="63"/>
      <c r="M36" s="63"/>
      <c r="N36" s="63"/>
      <c r="O36" s="63"/>
      <c r="P36" s="42" t="s">
        <v>151</v>
      </c>
      <c r="Q36" s="42" t="s">
        <v>164</v>
      </c>
      <c r="R36" s="42" t="s">
        <v>153</v>
      </c>
      <c r="S36" s="42" t="s">
        <v>268</v>
      </c>
      <c r="T36" s="62" t="s">
        <v>152</v>
      </c>
      <c r="U36" s="62" t="s">
        <v>152</v>
      </c>
      <c r="V36" s="42" t="s">
        <v>265</v>
      </c>
      <c r="W36" s="62" t="s">
        <v>152</v>
      </c>
      <c r="X36" s="62" t="s">
        <v>159</v>
      </c>
      <c r="Y36" s="64" t="s">
        <v>160</v>
      </c>
      <c r="Z36" s="62" t="s">
        <v>266</v>
      </c>
    </row>
    <row r="37">
      <c r="A37" s="42" t="s">
        <v>269</v>
      </c>
      <c r="B37" s="61" t="s">
        <v>270</v>
      </c>
      <c r="C37" s="61" t="s">
        <v>150</v>
      </c>
      <c r="D37" s="61" t="s">
        <v>150</v>
      </c>
      <c r="E37" s="61">
        <v>720.0</v>
      </c>
      <c r="F37" s="61">
        <v>720.0</v>
      </c>
      <c r="G37" s="42" t="s">
        <v>151</v>
      </c>
      <c r="H37" s="61">
        <v>500.0</v>
      </c>
      <c r="I37" s="61">
        <v>1.0E7</v>
      </c>
      <c r="J37" s="42" t="s">
        <v>153</v>
      </c>
      <c r="K37" s="42" t="s">
        <v>171</v>
      </c>
      <c r="L37" s="63"/>
      <c r="M37" s="63"/>
      <c r="N37" s="63"/>
      <c r="O37" s="63"/>
      <c r="P37" s="42" t="s">
        <v>151</v>
      </c>
      <c r="Q37" s="42" t="s">
        <v>233</v>
      </c>
      <c r="R37" s="42" t="s">
        <v>153</v>
      </c>
      <c r="S37" s="42" t="s">
        <v>271</v>
      </c>
      <c r="T37" s="62" t="s">
        <v>152</v>
      </c>
      <c r="U37" s="62" t="s">
        <v>152</v>
      </c>
      <c r="V37" s="42" t="s">
        <v>265</v>
      </c>
      <c r="W37" s="62" t="s">
        <v>152</v>
      </c>
      <c r="X37" s="62" t="s">
        <v>159</v>
      </c>
      <c r="Y37" s="64" t="s">
        <v>160</v>
      </c>
      <c r="Z37" s="62" t="s">
        <v>266</v>
      </c>
    </row>
    <row r="38">
      <c r="A38" s="42" t="s">
        <v>272</v>
      </c>
      <c r="B38" s="61" t="s">
        <v>222</v>
      </c>
      <c r="C38" s="61" t="s">
        <v>150</v>
      </c>
      <c r="D38" s="61" t="s">
        <v>150</v>
      </c>
      <c r="E38" s="61">
        <v>365.0</v>
      </c>
      <c r="F38" s="61">
        <v>365.0</v>
      </c>
      <c r="G38" s="42" t="s">
        <v>151</v>
      </c>
      <c r="H38" s="61">
        <v>500.0</v>
      </c>
      <c r="I38" s="61">
        <v>1.0E7</v>
      </c>
      <c r="J38" s="42" t="s">
        <v>153</v>
      </c>
      <c r="K38" s="42" t="s">
        <v>171</v>
      </c>
      <c r="L38" s="63"/>
      <c r="M38" s="63"/>
      <c r="N38" s="63"/>
      <c r="O38" s="63"/>
      <c r="P38" s="42" t="s">
        <v>151</v>
      </c>
      <c r="Q38" s="42" t="s">
        <v>233</v>
      </c>
      <c r="R38" s="42" t="s">
        <v>153</v>
      </c>
      <c r="S38" s="42" t="s">
        <v>273</v>
      </c>
      <c r="T38" s="65" t="s">
        <v>152</v>
      </c>
      <c r="U38" s="65" t="s">
        <v>152</v>
      </c>
      <c r="V38" s="42" t="s">
        <v>265</v>
      </c>
      <c r="W38" s="65" t="s">
        <v>152</v>
      </c>
      <c r="X38" s="65" t="s">
        <v>168</v>
      </c>
      <c r="Y38" s="64" t="s">
        <v>160</v>
      </c>
      <c r="Z38" s="65" t="s">
        <v>266</v>
      </c>
    </row>
    <row r="39">
      <c r="A39" s="42" t="s">
        <v>274</v>
      </c>
      <c r="B39" s="61" t="s">
        <v>232</v>
      </c>
      <c r="C39" s="61" t="s">
        <v>150</v>
      </c>
      <c r="D39" s="61" t="s">
        <v>150</v>
      </c>
      <c r="E39" s="61">
        <v>180.0</v>
      </c>
      <c r="F39" s="61">
        <v>180.0</v>
      </c>
      <c r="G39" s="42" t="s">
        <v>151</v>
      </c>
      <c r="H39" s="61">
        <v>500.0</v>
      </c>
      <c r="I39" s="61">
        <v>1.0E7</v>
      </c>
      <c r="J39" s="42" t="s">
        <v>153</v>
      </c>
      <c r="K39" s="42" t="s">
        <v>171</v>
      </c>
      <c r="L39" s="63"/>
      <c r="M39" s="63"/>
      <c r="N39" s="63"/>
      <c r="O39" s="63"/>
      <c r="P39" s="42" t="s">
        <v>151</v>
      </c>
      <c r="Q39" s="42" t="s">
        <v>233</v>
      </c>
      <c r="R39" s="42" t="s">
        <v>153</v>
      </c>
      <c r="S39" s="42" t="s">
        <v>275</v>
      </c>
      <c r="T39" s="62" t="s">
        <v>152</v>
      </c>
      <c r="U39" s="62" t="s">
        <v>152</v>
      </c>
      <c r="V39" s="42" t="s">
        <v>265</v>
      </c>
      <c r="W39" s="62" t="s">
        <v>152</v>
      </c>
      <c r="X39" s="62" t="s">
        <v>159</v>
      </c>
      <c r="Y39" s="64" t="s">
        <v>160</v>
      </c>
      <c r="Z39" s="62" t="s">
        <v>266</v>
      </c>
    </row>
    <row r="40">
      <c r="A40" s="42" t="s">
        <v>276</v>
      </c>
      <c r="B40" s="61" t="s">
        <v>277</v>
      </c>
      <c r="C40" s="61" t="s">
        <v>150</v>
      </c>
      <c r="D40" s="61" t="s">
        <v>150</v>
      </c>
      <c r="E40" s="61">
        <v>365.0</v>
      </c>
      <c r="F40" s="61">
        <v>365.0</v>
      </c>
      <c r="G40" s="42" t="s">
        <v>151</v>
      </c>
      <c r="H40" s="61">
        <v>500.0</v>
      </c>
      <c r="I40" s="61">
        <v>1.0E7</v>
      </c>
      <c r="J40" s="42" t="s">
        <v>153</v>
      </c>
      <c r="K40" s="42" t="s">
        <v>171</v>
      </c>
      <c r="L40" s="63"/>
      <c r="M40" s="63"/>
      <c r="N40" s="63"/>
      <c r="O40" s="63"/>
      <c r="P40" s="42" t="s">
        <v>151</v>
      </c>
      <c r="Q40" s="42" t="s">
        <v>278</v>
      </c>
      <c r="R40" s="42" t="s">
        <v>153</v>
      </c>
      <c r="S40" s="42" t="s">
        <v>279</v>
      </c>
      <c r="T40" s="65" t="s">
        <v>152</v>
      </c>
      <c r="U40" s="65" t="s">
        <v>152</v>
      </c>
      <c r="V40" s="42" t="s">
        <v>265</v>
      </c>
      <c r="W40" s="65" t="s">
        <v>152</v>
      </c>
      <c r="X40" s="65" t="s">
        <v>168</v>
      </c>
      <c r="Y40" s="64" t="s">
        <v>160</v>
      </c>
      <c r="Z40" s="65" t="s">
        <v>266</v>
      </c>
    </row>
    <row r="41">
      <c r="A41" s="42" t="s">
        <v>280</v>
      </c>
      <c r="B41" s="61" t="s">
        <v>256</v>
      </c>
      <c r="C41" s="61" t="s">
        <v>150</v>
      </c>
      <c r="D41" s="61" t="s">
        <v>150</v>
      </c>
      <c r="E41" s="61">
        <v>90.0</v>
      </c>
      <c r="F41" s="61">
        <v>90.0</v>
      </c>
      <c r="G41" s="42" t="s">
        <v>151</v>
      </c>
      <c r="H41" s="61">
        <v>100.0</v>
      </c>
      <c r="I41" s="62" t="s">
        <v>152</v>
      </c>
      <c r="J41" s="42" t="s">
        <v>151</v>
      </c>
      <c r="K41" s="42" t="s">
        <v>171</v>
      </c>
      <c r="L41" s="62" t="s">
        <v>152</v>
      </c>
      <c r="M41" s="62" t="s">
        <v>152</v>
      </c>
      <c r="N41" s="62" t="s">
        <v>152</v>
      </c>
      <c r="O41" s="62" t="s">
        <v>152</v>
      </c>
      <c r="P41" s="42" t="s">
        <v>153</v>
      </c>
      <c r="Q41" s="42" t="s">
        <v>164</v>
      </c>
      <c r="R41" s="42" t="s">
        <v>153</v>
      </c>
      <c r="S41" s="42" t="s">
        <v>281</v>
      </c>
      <c r="T41" s="42" t="s">
        <v>282</v>
      </c>
      <c r="U41" s="62" t="s">
        <v>152</v>
      </c>
      <c r="V41" s="42" t="s">
        <v>167</v>
      </c>
      <c r="W41" s="62" t="s">
        <v>152</v>
      </c>
      <c r="X41" s="62" t="s">
        <v>159</v>
      </c>
      <c r="Y41" s="66" t="s">
        <v>173</v>
      </c>
      <c r="Z41" s="62" t="s">
        <v>283</v>
      </c>
    </row>
    <row r="42">
      <c r="A42" s="42" t="s">
        <v>284</v>
      </c>
      <c r="B42" s="61" t="s">
        <v>256</v>
      </c>
      <c r="C42" s="61" t="s">
        <v>150</v>
      </c>
      <c r="D42" s="61" t="s">
        <v>150</v>
      </c>
      <c r="E42" s="61">
        <v>180.0</v>
      </c>
      <c r="F42" s="61">
        <v>180.0</v>
      </c>
      <c r="G42" s="42" t="s">
        <v>151</v>
      </c>
      <c r="H42" s="61">
        <v>100.0</v>
      </c>
      <c r="I42" s="62" t="s">
        <v>152</v>
      </c>
      <c r="J42" s="42" t="s">
        <v>151</v>
      </c>
      <c r="K42" s="42" t="s">
        <v>171</v>
      </c>
      <c r="L42" s="62" t="s">
        <v>152</v>
      </c>
      <c r="M42" s="62" t="s">
        <v>152</v>
      </c>
      <c r="N42" s="62" t="s">
        <v>152</v>
      </c>
      <c r="O42" s="62" t="s">
        <v>152</v>
      </c>
      <c r="P42" s="42" t="s">
        <v>153</v>
      </c>
      <c r="Q42" s="42" t="s">
        <v>164</v>
      </c>
      <c r="R42" s="42" t="s">
        <v>153</v>
      </c>
      <c r="S42" s="42" t="s">
        <v>285</v>
      </c>
      <c r="T42" s="42" t="s">
        <v>282</v>
      </c>
      <c r="U42" s="62" t="s">
        <v>152</v>
      </c>
      <c r="V42" s="42" t="s">
        <v>167</v>
      </c>
      <c r="W42" s="62" t="s">
        <v>152</v>
      </c>
      <c r="X42" s="62" t="s">
        <v>159</v>
      </c>
      <c r="Y42" s="66" t="s">
        <v>173</v>
      </c>
      <c r="Z42" s="62" t="s">
        <v>283</v>
      </c>
    </row>
    <row r="43">
      <c r="A43" s="42" t="s">
        <v>286</v>
      </c>
      <c r="B43" s="61" t="s">
        <v>287</v>
      </c>
      <c r="C43" s="61" t="s">
        <v>150</v>
      </c>
      <c r="D43" s="61" t="s">
        <v>150</v>
      </c>
      <c r="E43" s="61">
        <v>540.0</v>
      </c>
      <c r="F43" s="61">
        <v>540.0</v>
      </c>
      <c r="G43" s="42" t="s">
        <v>151</v>
      </c>
      <c r="H43" s="61">
        <v>100.0</v>
      </c>
      <c r="I43" s="62" t="s">
        <v>152</v>
      </c>
      <c r="J43" s="42" t="s">
        <v>153</v>
      </c>
      <c r="K43" s="42" t="s">
        <v>171</v>
      </c>
      <c r="L43" s="63"/>
      <c r="M43" s="63"/>
      <c r="N43" s="63"/>
      <c r="O43" s="63"/>
      <c r="P43" s="42" t="s">
        <v>151</v>
      </c>
      <c r="Q43" s="42" t="s">
        <v>164</v>
      </c>
      <c r="R43" s="42" t="s">
        <v>153</v>
      </c>
      <c r="S43" s="42" t="s">
        <v>288</v>
      </c>
      <c r="T43" s="42" t="s">
        <v>282</v>
      </c>
      <c r="U43" s="62" t="s">
        <v>152</v>
      </c>
      <c r="V43" s="42" t="s">
        <v>167</v>
      </c>
      <c r="W43" s="62" t="s">
        <v>152</v>
      </c>
      <c r="X43" s="62" t="s">
        <v>159</v>
      </c>
      <c r="Y43" s="64" t="s">
        <v>160</v>
      </c>
      <c r="Z43" s="62" t="s">
        <v>161</v>
      </c>
    </row>
    <row r="44">
      <c r="A44" s="42" t="s">
        <v>289</v>
      </c>
      <c r="B44" s="61" t="s">
        <v>290</v>
      </c>
      <c r="C44" s="61" t="s">
        <v>150</v>
      </c>
      <c r="D44" s="61" t="s">
        <v>150</v>
      </c>
      <c r="E44" s="61">
        <v>366.0</v>
      </c>
      <c r="F44" s="61">
        <v>366.0</v>
      </c>
      <c r="G44" s="42" t="s">
        <v>151</v>
      </c>
      <c r="H44" s="61">
        <v>1.0</v>
      </c>
      <c r="I44" s="62" t="s">
        <v>152</v>
      </c>
      <c r="J44" s="42" t="s">
        <v>153</v>
      </c>
      <c r="K44" s="42" t="s">
        <v>171</v>
      </c>
      <c r="L44" s="63"/>
      <c r="M44" s="63"/>
      <c r="N44" s="63"/>
      <c r="O44" s="63"/>
      <c r="P44" s="42" t="s">
        <v>151</v>
      </c>
      <c r="Q44" s="42" t="s">
        <v>164</v>
      </c>
      <c r="R44" s="42" t="s">
        <v>153</v>
      </c>
      <c r="S44" s="42" t="s">
        <v>291</v>
      </c>
      <c r="T44" s="42" t="s">
        <v>292</v>
      </c>
      <c r="U44" s="62" t="s">
        <v>152</v>
      </c>
      <c r="V44" s="42" t="s">
        <v>167</v>
      </c>
      <c r="W44" s="62" t="s">
        <v>152</v>
      </c>
      <c r="X44" s="62" t="s">
        <v>159</v>
      </c>
      <c r="Y44" s="64" t="s">
        <v>160</v>
      </c>
      <c r="Z44" s="62" t="s">
        <v>161</v>
      </c>
    </row>
    <row r="45">
      <c r="A45" s="42" t="s">
        <v>75</v>
      </c>
      <c r="B45" s="61" t="s">
        <v>204</v>
      </c>
      <c r="C45" s="61" t="s">
        <v>150</v>
      </c>
      <c r="D45" s="61" t="s">
        <v>150</v>
      </c>
      <c r="E45" s="61">
        <v>1086.0</v>
      </c>
      <c r="F45" s="61">
        <v>0.0</v>
      </c>
      <c r="G45" s="42" t="s">
        <v>151</v>
      </c>
      <c r="H45" s="61">
        <v>1.0</v>
      </c>
      <c r="I45" s="68" t="s">
        <v>152</v>
      </c>
      <c r="J45" s="42" t="s">
        <v>153</v>
      </c>
      <c r="K45" s="42" t="s">
        <v>171</v>
      </c>
      <c r="L45" s="63"/>
      <c r="M45" s="63"/>
      <c r="N45" s="63"/>
      <c r="O45" s="63"/>
      <c r="P45" s="42" t="s">
        <v>151</v>
      </c>
      <c r="Q45" s="42" t="s">
        <v>164</v>
      </c>
      <c r="R45" s="42" t="s">
        <v>153</v>
      </c>
      <c r="S45" s="42" t="s">
        <v>293</v>
      </c>
      <c r="T45" s="42" t="s">
        <v>292</v>
      </c>
      <c r="U45" s="68" t="s">
        <v>152</v>
      </c>
      <c r="V45" s="42" t="s">
        <v>167</v>
      </c>
      <c r="W45" s="68" t="s">
        <v>152</v>
      </c>
      <c r="X45" s="68" t="s">
        <v>207</v>
      </c>
      <c r="Y45" s="64" t="s">
        <v>160</v>
      </c>
      <c r="Z45" s="68" t="s">
        <v>161</v>
      </c>
    </row>
    <row r="46">
      <c r="A46" s="42" t="s">
        <v>69</v>
      </c>
      <c r="B46" s="61" t="s">
        <v>294</v>
      </c>
      <c r="C46" s="61" t="s">
        <v>295</v>
      </c>
      <c r="D46" s="61" t="s">
        <v>296</v>
      </c>
      <c r="E46" s="61">
        <v>30.0</v>
      </c>
      <c r="F46" s="61">
        <v>0.0</v>
      </c>
      <c r="G46" s="42" t="s">
        <v>151</v>
      </c>
      <c r="H46" s="61">
        <v>1.0</v>
      </c>
      <c r="I46" s="62" t="s">
        <v>152</v>
      </c>
      <c r="J46" s="42" t="s">
        <v>151</v>
      </c>
      <c r="K46" s="42" t="s">
        <v>171</v>
      </c>
      <c r="L46" s="63"/>
      <c r="M46" s="63"/>
      <c r="N46" s="63"/>
      <c r="O46" s="63"/>
      <c r="P46" s="42" t="s">
        <v>151</v>
      </c>
      <c r="Q46" s="42" t="s">
        <v>164</v>
      </c>
      <c r="R46" s="42" t="s">
        <v>153</v>
      </c>
      <c r="S46" s="42" t="s">
        <v>297</v>
      </c>
      <c r="T46" s="62" t="s">
        <v>152</v>
      </c>
      <c r="U46" s="62" t="s">
        <v>152</v>
      </c>
      <c r="V46" s="42" t="s">
        <v>158</v>
      </c>
      <c r="W46" s="62" t="s">
        <v>152</v>
      </c>
      <c r="X46" s="62" t="s">
        <v>159</v>
      </c>
      <c r="Y46" s="66" t="s">
        <v>173</v>
      </c>
      <c r="Z46" s="62" t="s">
        <v>298</v>
      </c>
    </row>
    <row r="47">
      <c r="A47" s="42" t="s">
        <v>299</v>
      </c>
      <c r="B47" s="61" t="s">
        <v>258</v>
      </c>
      <c r="C47" s="61" t="s">
        <v>150</v>
      </c>
      <c r="D47" s="61" t="s">
        <v>150</v>
      </c>
      <c r="E47" s="61">
        <v>60.0</v>
      </c>
      <c r="F47" s="61">
        <v>0.0</v>
      </c>
      <c r="G47" s="42" t="s">
        <v>151</v>
      </c>
      <c r="H47" s="61">
        <v>10000.0</v>
      </c>
      <c r="I47" s="61">
        <v>60000.0</v>
      </c>
      <c r="J47" s="42" t="s">
        <v>153</v>
      </c>
      <c r="K47" s="42" t="s">
        <v>171</v>
      </c>
      <c r="L47" s="63"/>
      <c r="M47" s="63"/>
      <c r="N47" s="63"/>
      <c r="O47" s="63"/>
      <c r="P47" s="42" t="s">
        <v>151</v>
      </c>
      <c r="Q47" s="42" t="s">
        <v>164</v>
      </c>
      <c r="R47" s="42" t="s">
        <v>153</v>
      </c>
      <c r="S47" s="42" t="s">
        <v>300</v>
      </c>
      <c r="T47" s="42" t="s">
        <v>301</v>
      </c>
      <c r="U47" s="62" t="s">
        <v>152</v>
      </c>
      <c r="V47" s="42" t="s">
        <v>167</v>
      </c>
      <c r="W47" s="62" t="s">
        <v>152</v>
      </c>
      <c r="X47" s="62" t="s">
        <v>159</v>
      </c>
      <c r="Y47" s="70" t="s">
        <v>229</v>
      </c>
      <c r="Z47" s="62" t="s">
        <v>230</v>
      </c>
    </row>
    <row r="48">
      <c r="A48" s="42" t="s">
        <v>71</v>
      </c>
      <c r="B48" s="61" t="s">
        <v>302</v>
      </c>
      <c r="C48" s="61" t="s">
        <v>150</v>
      </c>
      <c r="D48" s="61" t="s">
        <v>150</v>
      </c>
      <c r="E48" s="61">
        <v>60.0</v>
      </c>
      <c r="F48" s="61">
        <v>0.0</v>
      </c>
      <c r="G48" s="42" t="s">
        <v>151</v>
      </c>
      <c r="H48" s="61">
        <v>100.0</v>
      </c>
      <c r="I48" s="61">
        <v>3000.0</v>
      </c>
      <c r="J48" s="42" t="s">
        <v>151</v>
      </c>
      <c r="K48" s="42" t="s">
        <v>171</v>
      </c>
      <c r="L48" s="63"/>
      <c r="M48" s="63"/>
      <c r="N48" s="63"/>
      <c r="O48" s="63"/>
      <c r="P48" s="42" t="s">
        <v>151</v>
      </c>
      <c r="Q48" s="42" t="s">
        <v>164</v>
      </c>
      <c r="R48" s="42" t="s">
        <v>153</v>
      </c>
      <c r="S48" s="42" t="s">
        <v>303</v>
      </c>
      <c r="T48" s="42" t="s">
        <v>301</v>
      </c>
      <c r="U48" s="62" t="s">
        <v>152</v>
      </c>
      <c r="V48" s="42" t="s">
        <v>167</v>
      </c>
      <c r="W48" s="62" t="s">
        <v>152</v>
      </c>
      <c r="X48" s="62" t="s">
        <v>159</v>
      </c>
      <c r="Y48" s="66" t="s">
        <v>173</v>
      </c>
      <c r="Z48" s="62" t="s">
        <v>230</v>
      </c>
    </row>
    <row r="49">
      <c r="A49" s="42" t="s">
        <v>304</v>
      </c>
      <c r="B49" s="61" t="s">
        <v>170</v>
      </c>
      <c r="C49" s="61" t="s">
        <v>305</v>
      </c>
      <c r="D49" s="61" t="s">
        <v>150</v>
      </c>
      <c r="E49" s="61">
        <v>90.0</v>
      </c>
      <c r="F49" s="61">
        <v>0.0</v>
      </c>
      <c r="G49" s="42" t="s">
        <v>151</v>
      </c>
      <c r="H49" s="61">
        <v>300.0</v>
      </c>
      <c r="I49" s="71" t="s">
        <v>152</v>
      </c>
      <c r="J49" s="42" t="s">
        <v>153</v>
      </c>
      <c r="K49" s="42" t="s">
        <v>306</v>
      </c>
      <c r="L49" s="42" t="s">
        <v>307</v>
      </c>
      <c r="M49" s="42" t="s">
        <v>308</v>
      </c>
      <c r="N49" s="61">
        <v>2.0</v>
      </c>
      <c r="O49" s="61">
        <v>1.0</v>
      </c>
      <c r="P49" s="42" t="s">
        <v>151</v>
      </c>
      <c r="Q49" s="42" t="s">
        <v>164</v>
      </c>
      <c r="R49" s="42" t="s">
        <v>153</v>
      </c>
      <c r="S49" s="42" t="s">
        <v>309</v>
      </c>
      <c r="T49" s="42" t="s">
        <v>310</v>
      </c>
      <c r="U49" s="71" t="s">
        <v>152</v>
      </c>
      <c r="V49" s="42" t="s">
        <v>167</v>
      </c>
      <c r="W49" s="71" t="s">
        <v>152</v>
      </c>
      <c r="X49" s="71" t="s">
        <v>311</v>
      </c>
      <c r="Y49" s="66" t="s">
        <v>173</v>
      </c>
      <c r="Z49" s="71" t="s">
        <v>161</v>
      </c>
    </row>
    <row r="50">
      <c r="A50" s="42" t="s">
        <v>312</v>
      </c>
      <c r="B50" s="61" t="s">
        <v>170</v>
      </c>
      <c r="C50" s="61" t="s">
        <v>256</v>
      </c>
      <c r="D50" s="61" t="s">
        <v>150</v>
      </c>
      <c r="E50" s="61">
        <v>90.0</v>
      </c>
      <c r="F50" s="61">
        <v>0.0</v>
      </c>
      <c r="G50" s="42" t="s">
        <v>151</v>
      </c>
      <c r="H50" s="71" t="s">
        <v>152</v>
      </c>
      <c r="I50" s="71" t="s">
        <v>152</v>
      </c>
      <c r="J50" s="42" t="s">
        <v>153</v>
      </c>
      <c r="K50" s="42" t="s">
        <v>306</v>
      </c>
      <c r="L50" s="42" t="s">
        <v>307</v>
      </c>
      <c r="M50" s="42" t="s">
        <v>313</v>
      </c>
      <c r="N50" s="71" t="s">
        <v>152</v>
      </c>
      <c r="O50" s="71" t="s">
        <v>152</v>
      </c>
      <c r="P50" s="42" t="s">
        <v>151</v>
      </c>
      <c r="Q50" s="42" t="s">
        <v>164</v>
      </c>
      <c r="R50" s="42" t="s">
        <v>153</v>
      </c>
      <c r="S50" s="42" t="s">
        <v>314</v>
      </c>
      <c r="T50" s="42" t="s">
        <v>310</v>
      </c>
      <c r="U50" s="71" t="s">
        <v>152</v>
      </c>
      <c r="V50" s="42" t="s">
        <v>167</v>
      </c>
      <c r="W50" s="71" t="s">
        <v>152</v>
      </c>
      <c r="X50" s="71" t="s">
        <v>311</v>
      </c>
      <c r="Y50" s="66" t="s">
        <v>173</v>
      </c>
      <c r="Z50" s="71" t="s">
        <v>315</v>
      </c>
    </row>
    <row r="51">
      <c r="A51" s="42" t="s">
        <v>316</v>
      </c>
      <c r="B51" s="61" t="s">
        <v>170</v>
      </c>
      <c r="C51" s="61" t="s">
        <v>256</v>
      </c>
      <c r="D51" s="61" t="s">
        <v>150</v>
      </c>
      <c r="E51" s="61">
        <v>180.0</v>
      </c>
      <c r="F51" s="61">
        <v>0.0</v>
      </c>
      <c r="G51" s="42" t="s">
        <v>151</v>
      </c>
      <c r="H51" s="71" t="s">
        <v>152</v>
      </c>
      <c r="I51" s="71" t="s">
        <v>152</v>
      </c>
      <c r="J51" s="42" t="s">
        <v>153</v>
      </c>
      <c r="K51" s="42" t="s">
        <v>306</v>
      </c>
      <c r="L51" s="42" t="s">
        <v>307</v>
      </c>
      <c r="M51" s="42" t="s">
        <v>317</v>
      </c>
      <c r="N51" s="71" t="s">
        <v>152</v>
      </c>
      <c r="O51" s="71" t="s">
        <v>152</v>
      </c>
      <c r="P51" s="42" t="s">
        <v>151</v>
      </c>
      <c r="Q51" s="42" t="s">
        <v>164</v>
      </c>
      <c r="R51" s="42" t="s">
        <v>153</v>
      </c>
      <c r="S51" s="42" t="s">
        <v>318</v>
      </c>
      <c r="T51" s="42" t="s">
        <v>310</v>
      </c>
      <c r="U51" s="71" t="s">
        <v>152</v>
      </c>
      <c r="V51" s="42" t="s">
        <v>167</v>
      </c>
      <c r="W51" s="71" t="s">
        <v>152</v>
      </c>
      <c r="X51" s="71" t="s">
        <v>311</v>
      </c>
      <c r="Y51" s="66" t="s">
        <v>173</v>
      </c>
      <c r="Z51" s="71" t="s">
        <v>315</v>
      </c>
    </row>
    <row r="52">
      <c r="A52" s="42" t="s">
        <v>319</v>
      </c>
      <c r="B52" s="61" t="s">
        <v>320</v>
      </c>
      <c r="C52" s="61" t="s">
        <v>150</v>
      </c>
      <c r="D52" s="61" t="s">
        <v>150</v>
      </c>
      <c r="E52" s="61">
        <v>2.0</v>
      </c>
      <c r="F52" s="61">
        <v>2.0</v>
      </c>
      <c r="G52" s="42" t="s">
        <v>151</v>
      </c>
      <c r="H52" s="61">
        <v>50000.0</v>
      </c>
      <c r="I52" s="62" t="s">
        <v>152</v>
      </c>
      <c r="J52" s="42" t="s">
        <v>153</v>
      </c>
      <c r="K52" s="42" t="s">
        <v>321</v>
      </c>
      <c r="L52" s="63"/>
      <c r="M52" s="63"/>
      <c r="N52" s="63"/>
      <c r="O52" s="63"/>
      <c r="P52" s="42" t="s">
        <v>151</v>
      </c>
      <c r="Q52" s="42" t="s">
        <v>164</v>
      </c>
      <c r="R52" s="42" t="s">
        <v>151</v>
      </c>
      <c r="S52" s="42" t="s">
        <v>322</v>
      </c>
      <c r="T52" s="42" t="s">
        <v>323</v>
      </c>
      <c r="U52" s="62" t="s">
        <v>152</v>
      </c>
      <c r="V52" s="42" t="s">
        <v>265</v>
      </c>
      <c r="W52" s="62" t="s">
        <v>152</v>
      </c>
      <c r="X52" s="62" t="s">
        <v>159</v>
      </c>
      <c r="Y52" s="64" t="s">
        <v>160</v>
      </c>
      <c r="Z52" s="62" t="s">
        <v>161</v>
      </c>
    </row>
    <row r="53">
      <c r="A53" s="42" t="s">
        <v>324</v>
      </c>
      <c r="B53" s="61" t="s">
        <v>170</v>
      </c>
      <c r="C53" s="61" t="s">
        <v>150</v>
      </c>
      <c r="D53" s="61" t="s">
        <v>150</v>
      </c>
      <c r="E53" s="61">
        <v>1.0</v>
      </c>
      <c r="F53" s="61">
        <v>0.0</v>
      </c>
      <c r="G53" s="42" t="s">
        <v>151</v>
      </c>
      <c r="H53" s="61">
        <v>1000.0</v>
      </c>
      <c r="I53" s="62" t="s">
        <v>152</v>
      </c>
      <c r="J53" s="42" t="s">
        <v>153</v>
      </c>
      <c r="K53" s="42" t="s">
        <v>325</v>
      </c>
      <c r="L53" s="63"/>
      <c r="M53" s="63"/>
      <c r="N53" s="63"/>
      <c r="O53" s="63"/>
      <c r="P53" s="42" t="s">
        <v>151</v>
      </c>
      <c r="Q53" s="42" t="s">
        <v>164</v>
      </c>
      <c r="R53" s="42" t="s">
        <v>151</v>
      </c>
      <c r="S53" s="42" t="s">
        <v>326</v>
      </c>
      <c r="T53" s="42" t="s">
        <v>327</v>
      </c>
      <c r="U53" s="62" t="s">
        <v>152</v>
      </c>
      <c r="V53" s="42" t="s">
        <v>167</v>
      </c>
      <c r="W53" s="62" t="s">
        <v>152</v>
      </c>
      <c r="X53" s="62" t="s">
        <v>159</v>
      </c>
      <c r="Y53" s="64" t="s">
        <v>160</v>
      </c>
      <c r="Z53" s="62" t="s">
        <v>161</v>
      </c>
    </row>
    <row r="54">
      <c r="A54" s="42" t="s">
        <v>328</v>
      </c>
      <c r="B54" s="61" t="s">
        <v>329</v>
      </c>
      <c r="C54" s="61" t="s">
        <v>150</v>
      </c>
      <c r="D54" s="61" t="s">
        <v>150</v>
      </c>
      <c r="E54" s="61">
        <v>365.0</v>
      </c>
      <c r="F54" s="61">
        <v>365.0</v>
      </c>
      <c r="G54" s="42" t="s">
        <v>151</v>
      </c>
      <c r="H54" s="61">
        <v>100.0</v>
      </c>
      <c r="I54" s="62" t="s">
        <v>152</v>
      </c>
      <c r="J54" s="42" t="s">
        <v>153</v>
      </c>
      <c r="K54" s="42" t="s">
        <v>330</v>
      </c>
      <c r="L54" s="63"/>
      <c r="M54" s="63"/>
      <c r="N54" s="63"/>
      <c r="O54" s="63"/>
      <c r="P54" s="42" t="s">
        <v>151</v>
      </c>
      <c r="Q54" s="42" t="s">
        <v>164</v>
      </c>
      <c r="R54" s="42" t="s">
        <v>151</v>
      </c>
      <c r="S54" s="42" t="s">
        <v>331</v>
      </c>
      <c r="T54" s="42" t="s">
        <v>332</v>
      </c>
      <c r="U54" s="62" t="s">
        <v>152</v>
      </c>
      <c r="V54" s="42" t="s">
        <v>158</v>
      </c>
      <c r="W54" s="62" t="s">
        <v>152</v>
      </c>
      <c r="X54" s="62" t="s">
        <v>159</v>
      </c>
      <c r="Y54" s="64" t="s">
        <v>160</v>
      </c>
      <c r="Z54" s="62" t="s">
        <v>161</v>
      </c>
    </row>
    <row r="55">
      <c r="A55" s="42" t="s">
        <v>333</v>
      </c>
      <c r="B55" s="61" t="s">
        <v>334</v>
      </c>
      <c r="C55" s="61" t="s">
        <v>150</v>
      </c>
      <c r="D55" s="61" t="s">
        <v>150</v>
      </c>
      <c r="E55" s="61">
        <v>730.0</v>
      </c>
      <c r="F55" s="61">
        <v>730.0</v>
      </c>
      <c r="G55" s="42" t="s">
        <v>151</v>
      </c>
      <c r="H55" s="61">
        <v>100.0</v>
      </c>
      <c r="I55" s="62" t="s">
        <v>152</v>
      </c>
      <c r="J55" s="42" t="s">
        <v>153</v>
      </c>
      <c r="K55" s="42" t="s">
        <v>330</v>
      </c>
      <c r="L55" s="63"/>
      <c r="M55" s="63"/>
      <c r="N55" s="63"/>
      <c r="O55" s="63"/>
      <c r="P55" s="42" t="s">
        <v>151</v>
      </c>
      <c r="Q55" s="42" t="s">
        <v>164</v>
      </c>
      <c r="R55" s="42" t="s">
        <v>151</v>
      </c>
      <c r="S55" s="42" t="s">
        <v>335</v>
      </c>
      <c r="T55" s="42" t="s">
        <v>332</v>
      </c>
      <c r="U55" s="62" t="s">
        <v>152</v>
      </c>
      <c r="V55" s="42" t="s">
        <v>158</v>
      </c>
      <c r="W55" s="62" t="s">
        <v>152</v>
      </c>
      <c r="X55" s="62" t="s">
        <v>159</v>
      </c>
      <c r="Y55" s="64" t="s">
        <v>160</v>
      </c>
      <c r="Z55" s="62" t="s">
        <v>161</v>
      </c>
    </row>
    <row r="56">
      <c r="A56" s="42" t="s">
        <v>336</v>
      </c>
      <c r="B56" s="61" t="s">
        <v>337</v>
      </c>
      <c r="C56" s="61" t="s">
        <v>150</v>
      </c>
      <c r="D56" s="61" t="s">
        <v>150</v>
      </c>
      <c r="E56" s="61">
        <v>90.0</v>
      </c>
      <c r="F56" s="61">
        <v>90.0</v>
      </c>
      <c r="G56" s="42" t="s">
        <v>151</v>
      </c>
      <c r="H56" s="61">
        <v>100.0</v>
      </c>
      <c r="I56" s="62" t="s">
        <v>152</v>
      </c>
      <c r="J56" s="42" t="s">
        <v>153</v>
      </c>
      <c r="K56" s="42" t="s">
        <v>330</v>
      </c>
      <c r="L56" s="63"/>
      <c r="M56" s="63"/>
      <c r="N56" s="63"/>
      <c r="O56" s="63"/>
      <c r="P56" s="42" t="s">
        <v>151</v>
      </c>
      <c r="Q56" s="42" t="s">
        <v>164</v>
      </c>
      <c r="R56" s="42" t="s">
        <v>151</v>
      </c>
      <c r="S56" s="42" t="s">
        <v>338</v>
      </c>
      <c r="T56" s="42" t="s">
        <v>332</v>
      </c>
      <c r="U56" s="62" t="s">
        <v>152</v>
      </c>
      <c r="V56" s="42" t="s">
        <v>158</v>
      </c>
      <c r="W56" s="62" t="s">
        <v>152</v>
      </c>
      <c r="X56" s="62" t="s">
        <v>159</v>
      </c>
      <c r="Y56" s="64" t="s">
        <v>160</v>
      </c>
      <c r="Z56" s="62" t="s">
        <v>161</v>
      </c>
    </row>
    <row r="57">
      <c r="A57" s="42" t="s">
        <v>339</v>
      </c>
      <c r="B57" s="61" t="s">
        <v>340</v>
      </c>
      <c r="C57" s="61" t="s">
        <v>150</v>
      </c>
      <c r="D57" s="61" t="s">
        <v>150</v>
      </c>
      <c r="E57" s="61">
        <v>180.0</v>
      </c>
      <c r="F57" s="61">
        <v>180.0</v>
      </c>
      <c r="G57" s="42" t="s">
        <v>151</v>
      </c>
      <c r="H57" s="61">
        <v>100.0</v>
      </c>
      <c r="I57" s="62" t="s">
        <v>152</v>
      </c>
      <c r="J57" s="42" t="s">
        <v>153</v>
      </c>
      <c r="K57" s="42" t="s">
        <v>330</v>
      </c>
      <c r="L57" s="63"/>
      <c r="M57" s="63"/>
      <c r="N57" s="63"/>
      <c r="O57" s="63"/>
      <c r="P57" s="42" t="s">
        <v>151</v>
      </c>
      <c r="Q57" s="42" t="s">
        <v>164</v>
      </c>
      <c r="R57" s="42" t="s">
        <v>151</v>
      </c>
      <c r="S57" s="42" t="s">
        <v>341</v>
      </c>
      <c r="T57" s="42" t="s">
        <v>332</v>
      </c>
      <c r="U57" s="62" t="s">
        <v>152</v>
      </c>
      <c r="V57" s="42" t="s">
        <v>158</v>
      </c>
      <c r="W57" s="62" t="s">
        <v>152</v>
      </c>
      <c r="X57" s="62" t="s">
        <v>159</v>
      </c>
      <c r="Y57" s="64" t="s">
        <v>160</v>
      </c>
      <c r="Z57" s="62" t="s">
        <v>161</v>
      </c>
    </row>
    <row r="58">
      <c r="A58" s="42" t="s">
        <v>342</v>
      </c>
      <c r="B58" s="61" t="s">
        <v>170</v>
      </c>
      <c r="C58" s="61" t="s">
        <v>150</v>
      </c>
      <c r="D58" s="61" t="s">
        <v>150</v>
      </c>
      <c r="E58" s="61">
        <v>1.0</v>
      </c>
      <c r="F58" s="61">
        <v>31.0</v>
      </c>
      <c r="G58" s="42" t="s">
        <v>151</v>
      </c>
      <c r="H58" s="61">
        <v>500.0</v>
      </c>
      <c r="I58" s="62" t="s">
        <v>152</v>
      </c>
      <c r="J58" s="42" t="s">
        <v>153</v>
      </c>
      <c r="K58" s="42" t="s">
        <v>154</v>
      </c>
      <c r="L58" s="63"/>
      <c r="M58" s="63"/>
      <c r="N58" s="63"/>
      <c r="O58" s="63"/>
      <c r="P58" s="42" t="s">
        <v>151</v>
      </c>
      <c r="Q58" s="42" t="s">
        <v>164</v>
      </c>
      <c r="R58" s="42" t="s">
        <v>151</v>
      </c>
      <c r="S58" s="42" t="s">
        <v>343</v>
      </c>
      <c r="T58" s="42" t="s">
        <v>344</v>
      </c>
      <c r="U58" s="62" t="s">
        <v>152</v>
      </c>
      <c r="V58" s="42" t="s">
        <v>158</v>
      </c>
      <c r="W58" s="62" t="s">
        <v>152</v>
      </c>
      <c r="X58" s="62" t="s">
        <v>159</v>
      </c>
      <c r="Y58" s="64" t="s">
        <v>160</v>
      </c>
      <c r="Z58" s="62" t="s">
        <v>161</v>
      </c>
    </row>
    <row r="59">
      <c r="A59" s="42" t="s">
        <v>345</v>
      </c>
      <c r="B59" s="61" t="s">
        <v>346</v>
      </c>
      <c r="C59" s="61" t="s">
        <v>150</v>
      </c>
      <c r="D59" s="61" t="s">
        <v>150</v>
      </c>
      <c r="E59" s="61">
        <v>1825.0</v>
      </c>
      <c r="F59" s="61">
        <v>1825.0</v>
      </c>
      <c r="G59" s="42" t="s">
        <v>153</v>
      </c>
      <c r="H59" s="62" t="s">
        <v>152</v>
      </c>
      <c r="I59" s="62" t="s">
        <v>152</v>
      </c>
      <c r="J59" s="42" t="s">
        <v>153</v>
      </c>
      <c r="K59" s="42" t="s">
        <v>347</v>
      </c>
      <c r="L59" s="63"/>
      <c r="M59" s="63"/>
      <c r="N59" s="63"/>
      <c r="O59" s="63"/>
      <c r="P59" s="42" t="s">
        <v>151</v>
      </c>
      <c r="Q59" s="42" t="s">
        <v>233</v>
      </c>
      <c r="R59" s="42" t="s">
        <v>153</v>
      </c>
      <c r="S59" s="42" t="s">
        <v>348</v>
      </c>
      <c r="T59" s="42" t="s">
        <v>235</v>
      </c>
      <c r="U59" s="62" t="s">
        <v>152</v>
      </c>
      <c r="V59" s="42" t="s">
        <v>167</v>
      </c>
      <c r="W59" s="62" t="s">
        <v>152</v>
      </c>
      <c r="X59" s="62" t="s">
        <v>159</v>
      </c>
      <c r="Y59" s="64" t="s">
        <v>160</v>
      </c>
      <c r="Z59" s="62" t="s">
        <v>196</v>
      </c>
    </row>
    <row r="60">
      <c r="A60" s="42" t="s">
        <v>349</v>
      </c>
      <c r="B60" s="61" t="s">
        <v>350</v>
      </c>
      <c r="C60" s="61" t="s">
        <v>150</v>
      </c>
      <c r="D60" s="61" t="s">
        <v>150</v>
      </c>
      <c r="E60" s="61">
        <v>1080.0</v>
      </c>
      <c r="F60" s="61">
        <v>90.0</v>
      </c>
      <c r="G60" s="42" t="s">
        <v>153</v>
      </c>
      <c r="H60" s="61">
        <v>100.0</v>
      </c>
      <c r="I60" s="62" t="s">
        <v>152</v>
      </c>
      <c r="J60" s="42" t="s">
        <v>153</v>
      </c>
      <c r="K60" s="42" t="s">
        <v>347</v>
      </c>
      <c r="L60" s="63"/>
      <c r="M60" s="63"/>
      <c r="N60" s="63"/>
      <c r="O60" s="63"/>
      <c r="P60" s="42" t="s">
        <v>151</v>
      </c>
      <c r="Q60" s="42" t="s">
        <v>164</v>
      </c>
      <c r="R60" s="42" t="s">
        <v>153</v>
      </c>
      <c r="S60" s="42" t="s">
        <v>351</v>
      </c>
      <c r="T60" s="42" t="s">
        <v>352</v>
      </c>
      <c r="U60" s="62" t="s">
        <v>152</v>
      </c>
      <c r="V60" s="42" t="s">
        <v>167</v>
      </c>
      <c r="W60" s="62" t="s">
        <v>152</v>
      </c>
      <c r="X60" s="62" t="s">
        <v>159</v>
      </c>
      <c r="Y60" s="64" t="s">
        <v>160</v>
      </c>
      <c r="Z60" s="62" t="s">
        <v>161</v>
      </c>
    </row>
    <row r="61">
      <c r="A61" s="42" t="s">
        <v>353</v>
      </c>
      <c r="B61" s="61" t="s">
        <v>354</v>
      </c>
      <c r="C61" s="61" t="s">
        <v>150</v>
      </c>
      <c r="D61" s="61" t="s">
        <v>150</v>
      </c>
      <c r="E61" s="61">
        <v>1080.0</v>
      </c>
      <c r="F61" s="61">
        <v>1080.0</v>
      </c>
      <c r="G61" s="42" t="s">
        <v>153</v>
      </c>
      <c r="H61" s="61">
        <v>1000.0</v>
      </c>
      <c r="I61" s="62" t="s">
        <v>152</v>
      </c>
      <c r="J61" s="42" t="s">
        <v>153</v>
      </c>
      <c r="K61" s="42" t="s">
        <v>347</v>
      </c>
      <c r="L61" s="63"/>
      <c r="M61" s="63"/>
      <c r="N61" s="63"/>
      <c r="O61" s="63"/>
      <c r="P61" s="42" t="s">
        <v>151</v>
      </c>
      <c r="Q61" s="42" t="s">
        <v>278</v>
      </c>
      <c r="R61" s="42" t="s">
        <v>153</v>
      </c>
      <c r="S61" s="42" t="s">
        <v>355</v>
      </c>
      <c r="T61" s="62" t="s">
        <v>152</v>
      </c>
      <c r="U61" s="62" t="s">
        <v>152</v>
      </c>
      <c r="V61" s="42" t="s">
        <v>158</v>
      </c>
      <c r="W61" s="62" t="s">
        <v>152</v>
      </c>
      <c r="X61" s="62" t="s">
        <v>159</v>
      </c>
      <c r="Y61" s="66" t="s">
        <v>173</v>
      </c>
      <c r="Z61" s="62" t="s">
        <v>298</v>
      </c>
    </row>
    <row r="62">
      <c r="A62" s="42" t="s">
        <v>356</v>
      </c>
      <c r="B62" s="61" t="s">
        <v>357</v>
      </c>
      <c r="C62" s="61" t="s">
        <v>150</v>
      </c>
      <c r="D62" s="61" t="s">
        <v>150</v>
      </c>
      <c r="E62" s="61">
        <v>730.0</v>
      </c>
      <c r="F62" s="61">
        <v>730.0</v>
      </c>
      <c r="G62" s="42" t="s">
        <v>153</v>
      </c>
      <c r="H62" s="65" t="s">
        <v>152</v>
      </c>
      <c r="I62" s="65" t="s">
        <v>152</v>
      </c>
      <c r="J62" s="42" t="s">
        <v>153</v>
      </c>
      <c r="K62" s="42" t="s">
        <v>347</v>
      </c>
      <c r="L62" s="63"/>
      <c r="M62" s="63"/>
      <c r="N62" s="63"/>
      <c r="O62" s="63"/>
      <c r="P62" s="42" t="s">
        <v>151</v>
      </c>
      <c r="Q62" s="42" t="s">
        <v>164</v>
      </c>
      <c r="R62" s="42" t="s">
        <v>153</v>
      </c>
      <c r="S62" s="42" t="s">
        <v>358</v>
      </c>
      <c r="T62" s="42" t="s">
        <v>359</v>
      </c>
      <c r="U62" s="65" t="s">
        <v>152</v>
      </c>
      <c r="V62" s="42" t="s">
        <v>167</v>
      </c>
      <c r="W62" s="65" t="s">
        <v>152</v>
      </c>
      <c r="X62" s="65" t="s">
        <v>168</v>
      </c>
      <c r="Y62" s="64" t="s">
        <v>160</v>
      </c>
      <c r="Z62" s="65" t="s">
        <v>196</v>
      </c>
    </row>
    <row r="63">
      <c r="A63" s="42" t="s">
        <v>360</v>
      </c>
      <c r="B63" s="69">
        <v>46154.0</v>
      </c>
      <c r="C63" s="61" t="s">
        <v>150</v>
      </c>
      <c r="D63" s="61" t="s">
        <v>150</v>
      </c>
      <c r="E63" s="61">
        <v>365.0</v>
      </c>
      <c r="F63" s="61">
        <v>365.0</v>
      </c>
      <c r="G63" s="42" t="s">
        <v>153</v>
      </c>
      <c r="H63" s="62" t="s">
        <v>152</v>
      </c>
      <c r="I63" s="62" t="s">
        <v>152</v>
      </c>
      <c r="J63" s="42" t="s">
        <v>153</v>
      </c>
      <c r="K63" s="42" t="s">
        <v>347</v>
      </c>
      <c r="L63" s="63"/>
      <c r="M63" s="63"/>
      <c r="N63" s="63"/>
      <c r="O63" s="63"/>
      <c r="P63" s="42" t="s">
        <v>151</v>
      </c>
      <c r="Q63" s="42" t="s">
        <v>233</v>
      </c>
      <c r="R63" s="42" t="s">
        <v>153</v>
      </c>
      <c r="S63" s="42" t="s">
        <v>361</v>
      </c>
      <c r="T63" s="42" t="s">
        <v>359</v>
      </c>
      <c r="U63" s="62" t="s">
        <v>152</v>
      </c>
      <c r="V63" s="42" t="s">
        <v>167</v>
      </c>
      <c r="W63" s="62" t="s">
        <v>152</v>
      </c>
      <c r="X63" s="62" t="s">
        <v>159</v>
      </c>
      <c r="Y63" s="64" t="s">
        <v>160</v>
      </c>
      <c r="Z63" s="62" t="s">
        <v>196</v>
      </c>
    </row>
    <row r="64">
      <c r="A64" s="42" t="s">
        <v>362</v>
      </c>
      <c r="B64" s="61" t="s">
        <v>363</v>
      </c>
      <c r="C64" s="61" t="s">
        <v>150</v>
      </c>
      <c r="D64" s="61" t="s">
        <v>150</v>
      </c>
      <c r="E64" s="61">
        <v>730.0</v>
      </c>
      <c r="F64" s="61">
        <v>730.0</v>
      </c>
      <c r="G64" s="42" t="s">
        <v>153</v>
      </c>
      <c r="H64" s="62" t="s">
        <v>152</v>
      </c>
      <c r="I64" s="62" t="s">
        <v>152</v>
      </c>
      <c r="J64" s="42" t="s">
        <v>153</v>
      </c>
      <c r="K64" s="42" t="s">
        <v>347</v>
      </c>
      <c r="L64" s="63"/>
      <c r="M64" s="63"/>
      <c r="N64" s="63"/>
      <c r="O64" s="63"/>
      <c r="P64" s="42" t="s">
        <v>151</v>
      </c>
      <c r="Q64" s="42" t="s">
        <v>233</v>
      </c>
      <c r="R64" s="42" t="s">
        <v>153</v>
      </c>
      <c r="S64" s="42" t="s">
        <v>364</v>
      </c>
      <c r="T64" s="42" t="s">
        <v>359</v>
      </c>
      <c r="U64" s="62" t="s">
        <v>152</v>
      </c>
      <c r="V64" s="42" t="s">
        <v>167</v>
      </c>
      <c r="W64" s="62" t="s">
        <v>152</v>
      </c>
      <c r="X64" s="62" t="s">
        <v>159</v>
      </c>
      <c r="Y64" s="64" t="s">
        <v>160</v>
      </c>
      <c r="Z64" s="62" t="s">
        <v>196</v>
      </c>
    </row>
    <row r="65">
      <c r="A65" s="42" t="s">
        <v>365</v>
      </c>
      <c r="B65" s="61" t="s">
        <v>366</v>
      </c>
      <c r="C65" s="61" t="s">
        <v>150</v>
      </c>
      <c r="D65" s="61" t="s">
        <v>150</v>
      </c>
      <c r="E65" s="61">
        <v>1095.0</v>
      </c>
      <c r="F65" s="61">
        <v>1095.0</v>
      </c>
      <c r="G65" s="42" t="s">
        <v>153</v>
      </c>
      <c r="H65" s="62" t="s">
        <v>152</v>
      </c>
      <c r="I65" s="62" t="s">
        <v>152</v>
      </c>
      <c r="J65" s="42" t="s">
        <v>153</v>
      </c>
      <c r="K65" s="42" t="s">
        <v>347</v>
      </c>
      <c r="L65" s="63"/>
      <c r="M65" s="63"/>
      <c r="N65" s="63"/>
      <c r="O65" s="63"/>
      <c r="P65" s="42" t="s">
        <v>151</v>
      </c>
      <c r="Q65" s="42" t="s">
        <v>233</v>
      </c>
      <c r="R65" s="42" t="s">
        <v>153</v>
      </c>
      <c r="S65" s="42" t="s">
        <v>367</v>
      </c>
      <c r="T65" s="42" t="s">
        <v>359</v>
      </c>
      <c r="U65" s="62" t="s">
        <v>152</v>
      </c>
      <c r="V65" s="42" t="s">
        <v>167</v>
      </c>
      <c r="W65" s="62" t="s">
        <v>152</v>
      </c>
      <c r="X65" s="62" t="s">
        <v>159</v>
      </c>
      <c r="Y65" s="64" t="s">
        <v>160</v>
      </c>
      <c r="Z65" s="62" t="s">
        <v>196</v>
      </c>
    </row>
    <row r="66">
      <c r="A66" s="42" t="s">
        <v>368</v>
      </c>
      <c r="B66" s="61" t="s">
        <v>357</v>
      </c>
      <c r="C66" s="61" t="s">
        <v>150</v>
      </c>
      <c r="D66" s="61" t="s">
        <v>150</v>
      </c>
      <c r="E66" s="61">
        <v>360.0</v>
      </c>
      <c r="F66" s="61">
        <v>360.0</v>
      </c>
      <c r="G66" s="42" t="s">
        <v>153</v>
      </c>
      <c r="H66" s="61">
        <v>1000.0</v>
      </c>
      <c r="I66" s="68" t="s">
        <v>152</v>
      </c>
      <c r="J66" s="42" t="s">
        <v>153</v>
      </c>
      <c r="K66" s="42" t="s">
        <v>347</v>
      </c>
      <c r="L66" s="63"/>
      <c r="M66" s="63"/>
      <c r="N66" s="63"/>
      <c r="O66" s="63"/>
      <c r="P66" s="42" t="s">
        <v>151</v>
      </c>
      <c r="Q66" s="42" t="s">
        <v>164</v>
      </c>
      <c r="R66" s="42" t="s">
        <v>153</v>
      </c>
      <c r="S66" s="42" t="s">
        <v>369</v>
      </c>
      <c r="T66" s="42" t="s">
        <v>370</v>
      </c>
      <c r="U66" s="68" t="s">
        <v>152</v>
      </c>
      <c r="V66" s="42" t="s">
        <v>167</v>
      </c>
      <c r="W66" s="68" t="s">
        <v>152</v>
      </c>
      <c r="X66" s="68" t="s">
        <v>207</v>
      </c>
      <c r="Y66" s="66" t="s">
        <v>173</v>
      </c>
      <c r="Z66" s="68" t="s">
        <v>161</v>
      </c>
    </row>
    <row r="67">
      <c r="A67" s="42" t="s">
        <v>371</v>
      </c>
      <c r="B67" s="61" t="s">
        <v>372</v>
      </c>
      <c r="C67" s="61" t="s">
        <v>150</v>
      </c>
      <c r="D67" s="61" t="s">
        <v>150</v>
      </c>
      <c r="E67" s="61">
        <v>180.0</v>
      </c>
      <c r="F67" s="61">
        <v>180.0</v>
      </c>
      <c r="G67" s="42" t="s">
        <v>153</v>
      </c>
      <c r="H67" s="61">
        <v>1000.0</v>
      </c>
      <c r="I67" s="68" t="s">
        <v>152</v>
      </c>
      <c r="J67" s="42" t="s">
        <v>153</v>
      </c>
      <c r="K67" s="42" t="s">
        <v>373</v>
      </c>
      <c r="L67" s="63"/>
      <c r="M67" s="63"/>
      <c r="N67" s="63"/>
      <c r="O67" s="63"/>
      <c r="P67" s="42" t="s">
        <v>151</v>
      </c>
      <c r="Q67" s="42" t="s">
        <v>164</v>
      </c>
      <c r="R67" s="42" t="s">
        <v>153</v>
      </c>
      <c r="S67" s="42" t="s">
        <v>374</v>
      </c>
      <c r="T67" s="42" t="s">
        <v>375</v>
      </c>
      <c r="U67" s="68" t="s">
        <v>152</v>
      </c>
      <c r="V67" s="42" t="s">
        <v>167</v>
      </c>
      <c r="W67" s="68" t="s">
        <v>152</v>
      </c>
      <c r="X67" s="68" t="s">
        <v>207</v>
      </c>
      <c r="Y67" s="66" t="s">
        <v>173</v>
      </c>
      <c r="Z67" s="68" t="s">
        <v>161</v>
      </c>
    </row>
    <row r="68">
      <c r="A68" s="42" t="s">
        <v>376</v>
      </c>
      <c r="B68" s="61" t="s">
        <v>377</v>
      </c>
      <c r="C68" s="61" t="s">
        <v>150</v>
      </c>
      <c r="D68" s="61" t="s">
        <v>150</v>
      </c>
      <c r="E68" s="61">
        <v>720.0</v>
      </c>
      <c r="F68" s="61">
        <v>720.0</v>
      </c>
      <c r="G68" s="42" t="s">
        <v>153</v>
      </c>
      <c r="H68" s="61">
        <v>1000.0</v>
      </c>
      <c r="I68" s="62" t="s">
        <v>152</v>
      </c>
      <c r="J68" s="42" t="s">
        <v>153</v>
      </c>
      <c r="K68" s="42" t="s">
        <v>373</v>
      </c>
      <c r="L68" s="63"/>
      <c r="M68" s="63"/>
      <c r="N68" s="63"/>
      <c r="O68" s="63"/>
      <c r="P68" s="42" t="s">
        <v>151</v>
      </c>
      <c r="Q68" s="42" t="s">
        <v>278</v>
      </c>
      <c r="R68" s="42" t="s">
        <v>153</v>
      </c>
      <c r="S68" s="42" t="s">
        <v>378</v>
      </c>
      <c r="T68" s="62" t="s">
        <v>152</v>
      </c>
      <c r="U68" s="62" t="s">
        <v>152</v>
      </c>
      <c r="V68" s="42" t="s">
        <v>158</v>
      </c>
      <c r="W68" s="62" t="s">
        <v>152</v>
      </c>
      <c r="X68" s="62" t="s">
        <v>159</v>
      </c>
      <c r="Y68" s="66" t="s">
        <v>173</v>
      </c>
      <c r="Z68" s="62" t="s">
        <v>298</v>
      </c>
    </row>
    <row r="69">
      <c r="A69" s="42" t="s">
        <v>379</v>
      </c>
      <c r="B69" s="61" t="s">
        <v>170</v>
      </c>
      <c r="C69" s="61" t="s">
        <v>150</v>
      </c>
      <c r="D69" s="61" t="s">
        <v>150</v>
      </c>
      <c r="E69" s="61">
        <v>360.0</v>
      </c>
      <c r="F69" s="61">
        <v>360.0</v>
      </c>
      <c r="G69" s="42" t="s">
        <v>153</v>
      </c>
      <c r="H69" s="61">
        <v>1000.0</v>
      </c>
      <c r="I69" s="68" t="s">
        <v>152</v>
      </c>
      <c r="J69" s="42" t="s">
        <v>153</v>
      </c>
      <c r="K69" s="42" t="s">
        <v>373</v>
      </c>
      <c r="L69" s="63"/>
      <c r="M69" s="63"/>
      <c r="N69" s="63"/>
      <c r="O69" s="63"/>
      <c r="P69" s="42" t="s">
        <v>151</v>
      </c>
      <c r="Q69" s="42" t="s">
        <v>164</v>
      </c>
      <c r="R69" s="42" t="s">
        <v>153</v>
      </c>
      <c r="S69" s="42" t="s">
        <v>380</v>
      </c>
      <c r="T69" s="68" t="s">
        <v>152</v>
      </c>
      <c r="U69" s="68" t="s">
        <v>152</v>
      </c>
      <c r="V69" s="42" t="s">
        <v>158</v>
      </c>
      <c r="W69" s="68" t="s">
        <v>152</v>
      </c>
      <c r="X69" s="68" t="s">
        <v>207</v>
      </c>
      <c r="Y69" s="66" t="s">
        <v>173</v>
      </c>
      <c r="Z69" s="68" t="s">
        <v>298</v>
      </c>
    </row>
    <row r="70">
      <c r="A70" s="42" t="s">
        <v>381</v>
      </c>
      <c r="B70" s="61" t="s">
        <v>382</v>
      </c>
      <c r="C70" s="61" t="s">
        <v>150</v>
      </c>
      <c r="D70" s="61" t="s">
        <v>150</v>
      </c>
      <c r="E70" s="61">
        <v>360.0</v>
      </c>
      <c r="F70" s="61">
        <v>360.0</v>
      </c>
      <c r="G70" s="42" t="s">
        <v>153</v>
      </c>
      <c r="H70" s="61">
        <v>1000.0</v>
      </c>
      <c r="I70" s="62" t="s">
        <v>152</v>
      </c>
      <c r="J70" s="42" t="s">
        <v>153</v>
      </c>
      <c r="K70" s="42" t="s">
        <v>373</v>
      </c>
      <c r="L70" s="63"/>
      <c r="M70" s="63"/>
      <c r="N70" s="63"/>
      <c r="O70" s="63"/>
      <c r="P70" s="42" t="s">
        <v>151</v>
      </c>
      <c r="Q70" s="42" t="s">
        <v>233</v>
      </c>
      <c r="R70" s="42" t="s">
        <v>153</v>
      </c>
      <c r="S70" s="42" t="s">
        <v>383</v>
      </c>
      <c r="T70" s="62" t="s">
        <v>152</v>
      </c>
      <c r="U70" s="62" t="s">
        <v>152</v>
      </c>
      <c r="V70" s="42" t="s">
        <v>158</v>
      </c>
      <c r="W70" s="62" t="s">
        <v>152</v>
      </c>
      <c r="X70" s="62" t="s">
        <v>159</v>
      </c>
      <c r="Y70" s="66" t="s">
        <v>173</v>
      </c>
      <c r="Z70" s="62" t="s">
        <v>298</v>
      </c>
    </row>
    <row r="71">
      <c r="A71" s="42" t="s">
        <v>384</v>
      </c>
      <c r="B71" s="61" t="s">
        <v>385</v>
      </c>
      <c r="C71" s="61" t="s">
        <v>150</v>
      </c>
      <c r="D71" s="61" t="s">
        <v>150</v>
      </c>
      <c r="E71" s="61">
        <v>1.0</v>
      </c>
      <c r="F71" s="61">
        <v>0.0</v>
      </c>
      <c r="G71" s="42" t="s">
        <v>151</v>
      </c>
      <c r="H71" s="61">
        <v>1000.0</v>
      </c>
      <c r="I71" s="65" t="s">
        <v>152</v>
      </c>
      <c r="J71" s="42" t="s">
        <v>153</v>
      </c>
      <c r="K71" s="42" t="s">
        <v>154</v>
      </c>
      <c r="L71" s="63"/>
      <c r="M71" s="63"/>
      <c r="N71" s="63"/>
      <c r="O71" s="63"/>
      <c r="P71" s="42" t="s">
        <v>151</v>
      </c>
      <c r="Q71" s="42" t="s">
        <v>164</v>
      </c>
      <c r="R71" s="42" t="s">
        <v>151</v>
      </c>
      <c r="S71" s="42" t="s">
        <v>386</v>
      </c>
      <c r="T71" s="42" t="s">
        <v>387</v>
      </c>
      <c r="U71" s="65" t="s">
        <v>152</v>
      </c>
      <c r="V71" s="42" t="s">
        <v>167</v>
      </c>
      <c r="W71" s="65" t="s">
        <v>152</v>
      </c>
      <c r="X71" s="65" t="s">
        <v>168</v>
      </c>
      <c r="Y71" s="64" t="s">
        <v>160</v>
      </c>
      <c r="Z71" s="65" t="s">
        <v>161</v>
      </c>
    </row>
    <row r="72">
      <c r="A72" s="42" t="s">
        <v>388</v>
      </c>
      <c r="B72" s="61" t="s">
        <v>305</v>
      </c>
      <c r="C72" s="61" t="s">
        <v>150</v>
      </c>
      <c r="D72" s="61" t="s">
        <v>150</v>
      </c>
      <c r="E72" s="61">
        <v>0.0</v>
      </c>
      <c r="F72" s="61">
        <v>0.0</v>
      </c>
      <c r="G72" s="42" t="s">
        <v>151</v>
      </c>
      <c r="H72" s="61">
        <v>1.0</v>
      </c>
      <c r="I72" s="71">
        <v>5000.0</v>
      </c>
      <c r="J72" s="42" t="s">
        <v>153</v>
      </c>
      <c r="K72" s="42" t="s">
        <v>330</v>
      </c>
      <c r="L72" s="63"/>
      <c r="M72" s="63"/>
      <c r="N72" s="63"/>
      <c r="O72" s="63"/>
      <c r="P72" s="42" t="s">
        <v>151</v>
      </c>
      <c r="Q72" s="42" t="s">
        <v>164</v>
      </c>
      <c r="R72" s="42" t="s">
        <v>151</v>
      </c>
      <c r="S72" s="42" t="s">
        <v>389</v>
      </c>
      <c r="T72" s="42" t="s">
        <v>390</v>
      </c>
      <c r="U72" s="71" t="s">
        <v>152</v>
      </c>
      <c r="V72" s="42" t="s">
        <v>167</v>
      </c>
      <c r="W72" s="71" t="s">
        <v>152</v>
      </c>
      <c r="X72" s="71" t="s">
        <v>311</v>
      </c>
      <c r="Y72" s="64" t="s">
        <v>229</v>
      </c>
      <c r="Z72" s="71" t="s">
        <v>230</v>
      </c>
    </row>
    <row r="73">
      <c r="A73" s="42" t="s">
        <v>391</v>
      </c>
      <c r="B73" s="61" t="s">
        <v>256</v>
      </c>
      <c r="C73" s="61" t="s">
        <v>150</v>
      </c>
      <c r="D73" s="61" t="s">
        <v>150</v>
      </c>
      <c r="E73" s="61">
        <v>0.0</v>
      </c>
      <c r="F73" s="61">
        <v>0.0</v>
      </c>
      <c r="G73" s="42" t="s">
        <v>151</v>
      </c>
      <c r="H73" s="61">
        <v>1.0</v>
      </c>
      <c r="I73" s="71">
        <v>10000.0</v>
      </c>
      <c r="J73" s="42" t="s">
        <v>153</v>
      </c>
      <c r="K73" s="42" t="s">
        <v>330</v>
      </c>
      <c r="L73" s="63"/>
      <c r="M73" s="63"/>
      <c r="N73" s="63"/>
      <c r="O73" s="63"/>
      <c r="P73" s="42" t="s">
        <v>151</v>
      </c>
      <c r="Q73" s="42" t="s">
        <v>164</v>
      </c>
      <c r="R73" s="42" t="s">
        <v>151</v>
      </c>
      <c r="S73" s="42" t="s">
        <v>392</v>
      </c>
      <c r="T73" s="42" t="s">
        <v>390</v>
      </c>
      <c r="U73" s="71" t="s">
        <v>152</v>
      </c>
      <c r="V73" s="42" t="s">
        <v>167</v>
      </c>
      <c r="W73" s="71" t="s">
        <v>152</v>
      </c>
      <c r="X73" s="71" t="s">
        <v>311</v>
      </c>
      <c r="Y73" s="64" t="s">
        <v>229</v>
      </c>
      <c r="Z73" s="71" t="s">
        <v>230</v>
      </c>
    </row>
    <row r="74">
      <c r="A74" s="42" t="s">
        <v>393</v>
      </c>
      <c r="B74" s="61" t="s">
        <v>394</v>
      </c>
      <c r="C74" s="61" t="s">
        <v>150</v>
      </c>
      <c r="D74" s="61" t="s">
        <v>150</v>
      </c>
      <c r="E74" s="61">
        <v>1.0</v>
      </c>
      <c r="F74" s="61">
        <v>0.0</v>
      </c>
      <c r="G74" s="42" t="s">
        <v>151</v>
      </c>
      <c r="H74" s="61">
        <v>100.0</v>
      </c>
      <c r="I74" s="71" t="s">
        <v>152</v>
      </c>
      <c r="J74" s="42" t="s">
        <v>153</v>
      </c>
      <c r="K74" s="42" t="s">
        <v>325</v>
      </c>
      <c r="L74" s="63"/>
      <c r="M74" s="63"/>
      <c r="N74" s="63"/>
      <c r="O74" s="63"/>
      <c r="P74" s="42" t="s">
        <v>151</v>
      </c>
      <c r="Q74" s="42" t="s">
        <v>164</v>
      </c>
      <c r="R74" s="42" t="s">
        <v>151</v>
      </c>
      <c r="S74" s="42" t="s">
        <v>395</v>
      </c>
      <c r="T74" s="42" t="s">
        <v>396</v>
      </c>
      <c r="U74" s="71" t="s">
        <v>152</v>
      </c>
      <c r="V74" s="42" t="s">
        <v>167</v>
      </c>
      <c r="W74" s="71" t="s">
        <v>152</v>
      </c>
      <c r="X74" s="71" t="s">
        <v>311</v>
      </c>
      <c r="Y74" s="64" t="s">
        <v>160</v>
      </c>
      <c r="Z74" s="71" t="s">
        <v>161</v>
      </c>
    </row>
    <row r="75">
      <c r="A75" s="42" t="s">
        <v>397</v>
      </c>
      <c r="B75" s="61" t="s">
        <v>398</v>
      </c>
      <c r="C75" s="61" t="s">
        <v>150</v>
      </c>
      <c r="D75" s="61" t="s">
        <v>150</v>
      </c>
      <c r="E75" s="61">
        <v>2074.0</v>
      </c>
      <c r="F75" s="61">
        <v>0.0</v>
      </c>
      <c r="G75" s="42" t="s">
        <v>151</v>
      </c>
      <c r="H75" s="61" t="s">
        <v>399</v>
      </c>
      <c r="I75" s="62" t="s">
        <v>152</v>
      </c>
      <c r="J75" s="42" t="s">
        <v>153</v>
      </c>
      <c r="K75" s="42" t="s">
        <v>400</v>
      </c>
      <c r="L75" s="63"/>
      <c r="M75" s="63"/>
      <c r="N75" s="63"/>
      <c r="O75" s="63"/>
      <c r="P75" s="42" t="s">
        <v>151</v>
      </c>
      <c r="Q75" s="42" t="s">
        <v>278</v>
      </c>
      <c r="R75" s="42" t="s">
        <v>151</v>
      </c>
      <c r="S75" s="42" t="s">
        <v>401</v>
      </c>
      <c r="T75" s="42" t="s">
        <v>400</v>
      </c>
      <c r="U75" s="62" t="s">
        <v>152</v>
      </c>
      <c r="V75" s="42" t="s">
        <v>167</v>
      </c>
      <c r="W75" s="62" t="s">
        <v>152</v>
      </c>
      <c r="X75" s="62" t="s">
        <v>159</v>
      </c>
      <c r="Y75" s="64" t="s">
        <v>160</v>
      </c>
      <c r="Z75" s="62" t="s">
        <v>161</v>
      </c>
    </row>
    <row r="76">
      <c r="A76" s="42" t="s">
        <v>402</v>
      </c>
      <c r="B76" s="61" t="s">
        <v>403</v>
      </c>
      <c r="C76" s="61" t="s">
        <v>150</v>
      </c>
      <c r="D76" s="61" t="s">
        <v>150</v>
      </c>
      <c r="E76" s="61">
        <v>2440.0</v>
      </c>
      <c r="F76" s="61">
        <v>0.0</v>
      </c>
      <c r="G76" s="42" t="s">
        <v>151</v>
      </c>
      <c r="H76" s="61" t="s">
        <v>404</v>
      </c>
      <c r="I76" s="62" t="s">
        <v>152</v>
      </c>
      <c r="J76" s="42" t="s">
        <v>153</v>
      </c>
      <c r="K76" s="42" t="s">
        <v>400</v>
      </c>
      <c r="L76" s="63"/>
      <c r="M76" s="63"/>
      <c r="N76" s="63"/>
      <c r="O76" s="63"/>
      <c r="P76" s="42" t="s">
        <v>151</v>
      </c>
      <c r="Q76" s="42" t="s">
        <v>278</v>
      </c>
      <c r="R76" s="42" t="s">
        <v>151</v>
      </c>
      <c r="S76" s="42" t="s">
        <v>405</v>
      </c>
      <c r="T76" s="42" t="s">
        <v>400</v>
      </c>
      <c r="U76" s="62" t="s">
        <v>152</v>
      </c>
      <c r="V76" s="42" t="s">
        <v>167</v>
      </c>
      <c r="W76" s="62" t="s">
        <v>152</v>
      </c>
      <c r="X76" s="62" t="s">
        <v>159</v>
      </c>
      <c r="Y76" s="64" t="s">
        <v>160</v>
      </c>
      <c r="Z76" s="62" t="s">
        <v>161</v>
      </c>
    </row>
    <row r="77">
      <c r="A77" s="42" t="s">
        <v>406</v>
      </c>
      <c r="B77" s="61" t="s">
        <v>407</v>
      </c>
      <c r="C77" s="61" t="s">
        <v>150</v>
      </c>
      <c r="D77" s="61" t="s">
        <v>150</v>
      </c>
      <c r="E77" s="61">
        <v>2805.0</v>
      </c>
      <c r="F77" s="61">
        <v>0.0</v>
      </c>
      <c r="G77" s="42" t="s">
        <v>151</v>
      </c>
      <c r="H77" s="61" t="s">
        <v>408</v>
      </c>
      <c r="I77" s="62" t="s">
        <v>152</v>
      </c>
      <c r="J77" s="42" t="s">
        <v>153</v>
      </c>
      <c r="K77" s="42" t="s">
        <v>400</v>
      </c>
      <c r="L77" s="63"/>
      <c r="M77" s="63"/>
      <c r="N77" s="63"/>
      <c r="O77" s="63"/>
      <c r="P77" s="42" t="s">
        <v>151</v>
      </c>
      <c r="Q77" s="42" t="s">
        <v>278</v>
      </c>
      <c r="R77" s="42" t="s">
        <v>151</v>
      </c>
      <c r="S77" s="42" t="s">
        <v>409</v>
      </c>
      <c r="T77" s="42" t="s">
        <v>400</v>
      </c>
      <c r="U77" s="62" t="s">
        <v>152</v>
      </c>
      <c r="V77" s="42" t="s">
        <v>167</v>
      </c>
      <c r="W77" s="62" t="s">
        <v>152</v>
      </c>
      <c r="X77" s="62" t="s">
        <v>159</v>
      </c>
      <c r="Y77" s="64" t="s">
        <v>160</v>
      </c>
      <c r="Z77" s="62" t="s">
        <v>161</v>
      </c>
    </row>
    <row r="78">
      <c r="A78" s="42" t="s">
        <v>410</v>
      </c>
      <c r="B78" s="61" t="s">
        <v>411</v>
      </c>
      <c r="C78" s="61" t="s">
        <v>150</v>
      </c>
      <c r="D78" s="61" t="s">
        <v>150</v>
      </c>
      <c r="E78" s="61">
        <v>3170.0</v>
      </c>
      <c r="F78" s="61">
        <v>0.0</v>
      </c>
      <c r="G78" s="42" t="s">
        <v>151</v>
      </c>
      <c r="H78" s="61" t="s">
        <v>412</v>
      </c>
      <c r="I78" s="62" t="s">
        <v>152</v>
      </c>
      <c r="J78" s="42" t="s">
        <v>153</v>
      </c>
      <c r="K78" s="42" t="s">
        <v>400</v>
      </c>
      <c r="L78" s="63"/>
      <c r="M78" s="63"/>
      <c r="N78" s="63"/>
      <c r="O78" s="63"/>
      <c r="P78" s="42" t="s">
        <v>151</v>
      </c>
      <c r="Q78" s="42" t="s">
        <v>278</v>
      </c>
      <c r="R78" s="42" t="s">
        <v>151</v>
      </c>
      <c r="S78" s="42" t="s">
        <v>413</v>
      </c>
      <c r="T78" s="42" t="s">
        <v>400</v>
      </c>
      <c r="U78" s="62" t="s">
        <v>152</v>
      </c>
      <c r="V78" s="42" t="s">
        <v>167</v>
      </c>
      <c r="W78" s="62" t="s">
        <v>152</v>
      </c>
      <c r="X78" s="62" t="s">
        <v>159</v>
      </c>
      <c r="Y78" s="64" t="s">
        <v>160</v>
      </c>
      <c r="Z78" s="62" t="s">
        <v>161</v>
      </c>
    </row>
    <row r="79">
      <c r="A79" s="42" t="s">
        <v>414</v>
      </c>
      <c r="B79" s="61" t="s">
        <v>415</v>
      </c>
      <c r="C79" s="61" t="s">
        <v>150</v>
      </c>
      <c r="D79" s="61" t="s">
        <v>150</v>
      </c>
      <c r="E79" s="61">
        <v>3535.0</v>
      </c>
      <c r="F79" s="61">
        <v>0.0</v>
      </c>
      <c r="G79" s="42" t="s">
        <v>151</v>
      </c>
      <c r="H79" s="61" t="s">
        <v>416</v>
      </c>
      <c r="I79" s="62" t="s">
        <v>152</v>
      </c>
      <c r="J79" s="42" t="s">
        <v>153</v>
      </c>
      <c r="K79" s="42" t="s">
        <v>400</v>
      </c>
      <c r="L79" s="63"/>
      <c r="M79" s="63"/>
      <c r="N79" s="63"/>
      <c r="O79" s="63"/>
      <c r="P79" s="42" t="s">
        <v>151</v>
      </c>
      <c r="Q79" s="42" t="s">
        <v>278</v>
      </c>
      <c r="R79" s="42" t="s">
        <v>151</v>
      </c>
      <c r="S79" s="42" t="s">
        <v>417</v>
      </c>
      <c r="T79" s="42" t="s">
        <v>400</v>
      </c>
      <c r="U79" s="62" t="s">
        <v>152</v>
      </c>
      <c r="V79" s="42" t="s">
        <v>167</v>
      </c>
      <c r="W79" s="62" t="s">
        <v>152</v>
      </c>
      <c r="X79" s="62" t="s">
        <v>159</v>
      </c>
      <c r="Y79" s="64" t="s">
        <v>160</v>
      </c>
      <c r="Z79" s="62" t="s">
        <v>161</v>
      </c>
    </row>
    <row r="80">
      <c r="A80" s="42" t="s">
        <v>418</v>
      </c>
      <c r="B80" s="61" t="s">
        <v>419</v>
      </c>
      <c r="C80" s="61" t="s">
        <v>150</v>
      </c>
      <c r="D80" s="61" t="s">
        <v>150</v>
      </c>
      <c r="E80" s="61">
        <v>3901.0</v>
      </c>
      <c r="F80" s="61">
        <v>0.0</v>
      </c>
      <c r="G80" s="42" t="s">
        <v>151</v>
      </c>
      <c r="H80" s="67">
        <v>46382.0</v>
      </c>
      <c r="I80" s="62" t="s">
        <v>152</v>
      </c>
      <c r="J80" s="42" t="s">
        <v>153</v>
      </c>
      <c r="K80" s="42" t="s">
        <v>400</v>
      </c>
      <c r="L80" s="63"/>
      <c r="M80" s="63"/>
      <c r="N80" s="63"/>
      <c r="O80" s="63"/>
      <c r="P80" s="42" t="s">
        <v>151</v>
      </c>
      <c r="Q80" s="42" t="s">
        <v>278</v>
      </c>
      <c r="R80" s="42" t="s">
        <v>151</v>
      </c>
      <c r="S80" s="42" t="s">
        <v>420</v>
      </c>
      <c r="T80" s="42" t="s">
        <v>400</v>
      </c>
      <c r="U80" s="62" t="s">
        <v>152</v>
      </c>
      <c r="V80" s="42" t="s">
        <v>167</v>
      </c>
      <c r="W80" s="62" t="s">
        <v>152</v>
      </c>
      <c r="X80" s="62" t="s">
        <v>159</v>
      </c>
      <c r="Y80" s="64" t="s">
        <v>160</v>
      </c>
      <c r="Z80" s="62" t="s">
        <v>161</v>
      </c>
    </row>
    <row r="81">
      <c r="A81" s="42" t="s">
        <v>421</v>
      </c>
      <c r="B81" s="61" t="s">
        <v>422</v>
      </c>
      <c r="C81" s="61" t="s">
        <v>150</v>
      </c>
      <c r="D81" s="61" t="s">
        <v>150</v>
      </c>
      <c r="E81" s="61">
        <v>4266.0</v>
      </c>
      <c r="F81" s="61">
        <v>0.0</v>
      </c>
      <c r="G81" s="42" t="s">
        <v>151</v>
      </c>
      <c r="H81" s="61" t="s">
        <v>423</v>
      </c>
      <c r="I81" s="62" t="s">
        <v>152</v>
      </c>
      <c r="J81" s="42" t="s">
        <v>153</v>
      </c>
      <c r="K81" s="42" t="s">
        <v>400</v>
      </c>
      <c r="L81" s="63"/>
      <c r="M81" s="63"/>
      <c r="N81" s="63"/>
      <c r="O81" s="63"/>
      <c r="P81" s="42" t="s">
        <v>151</v>
      </c>
      <c r="Q81" s="42" t="s">
        <v>278</v>
      </c>
      <c r="R81" s="42" t="s">
        <v>151</v>
      </c>
      <c r="S81" s="42" t="s">
        <v>424</v>
      </c>
      <c r="T81" s="42" t="s">
        <v>400</v>
      </c>
      <c r="U81" s="62" t="s">
        <v>152</v>
      </c>
      <c r="V81" s="42" t="s">
        <v>167</v>
      </c>
      <c r="W81" s="62" t="s">
        <v>152</v>
      </c>
      <c r="X81" s="62" t="s">
        <v>159</v>
      </c>
      <c r="Y81" s="64" t="s">
        <v>160</v>
      </c>
      <c r="Z81" s="62" t="s">
        <v>161</v>
      </c>
    </row>
    <row r="82">
      <c r="A82" s="42" t="s">
        <v>425</v>
      </c>
      <c r="B82" s="61" t="s">
        <v>426</v>
      </c>
      <c r="C82" s="61" t="s">
        <v>150</v>
      </c>
      <c r="D82" s="61" t="s">
        <v>150</v>
      </c>
      <c r="E82" s="61">
        <v>4631.0</v>
      </c>
      <c r="F82" s="61">
        <v>0.0</v>
      </c>
      <c r="G82" s="42" t="s">
        <v>151</v>
      </c>
      <c r="H82" s="61" t="s">
        <v>427</v>
      </c>
      <c r="I82" s="62" t="s">
        <v>152</v>
      </c>
      <c r="J82" s="42" t="s">
        <v>153</v>
      </c>
      <c r="K82" s="42" t="s">
        <v>400</v>
      </c>
      <c r="L82" s="63"/>
      <c r="M82" s="63"/>
      <c r="N82" s="63"/>
      <c r="O82" s="63"/>
      <c r="P82" s="42" t="s">
        <v>151</v>
      </c>
      <c r="Q82" s="42" t="s">
        <v>278</v>
      </c>
      <c r="R82" s="42" t="s">
        <v>151</v>
      </c>
      <c r="S82" s="42" t="s">
        <v>428</v>
      </c>
      <c r="T82" s="42" t="s">
        <v>400</v>
      </c>
      <c r="U82" s="62" t="s">
        <v>152</v>
      </c>
      <c r="V82" s="42" t="s">
        <v>167</v>
      </c>
      <c r="W82" s="62" t="s">
        <v>152</v>
      </c>
      <c r="X82" s="62" t="s">
        <v>159</v>
      </c>
      <c r="Y82" s="64" t="s">
        <v>160</v>
      </c>
      <c r="Z82" s="62" t="s">
        <v>161</v>
      </c>
    </row>
    <row r="83">
      <c r="A83" s="42" t="s">
        <v>429</v>
      </c>
      <c r="B83" s="61" t="s">
        <v>430</v>
      </c>
      <c r="C83" s="61" t="s">
        <v>150</v>
      </c>
      <c r="D83" s="61" t="s">
        <v>150</v>
      </c>
      <c r="E83" s="61">
        <v>2318.0</v>
      </c>
      <c r="F83" s="61">
        <v>0.0</v>
      </c>
      <c r="G83" s="42" t="s">
        <v>151</v>
      </c>
      <c r="H83" s="61" t="s">
        <v>431</v>
      </c>
      <c r="I83" s="62" t="s">
        <v>152</v>
      </c>
      <c r="J83" s="42" t="s">
        <v>153</v>
      </c>
      <c r="K83" s="42" t="s">
        <v>400</v>
      </c>
      <c r="L83" s="63"/>
      <c r="M83" s="63"/>
      <c r="N83" s="63"/>
      <c r="O83" s="63"/>
      <c r="P83" s="42" t="s">
        <v>151</v>
      </c>
      <c r="Q83" s="42" t="s">
        <v>278</v>
      </c>
      <c r="R83" s="42" t="s">
        <v>151</v>
      </c>
      <c r="S83" s="42" t="s">
        <v>432</v>
      </c>
      <c r="T83" s="42" t="s">
        <v>400</v>
      </c>
      <c r="U83" s="62" t="s">
        <v>152</v>
      </c>
      <c r="V83" s="42" t="s">
        <v>167</v>
      </c>
      <c r="W83" s="62" t="s">
        <v>152</v>
      </c>
      <c r="X83" s="62" t="s">
        <v>159</v>
      </c>
      <c r="Y83" s="64" t="s">
        <v>160</v>
      </c>
      <c r="Z83" s="62" t="s">
        <v>161</v>
      </c>
    </row>
    <row r="84">
      <c r="A84" s="42" t="s">
        <v>433</v>
      </c>
      <c r="B84" s="61" t="s">
        <v>434</v>
      </c>
      <c r="C84" s="61" t="s">
        <v>150</v>
      </c>
      <c r="D84" s="61" t="s">
        <v>150</v>
      </c>
      <c r="E84" s="61">
        <v>3285.0</v>
      </c>
      <c r="F84" s="61">
        <v>0.0</v>
      </c>
      <c r="G84" s="42" t="s">
        <v>151</v>
      </c>
      <c r="H84" s="61">
        <v>30.0</v>
      </c>
      <c r="I84" s="62" t="s">
        <v>152</v>
      </c>
      <c r="J84" s="42" t="s">
        <v>153</v>
      </c>
      <c r="K84" s="42" t="s">
        <v>400</v>
      </c>
      <c r="L84" s="63"/>
      <c r="M84" s="63"/>
      <c r="N84" s="63"/>
      <c r="O84" s="63"/>
      <c r="P84" s="42" t="s">
        <v>151</v>
      </c>
      <c r="Q84" s="42" t="s">
        <v>278</v>
      </c>
      <c r="R84" s="42" t="s">
        <v>151</v>
      </c>
      <c r="S84" s="42" t="s">
        <v>435</v>
      </c>
      <c r="T84" s="42" t="s">
        <v>400</v>
      </c>
      <c r="U84" s="62" t="s">
        <v>152</v>
      </c>
      <c r="V84" s="42" t="s">
        <v>167</v>
      </c>
      <c r="W84" s="62" t="s">
        <v>152</v>
      </c>
      <c r="X84" s="62" t="s">
        <v>159</v>
      </c>
      <c r="Y84" s="64" t="s">
        <v>160</v>
      </c>
      <c r="Z84" s="62" t="s">
        <v>161</v>
      </c>
    </row>
    <row r="85">
      <c r="A85" s="42" t="s">
        <v>436</v>
      </c>
      <c r="B85" s="61" t="s">
        <v>437</v>
      </c>
      <c r="C85" s="61" t="s">
        <v>150</v>
      </c>
      <c r="D85" s="61" t="s">
        <v>150</v>
      </c>
      <c r="E85" s="61">
        <v>4052.0</v>
      </c>
      <c r="F85" s="61">
        <v>0.0</v>
      </c>
      <c r="G85" s="42" t="s">
        <v>151</v>
      </c>
      <c r="H85" s="61" t="s">
        <v>438</v>
      </c>
      <c r="I85" s="62" t="s">
        <v>152</v>
      </c>
      <c r="J85" s="42" t="s">
        <v>153</v>
      </c>
      <c r="K85" s="42" t="s">
        <v>400</v>
      </c>
      <c r="L85" s="63"/>
      <c r="M85" s="63"/>
      <c r="N85" s="63"/>
      <c r="O85" s="63"/>
      <c r="P85" s="42" t="s">
        <v>151</v>
      </c>
      <c r="Q85" s="42" t="s">
        <v>278</v>
      </c>
      <c r="R85" s="42" t="s">
        <v>151</v>
      </c>
      <c r="S85" s="42" t="s">
        <v>439</v>
      </c>
      <c r="T85" s="42" t="s">
        <v>400</v>
      </c>
      <c r="U85" s="62" t="s">
        <v>152</v>
      </c>
      <c r="V85" s="42" t="s">
        <v>167</v>
      </c>
      <c r="W85" s="62" t="s">
        <v>152</v>
      </c>
      <c r="X85" s="62" t="s">
        <v>159</v>
      </c>
      <c r="Y85" s="64" t="s">
        <v>160</v>
      </c>
      <c r="Z85" s="62" t="s">
        <v>161</v>
      </c>
    </row>
    <row r="86">
      <c r="A86" s="42" t="s">
        <v>440</v>
      </c>
      <c r="B86" s="61" t="s">
        <v>441</v>
      </c>
      <c r="C86" s="61" t="s">
        <v>150</v>
      </c>
      <c r="D86" s="61" t="s">
        <v>150</v>
      </c>
      <c r="E86" s="61">
        <v>996.0</v>
      </c>
      <c r="F86" s="61">
        <v>0.0</v>
      </c>
      <c r="G86" s="42" t="s">
        <v>151</v>
      </c>
      <c r="H86" s="67">
        <v>46363.0</v>
      </c>
      <c r="I86" s="62" t="s">
        <v>152</v>
      </c>
      <c r="J86" s="42" t="s">
        <v>153</v>
      </c>
      <c r="K86" s="42" t="s">
        <v>400</v>
      </c>
      <c r="L86" s="63"/>
      <c r="M86" s="63"/>
      <c r="N86" s="63"/>
      <c r="O86" s="63"/>
      <c r="P86" s="42" t="s">
        <v>151</v>
      </c>
      <c r="Q86" s="42" t="s">
        <v>233</v>
      </c>
      <c r="R86" s="42" t="s">
        <v>151</v>
      </c>
      <c r="S86" s="42" t="s">
        <v>442</v>
      </c>
      <c r="T86" s="42" t="s">
        <v>400</v>
      </c>
      <c r="U86" s="62" t="s">
        <v>152</v>
      </c>
      <c r="V86" s="42" t="s">
        <v>167</v>
      </c>
      <c r="W86" s="62" t="s">
        <v>152</v>
      </c>
      <c r="X86" s="62" t="s">
        <v>159</v>
      </c>
      <c r="Y86" s="64" t="s">
        <v>160</v>
      </c>
      <c r="Z86" s="62" t="s">
        <v>161</v>
      </c>
    </row>
    <row r="87">
      <c r="A87" s="42" t="s">
        <v>443</v>
      </c>
      <c r="B87" s="61" t="s">
        <v>444</v>
      </c>
      <c r="C87" s="61" t="s">
        <v>150</v>
      </c>
      <c r="D87" s="61" t="s">
        <v>150</v>
      </c>
      <c r="E87" s="61">
        <v>1095.0</v>
      </c>
      <c r="F87" s="61">
        <v>0.0</v>
      </c>
      <c r="G87" s="42" t="s">
        <v>151</v>
      </c>
      <c r="H87" s="61">
        <v>30.0</v>
      </c>
      <c r="I87" s="62" t="s">
        <v>152</v>
      </c>
      <c r="J87" s="42" t="s">
        <v>153</v>
      </c>
      <c r="K87" s="42" t="s">
        <v>400</v>
      </c>
      <c r="L87" s="63"/>
      <c r="M87" s="63"/>
      <c r="N87" s="63"/>
      <c r="O87" s="63"/>
      <c r="P87" s="42" t="s">
        <v>151</v>
      </c>
      <c r="Q87" s="42" t="s">
        <v>227</v>
      </c>
      <c r="R87" s="42" t="s">
        <v>151</v>
      </c>
      <c r="S87" s="42" t="s">
        <v>445</v>
      </c>
      <c r="T87" s="42" t="s">
        <v>400</v>
      </c>
      <c r="U87" s="62" t="s">
        <v>152</v>
      </c>
      <c r="V87" s="42" t="s">
        <v>265</v>
      </c>
      <c r="W87" s="62" t="s">
        <v>152</v>
      </c>
      <c r="X87" s="62" t="s">
        <v>159</v>
      </c>
      <c r="Y87" s="64" t="s">
        <v>160</v>
      </c>
      <c r="Z87" s="62" t="s">
        <v>161</v>
      </c>
    </row>
    <row r="88">
      <c r="A88" s="42" t="s">
        <v>446</v>
      </c>
      <c r="B88" s="61" t="s">
        <v>447</v>
      </c>
      <c r="C88" s="61" t="s">
        <v>150</v>
      </c>
      <c r="D88" s="61" t="s">
        <v>150</v>
      </c>
      <c r="E88" s="61">
        <v>1785.0</v>
      </c>
      <c r="F88" s="61">
        <v>0.0</v>
      </c>
      <c r="G88" s="42" t="s">
        <v>151</v>
      </c>
      <c r="H88" s="61" t="s">
        <v>448</v>
      </c>
      <c r="I88" s="62" t="s">
        <v>152</v>
      </c>
      <c r="J88" s="42" t="s">
        <v>153</v>
      </c>
      <c r="K88" s="42" t="s">
        <v>400</v>
      </c>
      <c r="L88" s="63"/>
      <c r="M88" s="63"/>
      <c r="N88" s="63"/>
      <c r="O88" s="63"/>
      <c r="P88" s="42" t="s">
        <v>151</v>
      </c>
      <c r="Q88" s="42" t="s">
        <v>227</v>
      </c>
      <c r="R88" s="42" t="s">
        <v>151</v>
      </c>
      <c r="S88" s="42" t="s">
        <v>449</v>
      </c>
      <c r="T88" s="42" t="s">
        <v>400</v>
      </c>
      <c r="U88" s="62" t="s">
        <v>152</v>
      </c>
      <c r="V88" s="42" t="s">
        <v>167</v>
      </c>
      <c r="W88" s="62" t="s">
        <v>152</v>
      </c>
      <c r="X88" s="62" t="s">
        <v>159</v>
      </c>
      <c r="Y88" s="64" t="s">
        <v>160</v>
      </c>
      <c r="Z88" s="62" t="s">
        <v>161</v>
      </c>
    </row>
    <row r="89">
      <c r="A89" s="42" t="s">
        <v>450</v>
      </c>
      <c r="B89" s="61" t="s">
        <v>451</v>
      </c>
      <c r="C89" s="61" t="s">
        <v>150</v>
      </c>
      <c r="D89" s="61" t="s">
        <v>150</v>
      </c>
      <c r="E89" s="61">
        <v>1.0</v>
      </c>
      <c r="F89" s="61">
        <v>6.0</v>
      </c>
      <c r="G89" s="42" t="s">
        <v>151</v>
      </c>
      <c r="H89" s="61">
        <v>100.0</v>
      </c>
      <c r="I89" s="71" t="s">
        <v>152</v>
      </c>
      <c r="J89" s="42" t="s">
        <v>153</v>
      </c>
      <c r="K89" s="42" t="s">
        <v>154</v>
      </c>
      <c r="L89" s="63"/>
      <c r="M89" s="63"/>
      <c r="N89" s="63"/>
      <c r="O89" s="63"/>
      <c r="P89" s="42" t="s">
        <v>151</v>
      </c>
      <c r="Q89" s="42" t="s">
        <v>155</v>
      </c>
      <c r="R89" s="42" t="s">
        <v>151</v>
      </c>
      <c r="S89" s="42" t="s">
        <v>452</v>
      </c>
      <c r="T89" s="42" t="s">
        <v>453</v>
      </c>
      <c r="U89" s="71" t="s">
        <v>152</v>
      </c>
      <c r="V89" s="42" t="s">
        <v>158</v>
      </c>
      <c r="W89" s="71" t="s">
        <v>152</v>
      </c>
      <c r="X89" s="71" t="s">
        <v>311</v>
      </c>
      <c r="Y89" s="64" t="s">
        <v>160</v>
      </c>
      <c r="Z89" s="71" t="s">
        <v>161</v>
      </c>
    </row>
    <row r="90">
      <c r="A90" s="42" t="s">
        <v>454</v>
      </c>
      <c r="B90" s="61" t="s">
        <v>455</v>
      </c>
      <c r="C90" s="61" t="s">
        <v>150</v>
      </c>
      <c r="D90" s="61" t="s">
        <v>150</v>
      </c>
      <c r="E90" s="61">
        <v>1.0</v>
      </c>
      <c r="F90" s="61">
        <v>6.0</v>
      </c>
      <c r="G90" s="42" t="s">
        <v>151</v>
      </c>
      <c r="H90" s="61">
        <v>100.0</v>
      </c>
      <c r="I90" s="71" t="s">
        <v>152</v>
      </c>
      <c r="J90" s="42" t="s">
        <v>153</v>
      </c>
      <c r="K90" s="42" t="s">
        <v>154</v>
      </c>
      <c r="L90" s="63"/>
      <c r="M90" s="63"/>
      <c r="N90" s="63"/>
      <c r="O90" s="63"/>
      <c r="P90" s="42" t="s">
        <v>151</v>
      </c>
      <c r="Q90" s="42" t="s">
        <v>155</v>
      </c>
      <c r="R90" s="42" t="s">
        <v>151</v>
      </c>
      <c r="S90" s="42" t="s">
        <v>456</v>
      </c>
      <c r="T90" s="42" t="s">
        <v>453</v>
      </c>
      <c r="U90" s="71" t="s">
        <v>152</v>
      </c>
      <c r="V90" s="42" t="s">
        <v>158</v>
      </c>
      <c r="W90" s="71" t="s">
        <v>152</v>
      </c>
      <c r="X90" s="71" t="s">
        <v>311</v>
      </c>
      <c r="Y90" s="64" t="s">
        <v>160</v>
      </c>
      <c r="Z90" s="71" t="s">
        <v>161</v>
      </c>
    </row>
    <row r="91">
      <c r="A91" s="42" t="s">
        <v>457</v>
      </c>
      <c r="B91" s="61" t="s">
        <v>458</v>
      </c>
      <c r="C91" s="61" t="s">
        <v>150</v>
      </c>
      <c r="D91" s="61" t="s">
        <v>150</v>
      </c>
      <c r="E91" s="61">
        <v>1.0</v>
      </c>
      <c r="F91" s="61">
        <v>0.0</v>
      </c>
      <c r="G91" s="42" t="s">
        <v>151</v>
      </c>
      <c r="H91" s="61">
        <v>100.0</v>
      </c>
      <c r="I91" s="62" t="s">
        <v>152</v>
      </c>
      <c r="J91" s="42" t="s">
        <v>153</v>
      </c>
      <c r="K91" s="42" t="s">
        <v>154</v>
      </c>
      <c r="L91" s="63"/>
      <c r="M91" s="63"/>
      <c r="N91" s="63"/>
      <c r="O91" s="63"/>
      <c r="P91" s="42" t="s">
        <v>151</v>
      </c>
      <c r="Q91" s="42" t="s">
        <v>164</v>
      </c>
      <c r="R91" s="42" t="s">
        <v>151</v>
      </c>
      <c r="S91" s="42" t="s">
        <v>459</v>
      </c>
      <c r="T91" s="42" t="s">
        <v>453</v>
      </c>
      <c r="U91" s="62" t="s">
        <v>152</v>
      </c>
      <c r="V91" s="42" t="s">
        <v>167</v>
      </c>
      <c r="W91" s="62" t="s">
        <v>152</v>
      </c>
      <c r="X91" s="62" t="s">
        <v>159</v>
      </c>
      <c r="Y91" s="64" t="s">
        <v>160</v>
      </c>
      <c r="Z91" s="62" t="s">
        <v>161</v>
      </c>
    </row>
    <row r="92">
      <c r="A92" s="42" t="s">
        <v>460</v>
      </c>
      <c r="B92" s="61" t="s">
        <v>461</v>
      </c>
      <c r="C92" s="61" t="s">
        <v>150</v>
      </c>
      <c r="D92" s="61" t="s">
        <v>150</v>
      </c>
      <c r="E92" s="61">
        <v>1.0</v>
      </c>
      <c r="F92" s="61">
        <v>6.0</v>
      </c>
      <c r="G92" s="42" t="s">
        <v>151</v>
      </c>
      <c r="H92" s="61">
        <v>100.0</v>
      </c>
      <c r="I92" s="71" t="s">
        <v>152</v>
      </c>
      <c r="J92" s="42" t="s">
        <v>153</v>
      </c>
      <c r="K92" s="42" t="s">
        <v>154</v>
      </c>
      <c r="L92" s="63"/>
      <c r="M92" s="63"/>
      <c r="N92" s="63"/>
      <c r="O92" s="63"/>
      <c r="P92" s="42" t="s">
        <v>151</v>
      </c>
      <c r="Q92" s="42" t="s">
        <v>155</v>
      </c>
      <c r="R92" s="42" t="s">
        <v>151</v>
      </c>
      <c r="S92" s="42" t="s">
        <v>462</v>
      </c>
      <c r="T92" s="42" t="s">
        <v>453</v>
      </c>
      <c r="U92" s="71" t="s">
        <v>152</v>
      </c>
      <c r="V92" s="42" t="s">
        <v>158</v>
      </c>
      <c r="W92" s="71" t="s">
        <v>152</v>
      </c>
      <c r="X92" s="71" t="s">
        <v>311</v>
      </c>
      <c r="Y92" s="64" t="s">
        <v>160</v>
      </c>
      <c r="Z92" s="71" t="s">
        <v>161</v>
      </c>
    </row>
    <row r="175">
      <c r="B175" s="72"/>
    </row>
    <row r="176">
      <c r="B176" s="72"/>
    </row>
    <row r="177">
      <c r="B177" s="72"/>
    </row>
    <row r="178">
      <c r="B178" s="72"/>
    </row>
    <row r="179">
      <c r="B179" s="72"/>
    </row>
    <row r="180">
      <c r="B180" s="72"/>
    </row>
    <row r="181">
      <c r="B181" s="72"/>
    </row>
    <row r="182">
      <c r="B182" s="72"/>
    </row>
    <row r="183">
      <c r="B183" s="72"/>
    </row>
    <row r="184">
      <c r="B184" s="72"/>
    </row>
    <row r="185">
      <c r="B185" s="72"/>
    </row>
    <row r="186">
      <c r="B186" s="72"/>
    </row>
    <row r="187">
      <c r="B187" s="72"/>
    </row>
    <row r="188">
      <c r="B188" s="72"/>
    </row>
    <row r="189">
      <c r="B189" s="72"/>
    </row>
    <row r="190">
      <c r="B190" s="72"/>
    </row>
    <row r="191">
      <c r="B191" s="72"/>
    </row>
    <row r="192">
      <c r="B192" s="72"/>
    </row>
    <row r="193">
      <c r="B193" s="72"/>
    </row>
    <row r="194">
      <c r="B194" s="72"/>
    </row>
    <row r="195">
      <c r="B195" s="72"/>
    </row>
    <row r="196">
      <c r="B196" s="72"/>
    </row>
    <row r="197">
      <c r="B197" s="72"/>
    </row>
    <row r="198">
      <c r="B198" s="72"/>
    </row>
    <row r="199">
      <c r="B199" s="72"/>
    </row>
    <row r="200">
      <c r="B200" s="72"/>
    </row>
    <row r="201">
      <c r="B201" s="72"/>
    </row>
    <row r="202">
      <c r="B202" s="72"/>
    </row>
    <row r="203">
      <c r="B203" s="72"/>
    </row>
    <row r="204">
      <c r="B204" s="72"/>
    </row>
    <row r="205">
      <c r="B205" s="72"/>
    </row>
    <row r="206">
      <c r="B206" s="72"/>
    </row>
    <row r="207">
      <c r="B207" s="72"/>
    </row>
    <row r="208">
      <c r="B208" s="72"/>
    </row>
    <row r="209">
      <c r="B209" s="72"/>
    </row>
    <row r="210">
      <c r="B210" s="72"/>
    </row>
    <row r="211">
      <c r="B211" s="72"/>
    </row>
    <row r="212">
      <c r="B212" s="72"/>
    </row>
    <row r="213">
      <c r="B213" s="72"/>
    </row>
    <row r="214">
      <c r="B214" s="72"/>
    </row>
    <row r="215">
      <c r="B215" s="72"/>
    </row>
    <row r="216">
      <c r="B216" s="72"/>
    </row>
    <row r="217">
      <c r="B217" s="72"/>
    </row>
    <row r="218">
      <c r="B218" s="72"/>
    </row>
    <row r="219">
      <c r="B219" s="72"/>
    </row>
    <row r="220">
      <c r="B220" s="72"/>
    </row>
    <row r="221">
      <c r="B221" s="72"/>
    </row>
    <row r="222">
      <c r="B222" s="72"/>
    </row>
    <row r="223">
      <c r="B223" s="72"/>
    </row>
    <row r="224">
      <c r="B224" s="72"/>
    </row>
    <row r="225">
      <c r="B225" s="72"/>
    </row>
    <row r="226">
      <c r="B226" s="72"/>
    </row>
    <row r="227">
      <c r="B227" s="72"/>
    </row>
    <row r="228">
      <c r="B228" s="72"/>
    </row>
    <row r="229">
      <c r="B229" s="72"/>
    </row>
    <row r="230">
      <c r="B230" s="72"/>
    </row>
    <row r="231">
      <c r="B231" s="72"/>
    </row>
    <row r="232">
      <c r="B232" s="72"/>
    </row>
    <row r="233">
      <c r="B233" s="72"/>
    </row>
    <row r="234">
      <c r="B234" s="72"/>
    </row>
    <row r="235">
      <c r="B235" s="72"/>
    </row>
    <row r="236">
      <c r="B236" s="72"/>
    </row>
    <row r="237">
      <c r="B237" s="72"/>
    </row>
    <row r="238">
      <c r="B238" s="72"/>
    </row>
    <row r="239">
      <c r="B239" s="72"/>
    </row>
    <row r="240">
      <c r="B240" s="72"/>
    </row>
    <row r="241">
      <c r="B241" s="72"/>
    </row>
    <row r="242">
      <c r="B242" s="72"/>
    </row>
    <row r="243">
      <c r="B243" s="72"/>
    </row>
    <row r="244">
      <c r="B244" s="72"/>
    </row>
    <row r="245">
      <c r="B245" s="72"/>
    </row>
    <row r="246">
      <c r="B246" s="72"/>
    </row>
    <row r="247">
      <c r="B247" s="72"/>
    </row>
    <row r="248">
      <c r="B248" s="72"/>
    </row>
    <row r="249">
      <c r="B249" s="72"/>
    </row>
    <row r="250">
      <c r="B250" s="72"/>
    </row>
    <row r="251">
      <c r="B251" s="72"/>
    </row>
    <row r="252">
      <c r="B252" s="72"/>
    </row>
    <row r="253">
      <c r="B253" s="72"/>
    </row>
    <row r="254">
      <c r="B254" s="72"/>
    </row>
    <row r="255">
      <c r="B255" s="72"/>
    </row>
    <row r="256">
      <c r="B256" s="72"/>
    </row>
    <row r="257">
      <c r="B257" s="72"/>
    </row>
    <row r="258">
      <c r="B258" s="72"/>
    </row>
    <row r="259">
      <c r="B259" s="72"/>
    </row>
    <row r="260">
      <c r="B260" s="72"/>
    </row>
    <row r="261">
      <c r="B261" s="72"/>
    </row>
    <row r="262">
      <c r="B262" s="72"/>
    </row>
    <row r="263">
      <c r="B263" s="72"/>
    </row>
    <row r="264">
      <c r="B264" s="72"/>
    </row>
    <row r="265">
      <c r="B265" s="72"/>
    </row>
    <row r="266">
      <c r="B266" s="72"/>
    </row>
    <row r="267">
      <c r="B267" s="72"/>
    </row>
    <row r="268">
      <c r="B268" s="72"/>
    </row>
    <row r="269">
      <c r="B269" s="72"/>
    </row>
    <row r="270">
      <c r="B270" s="72"/>
    </row>
    <row r="271">
      <c r="B271" s="72"/>
    </row>
    <row r="272">
      <c r="B272" s="72"/>
    </row>
    <row r="273">
      <c r="B273" s="72"/>
    </row>
    <row r="274">
      <c r="B274" s="72"/>
    </row>
    <row r="275">
      <c r="B275" s="72"/>
    </row>
    <row r="276">
      <c r="B276" s="72"/>
    </row>
    <row r="277">
      <c r="B277" s="72"/>
    </row>
    <row r="278">
      <c r="B278" s="72"/>
    </row>
    <row r="279">
      <c r="B279" s="72"/>
    </row>
    <row r="280">
      <c r="B280" s="72"/>
    </row>
    <row r="281">
      <c r="B281" s="72"/>
    </row>
    <row r="282">
      <c r="B282" s="72"/>
    </row>
    <row r="283">
      <c r="B283" s="72"/>
    </row>
    <row r="284">
      <c r="B284" s="72"/>
    </row>
    <row r="285">
      <c r="B285" s="72"/>
    </row>
    <row r="286">
      <c r="B286" s="72"/>
    </row>
    <row r="287">
      <c r="B287" s="72"/>
    </row>
    <row r="288">
      <c r="B288" s="72"/>
    </row>
    <row r="289">
      <c r="B289" s="72"/>
    </row>
    <row r="290">
      <c r="B290" s="72"/>
    </row>
    <row r="291">
      <c r="B291" s="72"/>
    </row>
    <row r="292">
      <c r="B292" s="72"/>
    </row>
    <row r="293">
      <c r="B293" s="72"/>
    </row>
    <row r="294">
      <c r="B294" s="72"/>
    </row>
    <row r="295">
      <c r="B295" s="72"/>
    </row>
    <row r="296">
      <c r="B296" s="72"/>
    </row>
    <row r="297">
      <c r="B297" s="72"/>
    </row>
    <row r="298">
      <c r="B298" s="72"/>
    </row>
    <row r="299">
      <c r="B299" s="72"/>
    </row>
    <row r="300">
      <c r="B300" s="72"/>
    </row>
    <row r="301">
      <c r="B301" s="72"/>
    </row>
    <row r="302">
      <c r="B302" s="72"/>
    </row>
    <row r="303">
      <c r="B303" s="72"/>
    </row>
    <row r="304">
      <c r="B304" s="72"/>
    </row>
    <row r="305">
      <c r="B305" s="72"/>
    </row>
    <row r="306">
      <c r="B306" s="72"/>
    </row>
    <row r="307">
      <c r="B307" s="72"/>
    </row>
    <row r="308">
      <c r="B308" s="72"/>
    </row>
    <row r="309">
      <c r="B309" s="72"/>
    </row>
    <row r="310">
      <c r="B310" s="72"/>
    </row>
    <row r="311">
      <c r="B311" s="72"/>
    </row>
    <row r="312">
      <c r="B312" s="72"/>
    </row>
    <row r="313">
      <c r="B313" s="72"/>
    </row>
    <row r="314">
      <c r="B314" s="72"/>
    </row>
    <row r="315">
      <c r="B315" s="72"/>
    </row>
    <row r="316">
      <c r="B316" s="72"/>
    </row>
    <row r="317">
      <c r="B317" s="72"/>
    </row>
    <row r="318">
      <c r="B318" s="72"/>
    </row>
    <row r="319">
      <c r="B319" s="72"/>
    </row>
    <row r="320">
      <c r="B320" s="72"/>
    </row>
    <row r="321">
      <c r="B321" s="72"/>
    </row>
    <row r="322">
      <c r="B322" s="72"/>
    </row>
    <row r="323">
      <c r="B323" s="72"/>
    </row>
    <row r="324">
      <c r="B324" s="72"/>
    </row>
    <row r="325">
      <c r="B325" s="72"/>
    </row>
    <row r="326">
      <c r="B326" s="72"/>
    </row>
    <row r="327">
      <c r="B327" s="72"/>
    </row>
    <row r="328">
      <c r="B328" s="72"/>
    </row>
    <row r="329">
      <c r="B329" s="72"/>
    </row>
    <row r="330">
      <c r="B330" s="72"/>
    </row>
    <row r="331">
      <c r="B331" s="72"/>
    </row>
    <row r="332">
      <c r="B332" s="72"/>
    </row>
    <row r="333">
      <c r="B333" s="72"/>
    </row>
    <row r="334">
      <c r="B334" s="72"/>
    </row>
    <row r="335">
      <c r="B335" s="72"/>
    </row>
    <row r="336">
      <c r="B336" s="72"/>
    </row>
    <row r="337">
      <c r="B337" s="72"/>
    </row>
    <row r="338">
      <c r="B338" s="72"/>
    </row>
    <row r="339">
      <c r="B339" s="72"/>
    </row>
    <row r="340">
      <c r="B340" s="72"/>
    </row>
    <row r="341">
      <c r="B341" s="72"/>
    </row>
    <row r="342">
      <c r="B342" s="72"/>
    </row>
    <row r="343">
      <c r="B343" s="72"/>
    </row>
    <row r="344">
      <c r="B344" s="72"/>
    </row>
    <row r="345">
      <c r="B345" s="72"/>
    </row>
    <row r="346">
      <c r="B346" s="72"/>
    </row>
    <row r="347">
      <c r="B347" s="72"/>
    </row>
    <row r="348">
      <c r="B348" s="72"/>
    </row>
    <row r="349">
      <c r="B349" s="72"/>
    </row>
    <row r="350">
      <c r="B350" s="72"/>
    </row>
    <row r="351">
      <c r="B351" s="72"/>
    </row>
    <row r="352">
      <c r="B352" s="72"/>
    </row>
    <row r="353">
      <c r="B353" s="72"/>
    </row>
    <row r="354">
      <c r="B354" s="72"/>
    </row>
    <row r="355">
      <c r="B355" s="72"/>
    </row>
    <row r="356">
      <c r="B356" s="72"/>
    </row>
    <row r="357">
      <c r="B357" s="72"/>
    </row>
    <row r="358">
      <c r="B358" s="72"/>
    </row>
    <row r="359">
      <c r="B359" s="72"/>
    </row>
    <row r="360">
      <c r="B360" s="72"/>
    </row>
    <row r="361">
      <c r="B361" s="72"/>
    </row>
    <row r="362">
      <c r="B362" s="72"/>
    </row>
    <row r="363">
      <c r="B363" s="72"/>
    </row>
    <row r="364">
      <c r="B364" s="72"/>
    </row>
    <row r="365">
      <c r="B365" s="72"/>
    </row>
    <row r="366">
      <c r="B366" s="72"/>
    </row>
    <row r="367">
      <c r="B367" s="72"/>
    </row>
    <row r="368">
      <c r="B368" s="72"/>
    </row>
    <row r="369">
      <c r="B369" s="72"/>
    </row>
    <row r="370">
      <c r="B370" s="72"/>
    </row>
    <row r="371">
      <c r="B371" s="72"/>
    </row>
    <row r="372">
      <c r="B372" s="72"/>
    </row>
    <row r="373">
      <c r="B373" s="72"/>
    </row>
    <row r="374">
      <c r="B374" s="72"/>
    </row>
    <row r="375">
      <c r="B375" s="72"/>
    </row>
    <row r="376">
      <c r="B376" s="72"/>
    </row>
    <row r="377">
      <c r="B377" s="72"/>
    </row>
    <row r="378">
      <c r="B378" s="72"/>
    </row>
    <row r="379">
      <c r="B379" s="72"/>
    </row>
    <row r="380">
      <c r="B380" s="72"/>
    </row>
    <row r="381">
      <c r="B381" s="72"/>
    </row>
    <row r="382">
      <c r="B382" s="72"/>
    </row>
    <row r="383">
      <c r="B383" s="72"/>
    </row>
    <row r="384">
      <c r="B384" s="72"/>
    </row>
    <row r="385">
      <c r="B385" s="72"/>
    </row>
    <row r="386">
      <c r="B386" s="72"/>
    </row>
    <row r="387">
      <c r="B387" s="72"/>
    </row>
    <row r="388">
      <c r="B388" s="72"/>
    </row>
    <row r="389">
      <c r="B389" s="72"/>
    </row>
    <row r="390">
      <c r="B390" s="72"/>
    </row>
    <row r="391">
      <c r="B391" s="72"/>
    </row>
    <row r="392">
      <c r="B392" s="72"/>
    </row>
    <row r="393">
      <c r="B393" s="72"/>
    </row>
    <row r="394">
      <c r="B394" s="72"/>
    </row>
    <row r="395">
      <c r="B395" s="72"/>
    </row>
    <row r="396">
      <c r="B396" s="72"/>
    </row>
    <row r="397">
      <c r="B397" s="72"/>
    </row>
    <row r="398">
      <c r="B398" s="72"/>
    </row>
    <row r="399">
      <c r="B399" s="72"/>
    </row>
    <row r="400">
      <c r="B400" s="72"/>
    </row>
    <row r="401">
      <c r="B401" s="72"/>
    </row>
    <row r="402">
      <c r="B402" s="72"/>
    </row>
    <row r="403">
      <c r="B403" s="72"/>
    </row>
    <row r="404">
      <c r="B404" s="72"/>
    </row>
    <row r="405">
      <c r="B405" s="72"/>
    </row>
    <row r="406">
      <c r="B406" s="72"/>
    </row>
    <row r="407">
      <c r="B407" s="72"/>
    </row>
    <row r="408">
      <c r="B408" s="72"/>
    </row>
    <row r="409">
      <c r="B409" s="72"/>
    </row>
    <row r="410">
      <c r="B410" s="72"/>
    </row>
    <row r="411">
      <c r="B411" s="72"/>
    </row>
    <row r="412">
      <c r="B412" s="72"/>
    </row>
    <row r="413">
      <c r="B413" s="72"/>
    </row>
    <row r="414">
      <c r="B414" s="72"/>
    </row>
    <row r="415">
      <c r="B415" s="72"/>
    </row>
    <row r="416">
      <c r="B416" s="72"/>
    </row>
    <row r="417">
      <c r="B417" s="72"/>
    </row>
    <row r="418">
      <c r="B418" s="72"/>
    </row>
    <row r="419">
      <c r="B419" s="72"/>
    </row>
    <row r="420">
      <c r="B420" s="72"/>
    </row>
    <row r="421">
      <c r="B421" s="72"/>
    </row>
    <row r="422">
      <c r="B422" s="72"/>
    </row>
    <row r="423">
      <c r="B423" s="72"/>
    </row>
    <row r="424">
      <c r="B424" s="72"/>
    </row>
    <row r="425">
      <c r="B425" s="72"/>
    </row>
    <row r="426">
      <c r="B426" s="72"/>
    </row>
    <row r="427">
      <c r="B427" s="72"/>
    </row>
    <row r="428">
      <c r="B428" s="72"/>
    </row>
    <row r="429">
      <c r="B429" s="72"/>
    </row>
    <row r="430">
      <c r="B430" s="72"/>
    </row>
    <row r="431">
      <c r="B431" s="72"/>
    </row>
    <row r="432">
      <c r="B432" s="72"/>
    </row>
    <row r="433">
      <c r="B433" s="72"/>
    </row>
    <row r="434">
      <c r="B434" s="72"/>
    </row>
    <row r="435">
      <c r="B435" s="72"/>
    </row>
    <row r="436">
      <c r="B436" s="72"/>
    </row>
    <row r="437">
      <c r="B437" s="72"/>
    </row>
    <row r="438">
      <c r="B438" s="72"/>
    </row>
    <row r="439">
      <c r="B439" s="72"/>
    </row>
    <row r="440">
      <c r="B440" s="72"/>
    </row>
    <row r="441">
      <c r="B441" s="72"/>
    </row>
    <row r="442">
      <c r="B442" s="72"/>
    </row>
    <row r="443">
      <c r="B443" s="72"/>
    </row>
    <row r="444">
      <c r="B444" s="72"/>
    </row>
    <row r="445">
      <c r="B445" s="72"/>
    </row>
    <row r="446">
      <c r="B446" s="72"/>
    </row>
    <row r="447">
      <c r="B447" s="72"/>
    </row>
    <row r="448">
      <c r="B448" s="72"/>
    </row>
    <row r="449">
      <c r="B449" s="72"/>
    </row>
    <row r="450">
      <c r="B450" s="72"/>
    </row>
    <row r="451">
      <c r="B451" s="72"/>
    </row>
    <row r="452">
      <c r="B452" s="72"/>
    </row>
    <row r="453">
      <c r="B453" s="72"/>
    </row>
    <row r="454">
      <c r="B454" s="72"/>
    </row>
    <row r="455">
      <c r="B455" s="72"/>
    </row>
    <row r="456">
      <c r="B456" s="72"/>
    </row>
    <row r="457">
      <c r="B457" s="72"/>
    </row>
    <row r="458">
      <c r="B458" s="72"/>
    </row>
    <row r="459">
      <c r="B459" s="72"/>
    </row>
    <row r="460">
      <c r="B460" s="72"/>
    </row>
    <row r="461">
      <c r="B461" s="72"/>
    </row>
    <row r="462">
      <c r="B462" s="72"/>
    </row>
    <row r="463">
      <c r="B463" s="72"/>
    </row>
    <row r="464">
      <c r="B464" s="72"/>
    </row>
    <row r="465">
      <c r="B465" s="72"/>
    </row>
    <row r="466">
      <c r="B466" s="72"/>
    </row>
    <row r="467">
      <c r="B467" s="72"/>
    </row>
    <row r="468">
      <c r="B468" s="72"/>
    </row>
    <row r="469">
      <c r="B469" s="72"/>
    </row>
    <row r="470">
      <c r="B470" s="72"/>
    </row>
    <row r="471">
      <c r="B471" s="72"/>
    </row>
    <row r="472">
      <c r="B472" s="72"/>
    </row>
    <row r="473">
      <c r="B473" s="72"/>
    </row>
    <row r="474">
      <c r="B474" s="72"/>
    </row>
    <row r="475">
      <c r="B475" s="72"/>
    </row>
    <row r="476">
      <c r="B476" s="72"/>
    </row>
    <row r="477">
      <c r="B477" s="72"/>
    </row>
    <row r="478">
      <c r="B478" s="72"/>
    </row>
    <row r="479">
      <c r="B479" s="72"/>
    </row>
    <row r="480">
      <c r="B480" s="72"/>
    </row>
    <row r="481">
      <c r="B481" s="72"/>
    </row>
    <row r="482">
      <c r="B482" s="72"/>
    </row>
    <row r="483">
      <c r="B483" s="72"/>
    </row>
    <row r="484">
      <c r="B484" s="72"/>
    </row>
    <row r="485">
      <c r="B485" s="72"/>
    </row>
    <row r="486">
      <c r="B486" s="72"/>
    </row>
    <row r="487">
      <c r="B487" s="72"/>
    </row>
    <row r="488">
      <c r="B488" s="72"/>
    </row>
    <row r="489">
      <c r="B489" s="72"/>
    </row>
    <row r="490">
      <c r="B490" s="72"/>
    </row>
    <row r="491">
      <c r="B491" s="72"/>
    </row>
    <row r="492">
      <c r="B492" s="72"/>
    </row>
    <row r="493">
      <c r="B493" s="72"/>
    </row>
    <row r="494">
      <c r="B494" s="72"/>
    </row>
    <row r="495">
      <c r="B495" s="72"/>
    </row>
    <row r="496">
      <c r="B496" s="72"/>
    </row>
    <row r="497">
      <c r="B497" s="72"/>
    </row>
    <row r="498">
      <c r="B498" s="72"/>
    </row>
    <row r="499">
      <c r="B499" s="72"/>
    </row>
    <row r="500">
      <c r="B500" s="72"/>
    </row>
    <row r="501">
      <c r="B501" s="72"/>
    </row>
    <row r="502">
      <c r="B502" s="72"/>
    </row>
    <row r="503">
      <c r="B503" s="72"/>
    </row>
    <row r="504">
      <c r="B504" s="72"/>
    </row>
    <row r="505">
      <c r="B505" s="72"/>
    </row>
    <row r="506">
      <c r="B506" s="72"/>
    </row>
    <row r="507">
      <c r="B507" s="72"/>
    </row>
    <row r="508">
      <c r="B508" s="72"/>
    </row>
    <row r="509">
      <c r="B509" s="72"/>
    </row>
    <row r="510">
      <c r="B510" s="72"/>
    </row>
    <row r="511">
      <c r="B511" s="72"/>
    </row>
    <row r="512">
      <c r="B512" s="72"/>
    </row>
    <row r="513">
      <c r="B513" s="72"/>
    </row>
    <row r="514">
      <c r="B514" s="72"/>
    </row>
    <row r="515">
      <c r="B515" s="72"/>
    </row>
    <row r="516">
      <c r="B516" s="72"/>
    </row>
    <row r="517">
      <c r="B517" s="72"/>
    </row>
    <row r="518">
      <c r="B518" s="72"/>
    </row>
    <row r="519">
      <c r="B519" s="72"/>
    </row>
    <row r="520">
      <c r="B520" s="72"/>
    </row>
    <row r="521">
      <c r="B521" s="72"/>
    </row>
    <row r="522">
      <c r="B522" s="72"/>
    </row>
    <row r="523">
      <c r="B523" s="72"/>
    </row>
    <row r="524">
      <c r="B524" s="72"/>
    </row>
    <row r="525">
      <c r="B525" s="72"/>
    </row>
    <row r="526">
      <c r="B526" s="72"/>
    </row>
    <row r="527">
      <c r="B527" s="72"/>
    </row>
    <row r="528">
      <c r="B528" s="72"/>
    </row>
    <row r="529">
      <c r="B529" s="72"/>
    </row>
    <row r="530">
      <c r="B530" s="72"/>
    </row>
    <row r="531">
      <c r="B531" s="72"/>
    </row>
    <row r="532">
      <c r="B532" s="72"/>
    </row>
    <row r="533">
      <c r="B533" s="72"/>
    </row>
    <row r="534">
      <c r="B534" s="72"/>
    </row>
    <row r="535">
      <c r="B535" s="72"/>
    </row>
    <row r="536">
      <c r="B536" s="72"/>
    </row>
    <row r="537">
      <c r="B537" s="72"/>
    </row>
    <row r="538">
      <c r="B538" s="72"/>
    </row>
    <row r="539">
      <c r="B539" s="72"/>
    </row>
    <row r="540">
      <c r="B540" s="72"/>
    </row>
    <row r="541">
      <c r="B541" s="72"/>
    </row>
    <row r="542">
      <c r="B542" s="72"/>
    </row>
    <row r="543">
      <c r="B543" s="72"/>
    </row>
    <row r="544">
      <c r="B544" s="72"/>
    </row>
    <row r="545">
      <c r="B545" s="72"/>
    </row>
    <row r="546">
      <c r="B546" s="72"/>
    </row>
    <row r="547">
      <c r="B547" s="72"/>
    </row>
    <row r="548">
      <c r="B548" s="72"/>
    </row>
    <row r="549">
      <c r="B549" s="72"/>
    </row>
    <row r="550">
      <c r="B550" s="72"/>
    </row>
    <row r="551">
      <c r="B551" s="72"/>
    </row>
    <row r="552">
      <c r="B552" s="72"/>
    </row>
    <row r="553">
      <c r="B553" s="72"/>
    </row>
    <row r="554">
      <c r="B554" s="72"/>
    </row>
    <row r="555">
      <c r="B555" s="72"/>
    </row>
    <row r="556">
      <c r="B556" s="72"/>
    </row>
    <row r="557">
      <c r="B557" s="72"/>
    </row>
    <row r="558">
      <c r="B558" s="72"/>
    </row>
    <row r="559">
      <c r="B559" s="72"/>
    </row>
    <row r="560">
      <c r="B560" s="72"/>
    </row>
    <row r="561">
      <c r="B561" s="72"/>
    </row>
    <row r="562">
      <c r="B562" s="72"/>
    </row>
    <row r="563">
      <c r="B563" s="72"/>
    </row>
    <row r="564">
      <c r="B564" s="72"/>
    </row>
    <row r="565">
      <c r="B565" s="72"/>
    </row>
    <row r="566">
      <c r="B566" s="72"/>
    </row>
    <row r="567">
      <c r="B567" s="72"/>
    </row>
    <row r="568">
      <c r="B568" s="72"/>
    </row>
    <row r="569">
      <c r="B569" s="72"/>
    </row>
    <row r="570">
      <c r="B570" s="72"/>
    </row>
    <row r="571">
      <c r="B571" s="72"/>
    </row>
    <row r="572">
      <c r="B572" s="72"/>
    </row>
    <row r="573">
      <c r="B573" s="72"/>
    </row>
    <row r="574">
      <c r="B574" s="72"/>
    </row>
    <row r="575">
      <c r="B575" s="72"/>
    </row>
    <row r="576">
      <c r="B576" s="72"/>
    </row>
    <row r="577">
      <c r="B577" s="72"/>
    </row>
    <row r="578">
      <c r="B578" s="72"/>
    </row>
    <row r="579">
      <c r="B579" s="72"/>
    </row>
    <row r="580">
      <c r="B580" s="72"/>
    </row>
    <row r="581">
      <c r="B581" s="72"/>
    </row>
    <row r="582">
      <c r="B582" s="72"/>
    </row>
    <row r="583">
      <c r="B583" s="72"/>
    </row>
    <row r="584">
      <c r="B584" s="72"/>
    </row>
    <row r="585">
      <c r="B585" s="72"/>
    </row>
    <row r="586">
      <c r="B586" s="72"/>
    </row>
    <row r="587">
      <c r="B587" s="72"/>
    </row>
    <row r="588">
      <c r="B588" s="72"/>
    </row>
    <row r="589">
      <c r="B589" s="72"/>
    </row>
    <row r="590">
      <c r="B590" s="72"/>
    </row>
    <row r="591">
      <c r="B591" s="72"/>
    </row>
    <row r="592">
      <c r="B592" s="72"/>
    </row>
    <row r="593">
      <c r="B593" s="72"/>
    </row>
    <row r="594">
      <c r="B594" s="72"/>
    </row>
    <row r="595">
      <c r="B595" s="72"/>
    </row>
    <row r="596">
      <c r="B596" s="72"/>
    </row>
    <row r="597">
      <c r="B597" s="72"/>
    </row>
    <row r="598">
      <c r="B598" s="72"/>
    </row>
    <row r="599">
      <c r="B599" s="72"/>
    </row>
    <row r="600">
      <c r="B600" s="72"/>
    </row>
    <row r="601">
      <c r="B601" s="72"/>
    </row>
    <row r="602">
      <c r="B602" s="72"/>
    </row>
    <row r="603">
      <c r="B603" s="72"/>
    </row>
    <row r="604">
      <c r="B604" s="72"/>
    </row>
    <row r="605">
      <c r="B605" s="72"/>
    </row>
    <row r="606">
      <c r="B606" s="72"/>
    </row>
    <row r="607">
      <c r="B607" s="72"/>
    </row>
    <row r="608">
      <c r="B608" s="72"/>
    </row>
    <row r="609">
      <c r="B609" s="72"/>
    </row>
    <row r="610">
      <c r="B610" s="72"/>
    </row>
    <row r="611">
      <c r="B611" s="72"/>
    </row>
    <row r="612">
      <c r="B612" s="72"/>
    </row>
    <row r="613">
      <c r="B613" s="72"/>
    </row>
    <row r="614">
      <c r="B614" s="72"/>
    </row>
    <row r="615">
      <c r="B615" s="72"/>
    </row>
    <row r="616">
      <c r="B616" s="72"/>
    </row>
    <row r="617">
      <c r="B617" s="72"/>
    </row>
    <row r="618">
      <c r="B618" s="72"/>
    </row>
    <row r="619">
      <c r="B619" s="72"/>
    </row>
    <row r="620">
      <c r="B620" s="72"/>
    </row>
    <row r="621">
      <c r="B621" s="72"/>
    </row>
    <row r="622">
      <c r="B622" s="72"/>
    </row>
    <row r="623">
      <c r="B623" s="72"/>
    </row>
    <row r="624">
      <c r="B624" s="72"/>
    </row>
    <row r="625">
      <c r="B625" s="72"/>
    </row>
    <row r="626">
      <c r="B626" s="72"/>
    </row>
    <row r="627">
      <c r="B627" s="72"/>
    </row>
    <row r="628">
      <c r="B628" s="72"/>
    </row>
    <row r="629">
      <c r="B629" s="72"/>
    </row>
    <row r="630">
      <c r="B630" s="72"/>
    </row>
    <row r="631">
      <c r="B631" s="72"/>
    </row>
    <row r="632">
      <c r="B632" s="72"/>
    </row>
    <row r="633">
      <c r="B633" s="72"/>
    </row>
    <row r="634">
      <c r="B634" s="72"/>
    </row>
    <row r="635">
      <c r="B635" s="72"/>
    </row>
    <row r="636">
      <c r="B636" s="72"/>
    </row>
    <row r="637">
      <c r="B637" s="72"/>
    </row>
    <row r="638">
      <c r="B638" s="72"/>
    </row>
    <row r="639">
      <c r="B639" s="72"/>
    </row>
    <row r="640">
      <c r="B640" s="72"/>
    </row>
    <row r="641">
      <c r="B641" s="72"/>
    </row>
    <row r="642">
      <c r="B642" s="72"/>
    </row>
    <row r="643">
      <c r="B643" s="72"/>
    </row>
    <row r="644">
      <c r="B644" s="72"/>
    </row>
    <row r="645">
      <c r="B645" s="72"/>
    </row>
    <row r="646">
      <c r="B646" s="72"/>
    </row>
    <row r="647">
      <c r="B647" s="72"/>
    </row>
    <row r="648">
      <c r="B648" s="72"/>
    </row>
    <row r="649">
      <c r="B649" s="72"/>
    </row>
    <row r="650">
      <c r="B650" s="72"/>
    </row>
    <row r="651">
      <c r="B651" s="72"/>
    </row>
    <row r="652">
      <c r="B652" s="72"/>
    </row>
    <row r="653">
      <c r="B653" s="72"/>
    </row>
    <row r="654">
      <c r="B654" s="72"/>
    </row>
    <row r="655">
      <c r="B655" s="72"/>
    </row>
    <row r="656">
      <c r="B656" s="72"/>
    </row>
    <row r="657">
      <c r="B657" s="72"/>
    </row>
    <row r="658">
      <c r="B658" s="72"/>
    </row>
    <row r="659">
      <c r="B659" s="72"/>
    </row>
    <row r="660">
      <c r="B660" s="72"/>
    </row>
    <row r="661">
      <c r="B661" s="72"/>
    </row>
    <row r="662">
      <c r="B662" s="72"/>
    </row>
    <row r="663">
      <c r="B663" s="72"/>
    </row>
    <row r="664">
      <c r="B664" s="72"/>
    </row>
    <row r="665">
      <c r="B665" s="72"/>
    </row>
    <row r="666">
      <c r="B666" s="72"/>
    </row>
    <row r="667">
      <c r="B667" s="72"/>
    </row>
    <row r="668">
      <c r="B668" s="72"/>
    </row>
    <row r="669">
      <c r="B669" s="72"/>
    </row>
    <row r="670">
      <c r="B670" s="72"/>
    </row>
    <row r="671">
      <c r="B671" s="72"/>
    </row>
    <row r="672">
      <c r="B672" s="72"/>
    </row>
    <row r="673">
      <c r="B673" s="72"/>
    </row>
    <row r="674">
      <c r="B674" s="72"/>
    </row>
    <row r="675">
      <c r="B675" s="72"/>
    </row>
    <row r="676">
      <c r="B676" s="72"/>
    </row>
    <row r="677">
      <c r="B677" s="72"/>
    </row>
    <row r="678">
      <c r="B678" s="72"/>
    </row>
    <row r="679">
      <c r="B679" s="72"/>
    </row>
    <row r="680">
      <c r="B680" s="72"/>
    </row>
    <row r="681">
      <c r="B681" s="72"/>
    </row>
    <row r="682">
      <c r="B682" s="72"/>
    </row>
    <row r="683">
      <c r="B683" s="72"/>
    </row>
    <row r="684">
      <c r="B684" s="72"/>
    </row>
    <row r="685">
      <c r="B685" s="72"/>
    </row>
    <row r="686">
      <c r="B686" s="72"/>
    </row>
    <row r="687">
      <c r="B687" s="72"/>
    </row>
    <row r="688">
      <c r="B688" s="72"/>
    </row>
    <row r="689">
      <c r="B689" s="72"/>
    </row>
    <row r="690">
      <c r="B690" s="72"/>
    </row>
    <row r="691">
      <c r="B691" s="72"/>
    </row>
    <row r="692">
      <c r="B692" s="72"/>
    </row>
    <row r="693">
      <c r="B693" s="72"/>
    </row>
    <row r="694">
      <c r="B694" s="72"/>
    </row>
    <row r="695">
      <c r="B695" s="72"/>
    </row>
    <row r="696">
      <c r="B696" s="72"/>
    </row>
    <row r="697">
      <c r="B697" s="72"/>
    </row>
    <row r="698">
      <c r="B698" s="72"/>
    </row>
    <row r="699">
      <c r="B699" s="72"/>
    </row>
    <row r="700">
      <c r="B700" s="72"/>
    </row>
    <row r="701">
      <c r="B701" s="72"/>
    </row>
    <row r="702">
      <c r="B702" s="72"/>
    </row>
    <row r="703">
      <c r="B703" s="72"/>
    </row>
    <row r="704">
      <c r="B704" s="72"/>
    </row>
    <row r="705">
      <c r="B705" s="72"/>
    </row>
    <row r="706">
      <c r="B706" s="72"/>
    </row>
    <row r="707">
      <c r="B707" s="72"/>
    </row>
    <row r="708">
      <c r="B708" s="72"/>
    </row>
    <row r="709">
      <c r="B709" s="72"/>
    </row>
    <row r="710">
      <c r="B710" s="72"/>
    </row>
    <row r="711">
      <c r="B711" s="72"/>
    </row>
    <row r="712">
      <c r="B712" s="72"/>
    </row>
    <row r="713">
      <c r="B713" s="72"/>
    </row>
    <row r="714">
      <c r="B714" s="72"/>
    </row>
    <row r="715">
      <c r="B715" s="72"/>
    </row>
    <row r="716">
      <c r="B716" s="72"/>
    </row>
    <row r="717">
      <c r="B717" s="72"/>
    </row>
    <row r="718">
      <c r="B718" s="72"/>
    </row>
    <row r="719">
      <c r="B719" s="72"/>
    </row>
    <row r="720">
      <c r="B720" s="72"/>
    </row>
    <row r="721">
      <c r="B721" s="72"/>
    </row>
    <row r="722">
      <c r="B722" s="72"/>
    </row>
    <row r="723">
      <c r="B723" s="72"/>
    </row>
    <row r="724">
      <c r="B724" s="72"/>
    </row>
    <row r="725">
      <c r="B725" s="72"/>
    </row>
    <row r="726">
      <c r="B726" s="72"/>
    </row>
    <row r="727">
      <c r="B727" s="72"/>
    </row>
    <row r="728">
      <c r="B728" s="72"/>
    </row>
    <row r="729">
      <c r="B729" s="72"/>
    </row>
    <row r="730">
      <c r="B730" s="72"/>
    </row>
    <row r="731">
      <c r="B731" s="72"/>
    </row>
    <row r="732">
      <c r="B732" s="72"/>
    </row>
    <row r="733">
      <c r="B733" s="72"/>
    </row>
    <row r="734">
      <c r="B734" s="72"/>
    </row>
    <row r="735">
      <c r="B735" s="72"/>
    </row>
    <row r="736">
      <c r="B736" s="72"/>
    </row>
    <row r="737">
      <c r="B737" s="72"/>
    </row>
    <row r="738">
      <c r="B738" s="72"/>
    </row>
    <row r="739">
      <c r="B739" s="72"/>
    </row>
    <row r="740">
      <c r="B740" s="72"/>
    </row>
    <row r="741">
      <c r="B741" s="72"/>
    </row>
    <row r="742">
      <c r="B742" s="72"/>
    </row>
    <row r="743">
      <c r="B743" s="72"/>
    </row>
    <row r="744">
      <c r="B744" s="72"/>
    </row>
    <row r="745">
      <c r="B745" s="72"/>
    </row>
    <row r="746">
      <c r="B746" s="72"/>
    </row>
    <row r="747">
      <c r="B747" s="72"/>
    </row>
    <row r="748">
      <c r="B748" s="72"/>
    </row>
    <row r="749">
      <c r="B749" s="72"/>
    </row>
    <row r="750">
      <c r="B750" s="72"/>
    </row>
    <row r="751">
      <c r="B751" s="72"/>
    </row>
    <row r="752">
      <c r="B752" s="72"/>
    </row>
    <row r="753">
      <c r="B753" s="72"/>
    </row>
    <row r="754">
      <c r="B754" s="72"/>
    </row>
    <row r="755">
      <c r="B755" s="72"/>
    </row>
    <row r="756">
      <c r="B756" s="72"/>
    </row>
    <row r="757">
      <c r="B757" s="72"/>
    </row>
    <row r="758">
      <c r="B758" s="72"/>
    </row>
    <row r="759">
      <c r="B759" s="72"/>
    </row>
    <row r="760">
      <c r="B760" s="72"/>
    </row>
    <row r="761">
      <c r="B761" s="72"/>
    </row>
    <row r="762">
      <c r="B762" s="72"/>
    </row>
    <row r="763">
      <c r="B763" s="72"/>
    </row>
    <row r="764">
      <c r="B764" s="72"/>
    </row>
    <row r="765">
      <c r="B765" s="72"/>
    </row>
    <row r="766">
      <c r="B766" s="72"/>
    </row>
    <row r="767">
      <c r="B767" s="72"/>
    </row>
    <row r="768">
      <c r="B768" s="72"/>
    </row>
    <row r="769">
      <c r="B769" s="72"/>
    </row>
    <row r="770">
      <c r="B770" s="72"/>
    </row>
    <row r="771">
      <c r="B771" s="72"/>
    </row>
    <row r="772">
      <c r="B772" s="72"/>
    </row>
    <row r="773">
      <c r="B773" s="72"/>
    </row>
    <row r="774">
      <c r="B774" s="72"/>
    </row>
    <row r="775">
      <c r="B775" s="72"/>
    </row>
    <row r="776">
      <c r="B776" s="72"/>
    </row>
    <row r="777">
      <c r="B777" s="72"/>
    </row>
    <row r="778">
      <c r="B778" s="72"/>
    </row>
    <row r="779">
      <c r="B779" s="72"/>
    </row>
    <row r="780">
      <c r="B780" s="72"/>
    </row>
    <row r="781">
      <c r="B781" s="72"/>
    </row>
    <row r="782">
      <c r="B782" s="72"/>
    </row>
    <row r="783">
      <c r="B783" s="72"/>
    </row>
    <row r="784">
      <c r="B784" s="72"/>
    </row>
    <row r="785">
      <c r="B785" s="72"/>
    </row>
    <row r="786">
      <c r="B786" s="72"/>
    </row>
    <row r="787">
      <c r="B787" s="72"/>
    </row>
    <row r="788">
      <c r="B788" s="72"/>
    </row>
    <row r="789">
      <c r="B789" s="72"/>
    </row>
    <row r="790">
      <c r="B790" s="72"/>
    </row>
    <row r="791">
      <c r="B791" s="72"/>
    </row>
    <row r="792">
      <c r="B792" s="72"/>
    </row>
    <row r="793">
      <c r="B793" s="72"/>
    </row>
    <row r="794">
      <c r="B794" s="72"/>
    </row>
    <row r="795">
      <c r="B795" s="72"/>
    </row>
    <row r="796">
      <c r="B796" s="72"/>
    </row>
    <row r="797">
      <c r="B797" s="72"/>
    </row>
    <row r="798">
      <c r="B798" s="72"/>
    </row>
    <row r="799">
      <c r="B799" s="72"/>
    </row>
    <row r="800">
      <c r="B800" s="72"/>
    </row>
    <row r="801">
      <c r="B801" s="72"/>
    </row>
    <row r="802">
      <c r="B802" s="72"/>
    </row>
    <row r="803">
      <c r="B803" s="72"/>
    </row>
    <row r="804">
      <c r="B804" s="72"/>
    </row>
    <row r="805">
      <c r="B805" s="72"/>
    </row>
    <row r="806">
      <c r="B806" s="72"/>
    </row>
    <row r="807">
      <c r="B807" s="72"/>
    </row>
    <row r="808">
      <c r="B808" s="72"/>
    </row>
    <row r="809">
      <c r="B809" s="72"/>
    </row>
    <row r="810">
      <c r="B810" s="72"/>
    </row>
    <row r="811">
      <c r="B811" s="72"/>
    </row>
    <row r="812">
      <c r="B812" s="72"/>
    </row>
    <row r="813">
      <c r="B813" s="72"/>
    </row>
    <row r="814">
      <c r="B814" s="72"/>
    </row>
    <row r="815">
      <c r="B815" s="72"/>
    </row>
    <row r="816">
      <c r="B816" s="72"/>
    </row>
    <row r="817">
      <c r="B817" s="72"/>
    </row>
    <row r="818">
      <c r="B818" s="72"/>
    </row>
    <row r="819">
      <c r="B819" s="72"/>
    </row>
    <row r="820">
      <c r="B820" s="72"/>
    </row>
    <row r="821">
      <c r="B821" s="72"/>
    </row>
    <row r="822">
      <c r="B822" s="72"/>
    </row>
    <row r="823">
      <c r="B823" s="72"/>
    </row>
    <row r="824">
      <c r="B824" s="72"/>
    </row>
    <row r="825">
      <c r="B825" s="72"/>
    </row>
    <row r="826">
      <c r="B826" s="72"/>
    </row>
    <row r="827">
      <c r="B827" s="72"/>
    </row>
    <row r="828">
      <c r="B828" s="72"/>
    </row>
    <row r="829">
      <c r="B829" s="72"/>
    </row>
    <row r="830">
      <c r="B830" s="72"/>
    </row>
    <row r="831">
      <c r="B831" s="72"/>
    </row>
    <row r="832">
      <c r="B832" s="72"/>
    </row>
    <row r="833">
      <c r="B833" s="72"/>
    </row>
    <row r="834">
      <c r="B834" s="72"/>
    </row>
    <row r="835">
      <c r="B835" s="72"/>
    </row>
    <row r="836">
      <c r="B836" s="72"/>
    </row>
    <row r="837">
      <c r="B837" s="72"/>
    </row>
    <row r="838">
      <c r="B838" s="72"/>
    </row>
    <row r="839">
      <c r="B839" s="72"/>
    </row>
    <row r="840">
      <c r="B840" s="72"/>
    </row>
    <row r="841">
      <c r="B841" s="72"/>
    </row>
    <row r="842">
      <c r="B842" s="72"/>
    </row>
    <row r="843">
      <c r="B843" s="72"/>
    </row>
    <row r="844">
      <c r="B844" s="72"/>
    </row>
    <row r="845">
      <c r="B845" s="72"/>
    </row>
    <row r="846">
      <c r="B846" s="72"/>
    </row>
    <row r="847">
      <c r="B847" s="72"/>
    </row>
    <row r="848">
      <c r="B848" s="72"/>
    </row>
    <row r="849">
      <c r="B849" s="72"/>
    </row>
    <row r="850">
      <c r="B850" s="72"/>
    </row>
    <row r="851">
      <c r="B851" s="72"/>
    </row>
    <row r="852">
      <c r="B852" s="72"/>
    </row>
    <row r="853">
      <c r="B853" s="72"/>
    </row>
    <row r="854">
      <c r="B854" s="72"/>
    </row>
    <row r="855">
      <c r="B855" s="72"/>
    </row>
    <row r="856">
      <c r="B856" s="72"/>
    </row>
    <row r="857">
      <c r="B857" s="72"/>
    </row>
    <row r="858">
      <c r="B858" s="72"/>
    </row>
    <row r="859">
      <c r="B859" s="72"/>
    </row>
    <row r="860">
      <c r="B860" s="72"/>
    </row>
    <row r="861">
      <c r="B861" s="72"/>
    </row>
    <row r="862">
      <c r="B862" s="72"/>
    </row>
    <row r="863">
      <c r="B863" s="72"/>
    </row>
    <row r="864">
      <c r="B864" s="72"/>
    </row>
    <row r="865">
      <c r="B865" s="72"/>
    </row>
    <row r="866">
      <c r="B866" s="72"/>
    </row>
    <row r="867">
      <c r="B867" s="72"/>
    </row>
    <row r="868">
      <c r="B868" s="72"/>
    </row>
    <row r="869">
      <c r="B869" s="72"/>
    </row>
    <row r="870">
      <c r="B870" s="72"/>
    </row>
    <row r="871">
      <c r="B871" s="72"/>
    </row>
    <row r="872">
      <c r="B872" s="72"/>
    </row>
    <row r="873">
      <c r="B873" s="72"/>
    </row>
    <row r="874">
      <c r="B874" s="72"/>
    </row>
    <row r="875">
      <c r="B875" s="72"/>
    </row>
    <row r="876">
      <c r="B876" s="72"/>
    </row>
    <row r="877">
      <c r="B877" s="72"/>
    </row>
    <row r="878">
      <c r="B878" s="72"/>
    </row>
    <row r="879">
      <c r="B879" s="72"/>
    </row>
    <row r="880">
      <c r="B880" s="72"/>
    </row>
    <row r="881">
      <c r="B881" s="72"/>
    </row>
    <row r="882">
      <c r="B882" s="72"/>
    </row>
    <row r="883">
      <c r="B883" s="72"/>
    </row>
    <row r="884">
      <c r="B884" s="72"/>
    </row>
    <row r="885">
      <c r="B885" s="72"/>
    </row>
    <row r="886">
      <c r="B886" s="72"/>
    </row>
    <row r="887">
      <c r="B887" s="72"/>
    </row>
    <row r="888">
      <c r="B888" s="72"/>
    </row>
    <row r="889">
      <c r="B889" s="72"/>
    </row>
    <row r="890">
      <c r="B890" s="72"/>
    </row>
    <row r="891">
      <c r="B891" s="72"/>
    </row>
    <row r="892">
      <c r="B892" s="72"/>
    </row>
    <row r="893">
      <c r="B893" s="72"/>
    </row>
    <row r="894">
      <c r="B894" s="72"/>
    </row>
    <row r="895">
      <c r="B895" s="72"/>
    </row>
    <row r="896">
      <c r="B896" s="72"/>
    </row>
    <row r="897">
      <c r="B897" s="72"/>
    </row>
    <row r="898">
      <c r="B898" s="72"/>
    </row>
    <row r="899">
      <c r="B899" s="72"/>
    </row>
    <row r="900">
      <c r="B900" s="72"/>
    </row>
    <row r="901">
      <c r="B901" s="72"/>
    </row>
    <row r="902">
      <c r="B902" s="72"/>
    </row>
    <row r="903">
      <c r="B903" s="72"/>
    </row>
    <row r="904">
      <c r="B904" s="72"/>
    </row>
    <row r="905">
      <c r="B905" s="72"/>
    </row>
    <row r="906">
      <c r="B906" s="72"/>
    </row>
    <row r="907">
      <c r="B907" s="72"/>
    </row>
    <row r="908">
      <c r="B908" s="72"/>
    </row>
    <row r="909">
      <c r="B909" s="72"/>
    </row>
    <row r="910">
      <c r="B910" s="72"/>
    </row>
    <row r="911">
      <c r="B911" s="72"/>
    </row>
    <row r="912">
      <c r="B912" s="72"/>
    </row>
    <row r="913">
      <c r="B913" s="72"/>
    </row>
    <row r="914">
      <c r="B914" s="72"/>
    </row>
    <row r="915">
      <c r="B915" s="72"/>
    </row>
    <row r="916">
      <c r="B916" s="72"/>
    </row>
    <row r="917">
      <c r="B917" s="72"/>
    </row>
    <row r="918">
      <c r="B918" s="72"/>
    </row>
    <row r="919">
      <c r="B919" s="72"/>
    </row>
    <row r="920">
      <c r="B920" s="72"/>
    </row>
    <row r="921">
      <c r="B921" s="72"/>
    </row>
    <row r="922">
      <c r="B922" s="72"/>
    </row>
    <row r="923">
      <c r="B923" s="72"/>
    </row>
    <row r="924">
      <c r="B924" s="72"/>
    </row>
    <row r="925">
      <c r="B925" s="72"/>
    </row>
    <row r="926">
      <c r="B926" s="72"/>
    </row>
    <row r="927">
      <c r="B927" s="72"/>
    </row>
    <row r="928">
      <c r="B928" s="72"/>
    </row>
    <row r="929">
      <c r="B929" s="72"/>
    </row>
    <row r="930">
      <c r="B930" s="72"/>
    </row>
    <row r="931">
      <c r="B931" s="72"/>
    </row>
    <row r="932">
      <c r="B932" s="72"/>
    </row>
    <row r="933">
      <c r="B933" s="72"/>
    </row>
    <row r="934">
      <c r="B934" s="72"/>
    </row>
    <row r="935">
      <c r="B935" s="72"/>
    </row>
    <row r="936">
      <c r="B936" s="72"/>
    </row>
    <row r="937">
      <c r="B937" s="72"/>
    </row>
    <row r="938">
      <c r="B938" s="72"/>
    </row>
    <row r="939">
      <c r="B939" s="72"/>
    </row>
    <row r="940">
      <c r="B940" s="72"/>
    </row>
    <row r="941">
      <c r="B941" s="72"/>
    </row>
    <row r="942">
      <c r="B942" s="72"/>
    </row>
    <row r="943">
      <c r="B943" s="72"/>
    </row>
    <row r="944">
      <c r="B944" s="72"/>
    </row>
    <row r="945">
      <c r="B945" s="72"/>
    </row>
    <row r="946">
      <c r="B946" s="72"/>
    </row>
    <row r="947">
      <c r="B947" s="72"/>
    </row>
    <row r="948">
      <c r="B948" s="72"/>
    </row>
    <row r="949">
      <c r="B949" s="72"/>
    </row>
    <row r="950">
      <c r="B950" s="72"/>
    </row>
    <row r="951">
      <c r="B951" s="72"/>
    </row>
    <row r="952">
      <c r="B952" s="72"/>
    </row>
    <row r="953">
      <c r="B953" s="72"/>
    </row>
    <row r="954">
      <c r="B954" s="72"/>
    </row>
    <row r="955">
      <c r="B955" s="72"/>
    </row>
    <row r="956">
      <c r="B956" s="72"/>
    </row>
    <row r="957">
      <c r="B957" s="72"/>
    </row>
    <row r="958">
      <c r="B958" s="72"/>
    </row>
    <row r="959">
      <c r="B959" s="72"/>
    </row>
    <row r="960">
      <c r="B960" s="72"/>
    </row>
    <row r="961">
      <c r="B961" s="72"/>
    </row>
    <row r="962">
      <c r="B962" s="72"/>
    </row>
    <row r="963">
      <c r="B963" s="72"/>
    </row>
    <row r="964">
      <c r="B964" s="72"/>
    </row>
    <row r="965">
      <c r="B965" s="72"/>
    </row>
    <row r="966">
      <c r="B966" s="72"/>
    </row>
    <row r="967">
      <c r="B967" s="72"/>
    </row>
    <row r="968">
      <c r="B968" s="72"/>
    </row>
    <row r="969">
      <c r="B969" s="72"/>
    </row>
    <row r="970">
      <c r="B970" s="72"/>
    </row>
    <row r="971">
      <c r="B971" s="72"/>
    </row>
    <row r="972">
      <c r="B972" s="72"/>
    </row>
    <row r="973">
      <c r="B973" s="72"/>
    </row>
    <row r="974">
      <c r="B974" s="72"/>
    </row>
    <row r="975">
      <c r="B975" s="72"/>
    </row>
    <row r="976">
      <c r="B976" s="72"/>
    </row>
    <row r="977">
      <c r="B977" s="72"/>
    </row>
    <row r="978">
      <c r="B978" s="72"/>
    </row>
    <row r="979">
      <c r="B979" s="72"/>
    </row>
    <row r="980">
      <c r="B980" s="72"/>
    </row>
    <row r="981">
      <c r="B981" s="72"/>
    </row>
    <row r="982">
      <c r="B982" s="72"/>
    </row>
    <row r="983">
      <c r="B983" s="72"/>
    </row>
    <row r="984">
      <c r="B984" s="72"/>
    </row>
    <row r="985">
      <c r="B985" s="72"/>
    </row>
    <row r="986">
      <c r="B986" s="72"/>
    </row>
    <row r="987">
      <c r="B987" s="72"/>
    </row>
    <row r="988">
      <c r="B988" s="72"/>
    </row>
    <row r="989">
      <c r="B989" s="72"/>
    </row>
    <row r="990">
      <c r="B990" s="72"/>
    </row>
    <row r="991">
      <c r="B991" s="72"/>
    </row>
    <row r="992">
      <c r="B992" s="72"/>
    </row>
    <row r="993">
      <c r="B993" s="72"/>
    </row>
    <row r="994">
      <c r="B994" s="72"/>
    </row>
    <row r="995">
      <c r="B995" s="72"/>
    </row>
  </sheetData>
  <autoFilter ref="$A$1:$Z$92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