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Gastos'!$A$1:$E$225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pJRHvcXxvrt2iyftP589alz4iTYJ/TjvnqN2pkLwSTU="/>
    </ext>
  </extLst>
</workbook>
</file>

<file path=xl/sharedStrings.xml><?xml version="1.0" encoding="utf-8"?>
<sst xmlns="http://schemas.openxmlformats.org/spreadsheetml/2006/main" count="2228" uniqueCount="444">
  <si>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</si>
  <si>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</si>
  <si>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</si>
  <si>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</si>
  <si>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</si>
  <si>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</si>
  <si>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</si>
  <si>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</si>
  <si>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</si>
  <si>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</si>
  <si>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</si>
  <si>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</si>
  <si>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</si>
  <si>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</si>
  <si>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</si>
  <si>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</si>
  <si>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</si>
  <si>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</si>
  <si>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</si>
  <si>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</si>
  <si>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</si>
  <si>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</si>
  <si>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</si>
  <si>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</si>
  <si>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</si>
  <si>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</si>
  <si>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</si>
  <si>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</si>
  <si>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</si>
  <si>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</si>
  <si>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</si>
  <si>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</si>
  <si>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</si>
  <si>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</si>
  <si>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</si>
  <si>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</si>
  <si>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</si>
  <si>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</si>
  <si>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</si>
  <si>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</si>
  <si>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</si>
  <si>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</si>
  <si>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</si>
  <si>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</si>
  <si>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</si>
  <si>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</si>
  <si>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</si>
  <si>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</si>
  <si>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</si>
  <si>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</si>
  <si>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</si>
  <si>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</si>
  <si>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</si>
  <si>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</si>
  <si>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</si>
  <si>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</si>
  <si>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</si>
  <si>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</si>
  <si>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</si>
  <si>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</si>
  <si>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</si>
  <si>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</si>
  <si>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</si>
  <si>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</si>
  <si>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</si>
  <si>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</si>
  <si>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</si>
  <si>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</si>
  <si>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</si>
  <si>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</si>
  <si>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</si>
  <si>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</si>
  <si>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</si>
  <si>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</si>
  <si>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</si>
  <si>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</si>
  <si>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</si>
  <si>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</si>
  <si>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</si>
  <si>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</si>
  <si>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</si>
  <si>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</si>
  <si>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</si>
  <si>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</si>
  <si>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</si>
  <si>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</si>
  <si>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</si>
  <si>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</si>
  <si>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</si>
  <si>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</si>
  <si>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</si>
  <si>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</si>
  <si>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</si>
  <si>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</si>
  <si>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</si>
  <si>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</si>
  <si>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</si>
  <si>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</si>
  <si>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</si>
  <si>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</si>
  <si>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</si>
  <si>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</si>
  <si>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</si>
  <si>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</si>
  <si>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</si>
  <si>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</si>
  <si>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</si>
  <si>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</si>
  <si>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</si>
  <si>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</si>
  <si>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</si>
  <si>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</si>
  <si>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</si>
  <si>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</si>
  <si>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</si>
  <si>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</si>
  <si>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</si>
  <si>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</si>
  <si>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</si>
  <si>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</si>
  <si>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</si>
  <si>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</si>
  <si>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</si>
  <si>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</si>
  <si>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</si>
  <si>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</si>
  <si>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</si>
  <si>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</si>
  <si>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</si>
  <si>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</si>
  <si>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</si>
  <si>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</si>
  <si>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</si>
  <si>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</si>
  <si>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</si>
  <si>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</si>
  <si>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</si>
  <si>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</si>
  <si>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</si>
  <si>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</si>
  <si>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</si>
  <si>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</si>
  <si>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</si>
  <si>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</si>
  <si>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</si>
  <si>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</si>
  <si>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</si>
  <si>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</si>
  <si>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</si>
  <si>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</si>
  <si>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</si>
  <si>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</si>
  <si>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</si>
  <si>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</si>
  <si>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</si>
  <si>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</si>
  <si>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</si>
  <si>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</si>
  <si>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</si>
  <si>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</si>
  <si>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</si>
  <si>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</si>
  <si>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</si>
  <si>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</si>
  <si>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</si>
  <si>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</si>
  <si>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</si>
  <si>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</si>
  <si>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</si>
  <si>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</si>
  <si>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</si>
  <si>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</si>
  <si>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</si>
  <si>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</si>
  <si>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</si>
  <si>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</si>
  <si>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</si>
  <si>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</si>
  <si>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</si>
  <si>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</si>
  <si>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</si>
  <si>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</si>
  <si>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</si>
  <si>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</si>
  <si>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</si>
  <si>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</si>
  <si>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</si>
  <si>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</si>
  <si>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</si>
  <si>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</si>
  <si>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</si>
  <si>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</si>
  <si>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</si>
  <si>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</si>
  <si>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</si>
  <si>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</si>
  <si>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</si>
  <si>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</si>
  <si>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</si>
  <si>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</si>
  <si>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</si>
  <si>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</si>
  <si>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</si>
  <si>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</si>
  <si>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CDB 3 Meses 100% CDI</t>
  </si>
  <si>
    <t>R$ 200,00</t>
  </si>
  <si>
    <t>CDB</t>
  </si>
  <si>
    <t>CDI</t>
  </si>
  <si>
    <t>Perna base do combo</t>
  </si>
  <si>
    <t>PicPay Bank</t>
  </si>
  <si>
    <t>Pendente de confirmação</t>
  </si>
  <si>
    <t>Bucket C - alocação intermediária</t>
  </si>
  <si>
    <t>Liquidez operacional</t>
  </si>
  <si>
    <t>Carência contratual</t>
  </si>
  <si>
    <t>regressiva_30d</t>
  </si>
  <si>
    <t>percentual_cdi</t>
  </si>
  <si>
    <t>CDB 6 Meses 100% CDI</t>
  </si>
  <si>
    <t>CDB BMG DI 109% CDI - 1 ano</t>
  </si>
  <si>
    <t>Resgate no vencimento; IR 17,5%; Perfil conservador; Risco baixo</t>
  </si>
  <si>
    <t>BMG</t>
  </si>
  <si>
    <t>Baixo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</si>
  <si>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</si>
  <si>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</si>
  <si>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</si>
  <si>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</si>
  <si>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</si>
  <si>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</si>
  <si>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</si>
  <si>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</si>
  <si>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</si>
  <si>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</si>
  <si>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</si>
  <si>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</si>
  <si>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R$ 1,000,00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</si>
  <si>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</si>
  <si>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</si>
  <si>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</si>
  <si>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</si>
  <si>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</si>
  <si>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</si>
  <si>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</si>
  <si>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</si>
  <si>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</si>
  <si>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Prioritária</t>
  </si>
  <si>
    <t>Sem pendências operacionais bloqueantes</t>
  </si>
  <si>
    <t>Bucket A - caixa operacional</t>
  </si>
  <si>
    <t>percentual_cdi_escalonado</t>
  </si>
  <si>
    <t>CDB BMG IPCA+ 8,65% - 5 anos</t>
  </si>
  <si>
    <t>IPCA+</t>
  </si>
  <si>
    <t>spread_ipca_aa</t>
  </si>
  <si>
    <t>CDB BMG IPCA+ 8,68% - 3 anos</t>
  </si>
  <si>
    <t>CDB BMG IPCA+ 8,69% - 4 anos</t>
  </si>
  <si>
    <t>CDB BMG IPCA+ 9,01% - 2 anos</t>
  </si>
  <si>
    <t>CDB BMG Pré 14,84% - 3 anos</t>
  </si>
  <si>
    <t>Pré</t>
  </si>
  <si>
    <t>taxa_prefixada_aa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</si>
  <si>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</si>
  <si>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</si>
  <si>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</si>
  <si>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</si>
  <si>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</si>
  <si>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</si>
  <si>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Confirmado</t>
  </si>
  <si>
    <t>percentual_selic</t>
  </si>
  <si>
    <t>CDB BTG 15,00% Prefixado</t>
  </si>
  <si>
    <t>Prefixado</t>
  </si>
  <si>
    <t>Oportunidade BTG</t>
  </si>
  <si>
    <t>BTG</t>
  </si>
  <si>
    <t>CDB Digimais 140%</t>
  </si>
  <si>
    <t>Taxa fixa alta</t>
  </si>
  <si>
    <t>Digimais</t>
  </si>
  <si>
    <t>CDB InfinitePay 106%</t>
  </si>
  <si>
    <t>R$ 1,00</t>
  </si>
  <si>
    <t>Emissor: InfinitePay | 106,00% do CDI | prazo 91 dias | carência 31 dias | aplicação mínima R$ 1,00 | FGC</t>
  </si>
  <si>
    <t>InfinitePay</t>
  </si>
  <si>
    <t>Secundária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</si>
  <si>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</si>
  <si>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</si>
  <si>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</si>
  <si>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</si>
  <si>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</si>
  <si>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</si>
  <si>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</si>
  <si>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</si>
  <si>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</si>
  <si>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</si>
  <si>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</si>
  <si>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</si>
  <si>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</si>
  <si>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</si>
  <si>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</si>
  <si>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</si>
  <si>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Muito Baixo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</si>
  <si>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</si>
  <si>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</si>
  <si>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</si>
  <si>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</si>
  <si>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</si>
  <si>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</si>
  <si>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</si>
  <si>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</si>
  <si>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</si>
  <si>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</si>
  <si>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</si>
  <si>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</si>
  <si>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</si>
  <si>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</si>
  <si>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</si>
  <si>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</si>
  <si>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</si>
  <si>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</si>
  <si>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</si>
  <si>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</si>
  <si>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</si>
  <si>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</si>
  <si>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</si>
  <si>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</si>
  <si>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</si>
  <si>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</si>
  <si>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</si>
  <si>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</si>
  <si>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</si>
  <si>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Observação/Oportunidade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</si>
  <si>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</si>
  <si>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</si>
  <si>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</si>
  <si>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</si>
  <si>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</si>
  <si>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</si>
  <si>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Compromissada ABC 80% CDI</t>
  </si>
  <si>
    <t>R$ 50,000,00</t>
  </si>
  <si>
    <t>Compromissada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</si>
  <si>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</si>
  <si>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</si>
  <si>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nao_incide</t>
  </si>
  <si>
    <t>ICATU VANGUARDA ABSOLUTO II FI RF CP PREV</t>
  </si>
  <si>
    <t>Fundo Prev</t>
  </si>
  <si>
    <t>PicPay 11/04/2026 | Previdência | rentab, 12M 14,52% | 1M 0,24% | ano 3,09% | taxa proxy 100% CDI | prazo proxy 1 dia</t>
  </si>
  <si>
    <t>Icatu Vanguarda</t>
  </si>
  <si>
    <t>J&amp;F Investimentos 1 ano</t>
  </si>
  <si>
    <t>Renda Fixa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</si>
  <si>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</si>
  <si>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</si>
  <si>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</si>
  <si>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</si>
  <si>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</si>
  <si>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</si>
  <si>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</si>
  <si>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</si>
  <si>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</si>
  <si>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</si>
  <si>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</si>
  <si>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</si>
  <si>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LCA BTG Prefixado 5 anos</t>
  </si>
  <si>
    <t>LCA</t>
  </si>
  <si>
    <t>PicPay 11/04/2026 | 10,84% a,a, | vencimento 10/04/2031 | resgate no vencimento | ativo garantido pelo FGC | aplicação mínima não visível no screenshot</t>
  </si>
  <si>
    <t>LCA Inter 90 dias</t>
  </si>
  <si>
    <t>Liquidez após 90 dias</t>
  </si>
  <si>
    <t>Inter</t>
  </si>
  <si>
    <t>LCA IPCA+ 5,50% 3 anos</t>
  </si>
  <si>
    <t>IPCA</t>
  </si>
  <si>
    <t>Emissor: Genérico FGC | IPCA + 5,50% | prazo 1080 dias | carência 1080 dias | aplicação mínima R$ 1,000,00 | FGC | isento de IR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</si>
  <si>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</si>
  <si>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</si>
  <si>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</si>
  <si>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</si>
  <si>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</si>
  <si>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</si>
  <si>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</si>
  <si>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</si>
  <si>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</si>
  <si>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</si>
  <si>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</si>
  <si>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</si>
  <si>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</si>
  <si>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LCI Pós 100% CDI 12m</t>
  </si>
  <si>
    <t>Emissor: Genérico FGC | 100,00% do CDI | prazo 360 dias | carência 360 dias | aplicação mínima R$ 1,000,00 | FGC | isento de IR</t>
  </si>
  <si>
    <t>Genérico FGC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</si>
  <si>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</si>
  <si>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</si>
  <si>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</si>
  <si>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Mercado Pago Cofrinho 115% CDI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</si>
  <si>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</si>
  <si>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</si>
  <si>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</si>
  <si>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</si>
  <si>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</si>
  <si>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</si>
  <si>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</si>
  <si>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</si>
  <si>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</si>
  <si>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</si>
  <si>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</si>
  <si>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</si>
  <si>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</si>
  <si>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</si>
  <si>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</si>
  <si>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</si>
  <si>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</si>
  <si>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</si>
  <si>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</si>
  <si>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</si>
  <si>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</si>
  <si>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</si>
  <si>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</si>
  <si>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</si>
  <si>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</si>
  <si>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</si>
  <si>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</si>
  <si>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</si>
  <si>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</si>
  <si>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</si>
  <si>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</si>
  <si>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</si>
  <si>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</si>
  <si>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</si>
  <si>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</si>
  <si>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</si>
  <si>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</si>
  <si>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</si>
  <si>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</si>
  <si>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</si>
  <si>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</si>
  <si>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</si>
  <si>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</si>
  <si>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</si>
  <si>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</si>
  <si>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</si>
  <si>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</si>
  <si>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</si>
  <si>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</si>
  <si>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</si>
  <si>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</si>
  <si>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</si>
  <si>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</si>
  <si>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</si>
  <si>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</si>
  <si>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</si>
  <si>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DI FIC RF Simples RL</t>
  </si>
  <si>
    <t>Rentab, bruta 12M 14,81%; 100,47% do CDI; Aplicação D+0; Resgate D+0 + liquidação D+0; Mov, mínima e saldo mínimo R$ 100; Risco 1/baixo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</si>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</sst>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865816637"/>
        <c:axId val="325567113"/>
      </c:barChart>
      <c:catAx>
        <c:axId val="1865816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25567113"/>
      </c:catAx>
      <c:valAx>
        <c:axId val="3255671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86581663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4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3">
        <v>46150.0</v>
      </c>
      <c r="B81" s="8" t="s">
        <v>52</v>
      </c>
      <c r="C81" s="19">
        <v>110.0</v>
      </c>
      <c r="G81" s="9"/>
      <c r="H81" s="28"/>
    </row>
    <row r="82" ht="14.25" customHeight="1">
      <c r="A82" s="23">
        <v>46150.0</v>
      </c>
      <c r="B82" s="2" t="s">
        <v>38</v>
      </c>
      <c r="C82" s="9">
        <v>65.0</v>
      </c>
      <c r="G82" s="9"/>
      <c r="H82" s="28"/>
    </row>
    <row r="83" ht="14.25" customHeight="1">
      <c r="A83" s="23">
        <v>46153.0</v>
      </c>
      <c r="B83" s="8" t="s">
        <v>43</v>
      </c>
      <c r="C83" s="19">
        <v>98.88</v>
      </c>
      <c r="G83" s="9"/>
      <c r="H83" s="28"/>
    </row>
    <row r="84" ht="14.25" customHeight="1">
      <c r="A84" s="23">
        <v>46154.0</v>
      </c>
      <c r="B84" s="8" t="s">
        <v>25</v>
      </c>
      <c r="C84" s="19">
        <v>980.86</v>
      </c>
      <c r="G84" s="9"/>
      <c r="H84" s="28"/>
    </row>
    <row r="85" ht="14.25" customHeight="1">
      <c r="A85" s="23">
        <v>46154.0</v>
      </c>
      <c r="B85" s="8" t="s">
        <v>33</v>
      </c>
      <c r="C85" s="3">
        <v>2831.4</v>
      </c>
      <c r="G85" s="9"/>
      <c r="H85" s="28"/>
    </row>
    <row r="86" ht="14.25" customHeight="1">
      <c r="A86" s="23">
        <v>46154.0</v>
      </c>
      <c r="B86" s="8" t="s">
        <v>44</v>
      </c>
      <c r="C86" s="9">
        <v>50.0</v>
      </c>
      <c r="G86" s="9"/>
      <c r="H86" s="28"/>
    </row>
    <row r="87" ht="14.25" customHeight="1">
      <c r="A87" s="23">
        <v>46157.0</v>
      </c>
      <c r="B87" s="8" t="s">
        <v>29</v>
      </c>
      <c r="C87" s="9">
        <v>132.4</v>
      </c>
      <c r="G87" s="9"/>
      <c r="H87" s="28"/>
    </row>
    <row r="88" ht="14.25" customHeight="1">
      <c r="A88" s="23">
        <v>46162.0</v>
      </c>
      <c r="B88" s="2" t="s">
        <v>23</v>
      </c>
      <c r="C88" s="19">
        <v>5372.0</v>
      </c>
      <c r="G88" s="9"/>
      <c r="H88" s="28"/>
    </row>
    <row r="89" ht="14.25" customHeight="1">
      <c r="A89" s="23">
        <v>46162.0</v>
      </c>
      <c r="B89" s="8" t="s">
        <v>40</v>
      </c>
      <c r="C89" s="9">
        <v>113.31</v>
      </c>
      <c r="G89" s="9"/>
      <c r="H89" s="28"/>
    </row>
    <row r="90" ht="14.25" customHeight="1">
      <c r="A90" s="1">
        <v>46175.0</v>
      </c>
      <c r="B90" s="8" t="s">
        <v>41</v>
      </c>
      <c r="C90" s="9">
        <v>580.0</v>
      </c>
      <c r="G90" s="9"/>
      <c r="H90" s="28"/>
    </row>
    <row r="91" ht="14.25" customHeight="1">
      <c r="A91" s="23">
        <v>46178.0</v>
      </c>
      <c r="B91" s="8" t="s">
        <v>51</v>
      </c>
      <c r="C91" s="9">
        <v>195.0</v>
      </c>
      <c r="G91" s="9"/>
      <c r="H91" s="28"/>
    </row>
    <row r="92" ht="14.25" customHeight="1">
      <c r="A92" s="23">
        <v>46178.0</v>
      </c>
      <c r="B92" s="8" t="s">
        <v>60</v>
      </c>
      <c r="C92" s="9">
        <v>950.0</v>
      </c>
      <c r="G92" s="9"/>
      <c r="H92" s="28"/>
    </row>
    <row r="93" ht="14.25" customHeight="1">
      <c r="A93" s="1">
        <v>46181.0</v>
      </c>
      <c r="B93" s="8" t="s">
        <v>52</v>
      </c>
      <c r="C93" s="9">
        <v>120.0</v>
      </c>
      <c r="G93" s="9"/>
      <c r="H93" s="28"/>
    </row>
    <row r="94" ht="14.25" customHeight="1">
      <c r="A94" s="1">
        <v>46183.0</v>
      </c>
      <c r="B94" s="2" t="s">
        <v>38</v>
      </c>
      <c r="C94" s="9">
        <v>65.0</v>
      </c>
      <c r="G94" s="9"/>
      <c r="H94" s="28"/>
    </row>
    <row r="95" ht="14.25" customHeight="1">
      <c r="A95" s="1">
        <v>46183.0</v>
      </c>
      <c r="B95" s="8" t="s">
        <v>44</v>
      </c>
      <c r="C95" s="9">
        <v>50.0</v>
      </c>
      <c r="G95" s="9"/>
      <c r="H95" s="28"/>
    </row>
    <row r="96" ht="14.25" customHeight="1">
      <c r="A96" s="1">
        <v>46183.0</v>
      </c>
      <c r="B96" s="8" t="s">
        <v>62</v>
      </c>
      <c r="C96" s="9">
        <v>530.0</v>
      </c>
      <c r="G96" s="9"/>
      <c r="H96" s="28"/>
    </row>
    <row r="97" ht="14.25" customHeight="1">
      <c r="A97" s="1">
        <v>46184.0</v>
      </c>
      <c r="B97" s="8" t="s">
        <v>43</v>
      </c>
      <c r="C97" s="9">
        <v>95.12</v>
      </c>
      <c r="G97" s="9"/>
      <c r="H97" s="28"/>
    </row>
    <row r="98" ht="14.25" customHeight="1">
      <c r="A98" s="23">
        <v>46185.0</v>
      </c>
      <c r="B98" s="8" t="s">
        <v>25</v>
      </c>
      <c r="C98" s="9">
        <v>981.95</v>
      </c>
      <c r="G98" s="9"/>
      <c r="H98" s="28"/>
    </row>
    <row r="99" ht="14.25" customHeight="1">
      <c r="A99" s="23">
        <v>46185.0</v>
      </c>
      <c r="B99" s="8" t="s">
        <v>33</v>
      </c>
      <c r="C99" s="3">
        <v>2831.4</v>
      </c>
      <c r="G99" s="9"/>
      <c r="H99" s="28"/>
    </row>
    <row r="100" ht="14.25" customHeight="1">
      <c r="A100" s="23">
        <v>46188.0</v>
      </c>
      <c r="B100" s="8" t="s">
        <v>29</v>
      </c>
      <c r="C100" s="9">
        <v>132.4</v>
      </c>
      <c r="G100" s="9"/>
      <c r="H100" s="28"/>
    </row>
    <row r="101" ht="14.25" customHeight="1">
      <c r="A101" s="23">
        <v>46192.0</v>
      </c>
      <c r="B101" s="2" t="s">
        <v>23</v>
      </c>
      <c r="C101" s="9">
        <v>7200.0</v>
      </c>
      <c r="G101" s="9"/>
      <c r="H101" s="28"/>
    </row>
    <row r="102" ht="14.25" customHeight="1">
      <c r="A102" s="23">
        <v>46192.0</v>
      </c>
      <c r="B102" s="8" t="s">
        <v>40</v>
      </c>
      <c r="C102" s="9">
        <v>113.31</v>
      </c>
      <c r="G102" s="9"/>
      <c r="H102" s="28"/>
    </row>
    <row r="103" ht="14.25" customHeight="1">
      <c r="A103" s="1">
        <v>46205.0</v>
      </c>
      <c r="B103" s="8" t="s">
        <v>41</v>
      </c>
      <c r="C103" s="9">
        <v>930.0</v>
      </c>
      <c r="G103" s="9"/>
      <c r="H103" s="28"/>
    </row>
    <row r="104" ht="14.25" customHeight="1">
      <c r="A104" s="23">
        <v>46209.0</v>
      </c>
      <c r="B104" s="8" t="s">
        <v>51</v>
      </c>
      <c r="C104" s="9">
        <v>195.0</v>
      </c>
      <c r="G104" s="9"/>
      <c r="H104" s="28"/>
    </row>
    <row r="105" ht="14.25" customHeight="1">
      <c r="A105" s="23">
        <v>46209.0</v>
      </c>
      <c r="B105" s="8" t="s">
        <v>60</v>
      </c>
      <c r="C105" s="9">
        <v>950.0</v>
      </c>
      <c r="G105" s="9"/>
      <c r="H105" s="28"/>
    </row>
    <row r="106" ht="14.25" customHeight="1">
      <c r="A106" s="23">
        <v>46211.0</v>
      </c>
      <c r="B106" s="8" t="s">
        <v>52</v>
      </c>
      <c r="C106" s="9">
        <v>120.0</v>
      </c>
      <c r="G106" s="9"/>
      <c r="H106" s="28"/>
    </row>
    <row r="107" ht="14.25" customHeight="1">
      <c r="A107" s="1">
        <v>46213.0</v>
      </c>
      <c r="B107" s="2" t="s">
        <v>38</v>
      </c>
      <c r="C107" s="9">
        <v>65.0</v>
      </c>
      <c r="G107" s="9"/>
      <c r="H107" s="28"/>
    </row>
    <row r="108" ht="14.25" customHeight="1">
      <c r="A108" s="23">
        <v>46216.0</v>
      </c>
      <c r="B108" s="8" t="s">
        <v>25</v>
      </c>
      <c r="C108" s="9">
        <v>981.95</v>
      </c>
      <c r="G108" s="9"/>
      <c r="H108" s="28"/>
    </row>
    <row r="109" ht="14.25" customHeight="1">
      <c r="A109" s="23">
        <v>46216.0</v>
      </c>
      <c r="B109" s="8" t="s">
        <v>43</v>
      </c>
      <c r="C109" s="9">
        <v>95.12</v>
      </c>
      <c r="G109" s="9"/>
      <c r="H109" s="28"/>
    </row>
    <row r="110" ht="14.25" customHeight="1">
      <c r="A110" s="23">
        <v>46216.0</v>
      </c>
      <c r="B110" s="8" t="s">
        <v>33</v>
      </c>
      <c r="C110" s="3">
        <v>2831.4</v>
      </c>
      <c r="G110" s="9"/>
      <c r="H110" s="28"/>
    </row>
    <row r="111" ht="14.25" customHeight="1">
      <c r="A111" s="23">
        <v>46218.0</v>
      </c>
      <c r="B111" s="8" t="s">
        <v>29</v>
      </c>
      <c r="C111" s="9">
        <v>132.4</v>
      </c>
      <c r="G111" s="9"/>
      <c r="H111" s="28"/>
    </row>
    <row r="112" ht="14.25" customHeight="1">
      <c r="A112" s="23">
        <v>46218.0</v>
      </c>
      <c r="B112" s="8" t="s">
        <v>44</v>
      </c>
      <c r="C112" s="9">
        <v>50.0</v>
      </c>
      <c r="G112" s="9"/>
      <c r="H112" s="28"/>
    </row>
    <row r="113" ht="14.25" customHeight="1">
      <c r="A113" s="23">
        <v>46223.0</v>
      </c>
      <c r="B113" s="2" t="s">
        <v>23</v>
      </c>
      <c r="C113" s="9">
        <v>6800.0</v>
      </c>
      <c r="G113" s="9"/>
      <c r="H113" s="28"/>
    </row>
    <row r="114" ht="14.25" customHeight="1">
      <c r="A114" s="23">
        <v>46223.0</v>
      </c>
      <c r="B114" s="8" t="s">
        <v>40</v>
      </c>
      <c r="C114" s="9">
        <v>113.31</v>
      </c>
      <c r="G114" s="9"/>
      <c r="H114" s="28"/>
    </row>
    <row r="115" ht="14.25" customHeight="1">
      <c r="A115" s="1">
        <v>46237.0</v>
      </c>
      <c r="B115" s="8" t="s">
        <v>41</v>
      </c>
      <c r="C115" s="9">
        <v>1500.0</v>
      </c>
      <c r="G115" s="9"/>
      <c r="H115" s="28"/>
    </row>
    <row r="116" ht="14.25" customHeight="1">
      <c r="A116" s="23">
        <v>46239.0</v>
      </c>
      <c r="B116" s="8" t="s">
        <v>60</v>
      </c>
      <c r="C116" s="9">
        <v>950.0</v>
      </c>
      <c r="F116" s="26"/>
      <c r="G116" s="12"/>
      <c r="H116" s="21"/>
      <c r="I116" s="14"/>
      <c r="J116" s="14"/>
    </row>
    <row r="117" ht="14.25" customHeight="1">
      <c r="A117" s="23">
        <v>46240.0</v>
      </c>
      <c r="B117" s="8" t="s">
        <v>51</v>
      </c>
      <c r="C117" s="9">
        <v>195.0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52</v>
      </c>
      <c r="C118" s="9">
        <v>120.0</v>
      </c>
      <c r="G118" s="9"/>
      <c r="H118" s="28"/>
    </row>
    <row r="119" ht="14.25" customHeight="1">
      <c r="A119" s="1">
        <v>46244.0</v>
      </c>
      <c r="B119" s="2" t="s">
        <v>38</v>
      </c>
      <c r="C119" s="9">
        <v>65.0</v>
      </c>
      <c r="G119" s="9"/>
      <c r="H119" s="28"/>
    </row>
    <row r="120" ht="14.25" customHeight="1">
      <c r="A120" s="23">
        <v>46245.0</v>
      </c>
      <c r="B120" s="8" t="s">
        <v>43</v>
      </c>
      <c r="C120" s="9">
        <v>95.12</v>
      </c>
      <c r="G120" s="9"/>
      <c r="H120" s="28"/>
    </row>
    <row r="121" ht="14.25" customHeight="1">
      <c r="A121" s="1">
        <v>46246.0</v>
      </c>
      <c r="B121" s="8" t="s">
        <v>25</v>
      </c>
      <c r="C121" s="9">
        <v>981.95</v>
      </c>
      <c r="G121" s="9"/>
      <c r="H121" s="28"/>
    </row>
    <row r="122" ht="14.25" customHeight="1">
      <c r="A122" s="1">
        <v>46246.0</v>
      </c>
      <c r="B122" s="8" t="s">
        <v>33</v>
      </c>
      <c r="C122" s="3">
        <v>2831.4</v>
      </c>
      <c r="G122" s="9"/>
      <c r="H122" s="28"/>
    </row>
    <row r="123" ht="14.25" customHeight="1">
      <c r="A123" s="1">
        <v>46246.0</v>
      </c>
      <c r="B123" s="8" t="s">
        <v>31</v>
      </c>
      <c r="C123" s="9">
        <v>460.0</v>
      </c>
      <c r="G123" s="9"/>
      <c r="H123" s="28"/>
    </row>
    <row r="124" ht="14.25" customHeight="1">
      <c r="A124" s="1">
        <v>46246.0</v>
      </c>
      <c r="B124" s="8" t="s">
        <v>44</v>
      </c>
      <c r="C124" s="9">
        <v>50.0</v>
      </c>
      <c r="G124" s="9"/>
      <c r="H124" s="28"/>
    </row>
    <row r="125" ht="14.25" customHeight="1">
      <c r="A125" s="1">
        <v>46246.0</v>
      </c>
      <c r="B125" s="8" t="s">
        <v>62</v>
      </c>
      <c r="C125" s="9">
        <v>530.0</v>
      </c>
      <c r="G125" s="9"/>
      <c r="H125" s="28"/>
    </row>
    <row r="126" ht="14.25" customHeight="1">
      <c r="A126" s="23">
        <v>46249.0</v>
      </c>
      <c r="B126" s="8" t="s">
        <v>29</v>
      </c>
      <c r="C126" s="9">
        <v>132.4</v>
      </c>
      <c r="G126" s="9"/>
      <c r="H126" s="28"/>
    </row>
    <row r="127" ht="14.25" customHeight="1">
      <c r="A127" s="23">
        <v>46254.0</v>
      </c>
      <c r="B127" s="2" t="s">
        <v>23</v>
      </c>
      <c r="C127" s="9">
        <v>5800.0</v>
      </c>
      <c r="G127" s="9"/>
      <c r="H127" s="28"/>
    </row>
    <row r="128" ht="14.25" customHeight="1">
      <c r="A128" s="23">
        <v>46254.0</v>
      </c>
      <c r="B128" s="8" t="s">
        <v>40</v>
      </c>
      <c r="C128" s="9">
        <v>113.31</v>
      </c>
      <c r="G128" s="9"/>
      <c r="H128" s="28"/>
    </row>
    <row r="129" ht="14.25" customHeight="1">
      <c r="A129" s="1">
        <v>46267.0</v>
      </c>
      <c r="B129" s="8" t="s">
        <v>41</v>
      </c>
      <c r="C129" s="9">
        <v>2000.0</v>
      </c>
      <c r="G129" s="9"/>
      <c r="H129" s="28"/>
    </row>
    <row r="130" ht="14.25" customHeight="1">
      <c r="A130" s="23">
        <v>46269.0</v>
      </c>
      <c r="B130" s="8" t="s">
        <v>60</v>
      </c>
      <c r="C130" s="9">
        <v>950.0</v>
      </c>
      <c r="G130" s="9"/>
      <c r="H130" s="28"/>
    </row>
    <row r="131" ht="14.25" customHeight="1">
      <c r="A131" s="23">
        <v>46271.0</v>
      </c>
      <c r="B131" s="8" t="s">
        <v>51</v>
      </c>
      <c r="C131" s="9">
        <v>195.0</v>
      </c>
      <c r="G131" s="9"/>
      <c r="H131" s="28"/>
    </row>
    <row r="132" ht="14.25" customHeight="1">
      <c r="A132" s="23">
        <v>46273.0</v>
      </c>
      <c r="B132" s="8" t="s">
        <v>52</v>
      </c>
      <c r="C132" s="9">
        <v>120.0</v>
      </c>
      <c r="G132" s="9"/>
      <c r="H132" s="28"/>
    </row>
    <row r="133" ht="14.25" customHeight="1">
      <c r="A133" s="23">
        <v>46273.0</v>
      </c>
      <c r="B133" s="8" t="s">
        <v>73</v>
      </c>
      <c r="C133" s="9">
        <v>90.0</v>
      </c>
      <c r="G133" s="9"/>
      <c r="H133" s="28"/>
    </row>
    <row r="134" ht="14.25" customHeight="1">
      <c r="A134" s="23">
        <v>46274.0</v>
      </c>
      <c r="B134" s="8" t="s">
        <v>44</v>
      </c>
      <c r="C134" s="9">
        <v>50.0</v>
      </c>
      <c r="G134" s="9"/>
      <c r="H134" s="28"/>
    </row>
    <row r="135" ht="14.25" customHeight="1">
      <c r="A135" s="1">
        <v>46275.0</v>
      </c>
      <c r="B135" s="2" t="s">
        <v>38</v>
      </c>
      <c r="C135" s="9">
        <v>65.0</v>
      </c>
      <c r="G135" s="9"/>
      <c r="H135" s="28"/>
    </row>
    <row r="136" ht="14.25" customHeight="1">
      <c r="A136" s="23">
        <v>46276.0</v>
      </c>
      <c r="B136" s="8" t="s">
        <v>25</v>
      </c>
      <c r="C136" s="9">
        <v>981.95</v>
      </c>
      <c r="G136" s="9"/>
      <c r="H136" s="28"/>
    </row>
    <row r="137" ht="14.25" customHeight="1">
      <c r="A137" s="23">
        <v>46276.0</v>
      </c>
      <c r="B137" s="8" t="s">
        <v>43</v>
      </c>
      <c r="C137" s="9">
        <v>95.12</v>
      </c>
      <c r="G137" s="9"/>
      <c r="H137" s="28"/>
    </row>
    <row r="138" ht="14.25" customHeight="1">
      <c r="A138" s="23">
        <v>46276.0</v>
      </c>
      <c r="B138" s="8" t="s">
        <v>33</v>
      </c>
      <c r="C138" s="3">
        <v>2831.4</v>
      </c>
      <c r="G138" s="9"/>
      <c r="H138" s="28"/>
    </row>
    <row r="139" ht="14.25" customHeight="1">
      <c r="A139" s="23">
        <v>46280.0</v>
      </c>
      <c r="B139" s="8" t="s">
        <v>29</v>
      </c>
      <c r="C139" s="9">
        <v>132.4</v>
      </c>
      <c r="G139" s="9"/>
      <c r="H139" s="28"/>
    </row>
    <row r="140" ht="14.25" customHeight="1">
      <c r="A140" s="23">
        <v>46285.0</v>
      </c>
      <c r="B140" s="2" t="s">
        <v>23</v>
      </c>
      <c r="C140" s="9">
        <v>6850.0</v>
      </c>
      <c r="G140" s="9"/>
      <c r="H140" s="28"/>
    </row>
    <row r="141" ht="14.25" customHeight="1">
      <c r="A141" s="23">
        <v>46286.0</v>
      </c>
      <c r="B141" s="8" t="s">
        <v>40</v>
      </c>
      <c r="C141" s="9">
        <v>113.31</v>
      </c>
      <c r="G141" s="9"/>
      <c r="H141" s="28"/>
    </row>
    <row r="142" ht="14.25" customHeight="1">
      <c r="A142" s="1">
        <v>46297.0</v>
      </c>
      <c r="B142" s="8" t="s">
        <v>41</v>
      </c>
      <c r="C142" s="9">
        <v>1800.0</v>
      </c>
      <c r="G142" s="9"/>
      <c r="H142" s="28"/>
    </row>
    <row r="143" ht="14.25" customHeight="1">
      <c r="A143" s="23">
        <v>46300.0</v>
      </c>
      <c r="B143" s="8" t="s">
        <v>60</v>
      </c>
      <c r="C143" s="9">
        <v>950.0</v>
      </c>
      <c r="G143" s="9"/>
      <c r="H143" s="28"/>
    </row>
    <row r="144" ht="14.25" customHeight="1">
      <c r="A144" s="23">
        <v>46301.0</v>
      </c>
      <c r="B144" s="8" t="s">
        <v>51</v>
      </c>
      <c r="C144" s="9">
        <v>195.0</v>
      </c>
      <c r="G144" s="9"/>
      <c r="H144" s="28"/>
    </row>
    <row r="145" ht="14.25" customHeight="1">
      <c r="A145" s="1">
        <v>46302.0</v>
      </c>
      <c r="B145" s="8" t="s">
        <v>62</v>
      </c>
      <c r="C145" s="9">
        <v>530.0</v>
      </c>
      <c r="G145" s="9"/>
      <c r="H145" s="28"/>
    </row>
    <row r="146" ht="14.25" customHeight="1">
      <c r="A146" s="1">
        <v>46303.0</v>
      </c>
      <c r="B146" s="8" t="s">
        <v>52</v>
      </c>
      <c r="C146" s="9">
        <v>120.0</v>
      </c>
      <c r="G146" s="9"/>
      <c r="H146" s="28"/>
    </row>
    <row r="147" ht="14.25" customHeight="1">
      <c r="A147" s="1">
        <v>46303.0</v>
      </c>
      <c r="B147" s="8" t="s">
        <v>73</v>
      </c>
      <c r="C147" s="9">
        <v>90.0</v>
      </c>
      <c r="G147" s="9"/>
      <c r="H147" s="28"/>
    </row>
    <row r="148" ht="14.25" customHeight="1">
      <c r="A148" s="1">
        <v>46303.0</v>
      </c>
      <c r="B148" s="8" t="s">
        <v>74</v>
      </c>
      <c r="C148" s="9">
        <v>119.8</v>
      </c>
      <c r="G148" s="9"/>
      <c r="H148" s="28"/>
    </row>
    <row r="149" ht="14.25" customHeight="1">
      <c r="A149" s="1">
        <v>46305.0</v>
      </c>
      <c r="B149" s="2" t="s">
        <v>38</v>
      </c>
      <c r="C149" s="9">
        <v>65.0</v>
      </c>
      <c r="G149" s="9"/>
      <c r="H149" s="28"/>
    </row>
    <row r="150" ht="14.25" customHeight="1">
      <c r="A150" s="23">
        <v>46308.0</v>
      </c>
      <c r="B150" s="8" t="s">
        <v>25</v>
      </c>
      <c r="C150" s="9">
        <v>981.95</v>
      </c>
      <c r="G150" s="9"/>
      <c r="H150" s="28"/>
    </row>
    <row r="151" ht="14.25" customHeight="1">
      <c r="A151" s="23">
        <v>46308.0</v>
      </c>
      <c r="B151" s="8" t="s">
        <v>43</v>
      </c>
      <c r="C151" s="9">
        <v>95.12</v>
      </c>
      <c r="G151" s="9"/>
      <c r="H151" s="28"/>
    </row>
    <row r="152" ht="14.25" customHeight="1">
      <c r="A152" s="23">
        <v>46308.0</v>
      </c>
      <c r="B152" s="8" t="s">
        <v>33</v>
      </c>
      <c r="C152" s="3">
        <v>2831.4</v>
      </c>
      <c r="G152" s="9"/>
      <c r="H152" s="28"/>
    </row>
    <row r="153" ht="14.25" customHeight="1">
      <c r="A153" s="23">
        <v>46308.0</v>
      </c>
      <c r="B153" s="8" t="s">
        <v>44</v>
      </c>
      <c r="C153" s="9">
        <v>50.0</v>
      </c>
      <c r="G153" s="9"/>
      <c r="H153" s="28"/>
    </row>
    <row r="154" ht="14.25" customHeight="1">
      <c r="A154" s="23">
        <v>46310.0</v>
      </c>
      <c r="B154" s="8" t="s">
        <v>29</v>
      </c>
      <c r="C154" s="9">
        <v>132.4</v>
      </c>
      <c r="G154" s="9"/>
      <c r="H154" s="28"/>
    </row>
    <row r="155" ht="14.25" customHeight="1">
      <c r="A155" s="1">
        <v>46315.0</v>
      </c>
      <c r="B155" s="2" t="s">
        <v>23</v>
      </c>
      <c r="C155" s="9">
        <v>6000.0</v>
      </c>
      <c r="G155" s="9"/>
      <c r="H155" s="28"/>
    </row>
    <row r="156" ht="14.25" customHeight="1">
      <c r="A156" s="1">
        <v>46315.0</v>
      </c>
      <c r="B156" s="8" t="s">
        <v>40</v>
      </c>
      <c r="C156" s="9">
        <v>113.31</v>
      </c>
      <c r="G156" s="9"/>
      <c r="H156" s="28"/>
    </row>
    <row r="157" ht="14.25" customHeight="1">
      <c r="A157" s="1">
        <v>46329.0</v>
      </c>
      <c r="B157" s="8" t="s">
        <v>41</v>
      </c>
      <c r="C157" s="9">
        <v>2200.0</v>
      </c>
      <c r="G157" s="9"/>
      <c r="H157" s="28"/>
    </row>
    <row r="158" ht="14.25" customHeight="1">
      <c r="A158" s="23">
        <v>46332.0</v>
      </c>
      <c r="B158" s="8" t="s">
        <v>51</v>
      </c>
      <c r="C158" s="9">
        <v>195.0</v>
      </c>
      <c r="G158" s="9"/>
      <c r="H158" s="28"/>
    </row>
    <row r="159" ht="14.25" customHeight="1">
      <c r="A159" s="23">
        <v>46332.0</v>
      </c>
      <c r="B159" s="8" t="s">
        <v>60</v>
      </c>
      <c r="C159" s="9">
        <v>950.0</v>
      </c>
      <c r="G159" s="9"/>
      <c r="H159" s="28"/>
    </row>
    <row r="160" ht="14.25" customHeight="1">
      <c r="A160" s="23">
        <v>46335.0</v>
      </c>
      <c r="B160" s="8" t="s">
        <v>52</v>
      </c>
      <c r="C160" s="9">
        <v>120.0</v>
      </c>
      <c r="G160" s="9"/>
      <c r="H160" s="28"/>
    </row>
    <row r="161" ht="14.25" customHeight="1">
      <c r="A161" s="23">
        <v>46335.0</v>
      </c>
      <c r="B161" s="8" t="s">
        <v>73</v>
      </c>
      <c r="C161" s="9">
        <v>90.0</v>
      </c>
      <c r="G161" s="9"/>
      <c r="H161" s="28"/>
    </row>
    <row r="162" ht="14.25" customHeight="1">
      <c r="A162" s="1">
        <v>46336.0</v>
      </c>
      <c r="B162" s="2" t="s">
        <v>38</v>
      </c>
      <c r="C162" s="9">
        <v>65.0</v>
      </c>
      <c r="G162" s="9"/>
      <c r="H162" s="28"/>
    </row>
    <row r="163" ht="14.25" customHeight="1">
      <c r="A163" s="23">
        <v>46337.0</v>
      </c>
      <c r="B163" s="8" t="s">
        <v>43</v>
      </c>
      <c r="C163" s="9">
        <v>95.12</v>
      </c>
      <c r="G163" s="9"/>
      <c r="H163" s="28"/>
    </row>
    <row r="164" ht="14.25" customHeight="1">
      <c r="A164" s="23">
        <v>46337.0</v>
      </c>
      <c r="B164" s="8" t="s">
        <v>44</v>
      </c>
      <c r="C164" s="9">
        <v>50.0</v>
      </c>
      <c r="G164" s="9"/>
      <c r="H164" s="28"/>
    </row>
    <row r="165" ht="14.25" customHeight="1">
      <c r="A165" s="23">
        <v>46338.0</v>
      </c>
      <c r="B165" s="8" t="s">
        <v>25</v>
      </c>
      <c r="C165" s="9">
        <v>981.95</v>
      </c>
      <c r="G165" s="9"/>
      <c r="H165" s="28"/>
    </row>
    <row r="166" ht="14.25" customHeight="1">
      <c r="A166" s="23">
        <v>46338.0</v>
      </c>
      <c r="B166" s="8" t="s">
        <v>33</v>
      </c>
      <c r="C166" s="3">
        <v>2831.4</v>
      </c>
      <c r="G166" s="9"/>
      <c r="H166" s="28"/>
    </row>
    <row r="167" ht="14.25" customHeight="1">
      <c r="A167" s="23">
        <v>46342.0</v>
      </c>
      <c r="B167" s="8" t="s">
        <v>29</v>
      </c>
      <c r="C167" s="9">
        <v>132.4</v>
      </c>
      <c r="G167" s="9"/>
      <c r="H167" s="28"/>
    </row>
    <row r="168" ht="14.25" customHeight="1">
      <c r="A168" s="23">
        <v>46346.0</v>
      </c>
      <c r="B168" s="2" t="s">
        <v>23</v>
      </c>
      <c r="C168" s="9">
        <v>5750.0</v>
      </c>
      <c r="G168" s="9"/>
      <c r="H168" s="28"/>
    </row>
    <row r="169" ht="14.25" customHeight="1">
      <c r="A169" s="23">
        <v>46346.0</v>
      </c>
      <c r="B169" s="8" t="s">
        <v>40</v>
      </c>
      <c r="C169" s="9">
        <v>113.31</v>
      </c>
      <c r="G169" s="9"/>
      <c r="H169" s="28"/>
    </row>
    <row r="170" ht="14.25" customHeight="1">
      <c r="A170" s="1">
        <v>46358.0</v>
      </c>
      <c r="B170" s="8" t="s">
        <v>41</v>
      </c>
      <c r="C170" s="9">
        <v>1880.0</v>
      </c>
      <c r="G170" s="9"/>
      <c r="H170" s="28"/>
    </row>
    <row r="171" ht="14.25" customHeight="1">
      <c r="A171" s="1">
        <v>46360.0</v>
      </c>
      <c r="B171" s="8" t="s">
        <v>60</v>
      </c>
      <c r="C171" s="9">
        <v>950.0</v>
      </c>
      <c r="G171" s="9"/>
      <c r="H171" s="28"/>
    </row>
    <row r="172" ht="14.25" customHeight="1">
      <c r="A172" s="23">
        <v>46363.0</v>
      </c>
      <c r="B172" s="8" t="s">
        <v>51</v>
      </c>
      <c r="C172" s="9">
        <v>195.0</v>
      </c>
      <c r="G172" s="9"/>
      <c r="H172" s="28"/>
    </row>
    <row r="173" ht="14.25" customHeight="1">
      <c r="A173" s="1">
        <v>46364.0</v>
      </c>
      <c r="B173" s="8" t="s">
        <v>52</v>
      </c>
      <c r="C173" s="9">
        <v>120.0</v>
      </c>
      <c r="G173" s="9"/>
      <c r="H173" s="28"/>
    </row>
    <row r="174" ht="14.25" customHeight="1">
      <c r="A174" s="23">
        <v>46365.0</v>
      </c>
      <c r="B174" s="8" t="s">
        <v>44</v>
      </c>
      <c r="C174" s="9">
        <v>50.0</v>
      </c>
      <c r="G174" s="9"/>
      <c r="H174" s="28"/>
    </row>
    <row r="175" ht="14.25" customHeight="1">
      <c r="A175" s="1">
        <v>46365.0</v>
      </c>
      <c r="B175" s="8" t="s">
        <v>62</v>
      </c>
      <c r="C175" s="9">
        <v>530.0</v>
      </c>
      <c r="G175" s="9"/>
      <c r="H175" s="28"/>
    </row>
    <row r="176" ht="14.25" customHeight="1">
      <c r="A176" s="1">
        <v>46366.0</v>
      </c>
      <c r="B176" s="2" t="s">
        <v>38</v>
      </c>
      <c r="C176" s="9">
        <v>65.0</v>
      </c>
      <c r="G176" s="9"/>
      <c r="H176" s="28"/>
    </row>
    <row r="177" ht="14.25" customHeight="1">
      <c r="A177" s="23">
        <v>46367.0</v>
      </c>
      <c r="B177" s="8" t="s">
        <v>25</v>
      </c>
      <c r="C177" s="9">
        <v>981.95</v>
      </c>
      <c r="G177" s="9"/>
      <c r="H177" s="28"/>
    </row>
    <row r="178" ht="14.25" customHeight="1">
      <c r="A178" s="23">
        <v>46367.0</v>
      </c>
      <c r="B178" s="8" t="s">
        <v>43</v>
      </c>
      <c r="C178" s="9">
        <v>95.12</v>
      </c>
      <c r="G178" s="9"/>
      <c r="H178" s="28"/>
    </row>
    <row r="179" ht="14.25" customHeight="1">
      <c r="A179" s="23">
        <v>46367.0</v>
      </c>
      <c r="B179" s="8" t="s">
        <v>33</v>
      </c>
      <c r="C179" s="3">
        <v>2831.4</v>
      </c>
      <c r="G179" s="9"/>
      <c r="H179" s="28"/>
    </row>
    <row r="180" ht="14.25" customHeight="1">
      <c r="A180" s="23">
        <v>46367.0</v>
      </c>
      <c r="B180" s="8" t="s">
        <v>75</v>
      </c>
      <c r="C180" s="9">
        <v>2900.0</v>
      </c>
      <c r="G180" s="9"/>
      <c r="H180" s="28"/>
    </row>
    <row r="181" ht="14.25" customHeight="1">
      <c r="A181" s="23">
        <v>46368.0</v>
      </c>
      <c r="B181" s="8" t="s">
        <v>29</v>
      </c>
      <c r="C181" s="9">
        <v>132.4</v>
      </c>
      <c r="G181" s="9"/>
      <c r="H181" s="28"/>
    </row>
    <row r="182" ht="14.25" customHeight="1">
      <c r="A182" s="23">
        <v>46376.0</v>
      </c>
      <c r="B182" s="2" t="s">
        <v>23</v>
      </c>
      <c r="C182" s="9">
        <v>6250.0</v>
      </c>
      <c r="G182" s="9"/>
      <c r="H182" s="28"/>
    </row>
    <row r="183" ht="14.25" customHeight="1">
      <c r="A183" s="23">
        <v>46377.0</v>
      </c>
      <c r="B183" s="8" t="s">
        <v>40</v>
      </c>
      <c r="C183" s="9">
        <v>113.31</v>
      </c>
      <c r="G183" s="9"/>
      <c r="H183" s="28"/>
    </row>
    <row r="184" ht="14.25" customHeight="1">
      <c r="A184" s="23">
        <v>46391.0</v>
      </c>
      <c r="B184" s="8" t="s">
        <v>41</v>
      </c>
      <c r="C184" s="9">
        <v>2000.0</v>
      </c>
      <c r="G184" s="9"/>
      <c r="H184" s="28"/>
    </row>
    <row r="185" ht="14.25" customHeight="1">
      <c r="A185" s="23">
        <v>46393.0</v>
      </c>
      <c r="B185" s="8" t="s">
        <v>51</v>
      </c>
      <c r="C185" s="9">
        <v>281.1</v>
      </c>
      <c r="G185" s="9"/>
      <c r="H185" s="28"/>
    </row>
    <row r="186" ht="14.25" customHeight="1">
      <c r="A186" s="23">
        <v>46393.0</v>
      </c>
      <c r="B186" s="8" t="s">
        <v>60</v>
      </c>
      <c r="C186" s="9">
        <v>950.0</v>
      </c>
      <c r="G186" s="9"/>
      <c r="H186" s="28"/>
    </row>
    <row r="187" ht="14.25" customHeight="1">
      <c r="A187" s="23">
        <v>46395.0</v>
      </c>
      <c r="B187" s="8" t="s">
        <v>52</v>
      </c>
      <c r="C187" s="9">
        <v>120.0</v>
      </c>
      <c r="G187" s="9"/>
      <c r="H187" s="28"/>
    </row>
    <row r="188" ht="14.25" customHeight="1">
      <c r="A188" s="1">
        <v>46397.0</v>
      </c>
      <c r="B188" s="2" t="s">
        <v>38</v>
      </c>
      <c r="C188" s="9">
        <v>65.0</v>
      </c>
      <c r="G188" s="9"/>
      <c r="H188" s="28"/>
    </row>
    <row r="189" ht="14.25" customHeight="1">
      <c r="A189" s="23">
        <v>46398.0</v>
      </c>
      <c r="B189" s="8" t="s">
        <v>43</v>
      </c>
      <c r="C189" s="9">
        <v>105.37</v>
      </c>
      <c r="G189" s="9"/>
      <c r="H189" s="28"/>
    </row>
    <row r="190" ht="14.25" customHeight="1">
      <c r="A190" s="23">
        <v>46399.0</v>
      </c>
      <c r="B190" s="8" t="s">
        <v>25</v>
      </c>
      <c r="C190" s="9">
        <v>983.13</v>
      </c>
      <c r="G190" s="9"/>
      <c r="H190" s="28"/>
    </row>
    <row r="191" ht="14.25" customHeight="1">
      <c r="A191" s="23">
        <v>46400.0</v>
      </c>
      <c r="B191" s="8" t="s">
        <v>44</v>
      </c>
      <c r="C191" s="9">
        <v>50.0</v>
      </c>
      <c r="G191" s="9"/>
      <c r="H191" s="28"/>
    </row>
    <row r="192" ht="14.25" customHeight="1">
      <c r="A192" s="23">
        <v>46403.0</v>
      </c>
      <c r="B192" s="8" t="s">
        <v>29</v>
      </c>
      <c r="C192" s="9">
        <v>135.89</v>
      </c>
      <c r="G192" s="9"/>
      <c r="H192" s="28"/>
    </row>
    <row r="193" ht="14.25" customHeight="1">
      <c r="A193" s="23">
        <v>46407.0</v>
      </c>
      <c r="B193" s="2" t="s">
        <v>23</v>
      </c>
      <c r="C193" s="9">
        <v>7796.0</v>
      </c>
      <c r="G193" s="9"/>
      <c r="H193" s="28"/>
    </row>
    <row r="194" ht="14.25" customHeight="1">
      <c r="A194" s="23">
        <v>46407.0</v>
      </c>
      <c r="B194" s="8" t="s">
        <v>40</v>
      </c>
      <c r="C194" s="9">
        <v>102.36</v>
      </c>
      <c r="G194" s="9"/>
      <c r="H194" s="28"/>
    </row>
    <row r="195" ht="14.25" customHeight="1">
      <c r="A195" s="23">
        <v>46420.0</v>
      </c>
      <c r="B195" s="8" t="s">
        <v>41</v>
      </c>
      <c r="C195" s="9">
        <v>1800.0</v>
      </c>
      <c r="G195" s="9"/>
      <c r="H195" s="28"/>
    </row>
    <row r="196" ht="14.25" customHeight="1">
      <c r="A196" s="23">
        <v>46422.0</v>
      </c>
      <c r="B196" s="8" t="s">
        <v>51</v>
      </c>
      <c r="C196" s="9">
        <v>195.05</v>
      </c>
      <c r="G196" s="9"/>
      <c r="H196" s="28"/>
    </row>
    <row r="197" ht="14.25" customHeight="1">
      <c r="A197" s="23">
        <v>46422.0</v>
      </c>
      <c r="B197" s="8" t="s">
        <v>60</v>
      </c>
      <c r="C197" s="9">
        <v>950.0</v>
      </c>
      <c r="G197" s="9"/>
      <c r="H197" s="28"/>
    </row>
    <row r="198" ht="14.25" customHeight="1">
      <c r="A198" s="23">
        <v>46426.0</v>
      </c>
      <c r="B198" s="8" t="s">
        <v>52</v>
      </c>
      <c r="C198" s="9">
        <v>120.0</v>
      </c>
      <c r="G198" s="9"/>
      <c r="H198" s="28"/>
    </row>
    <row r="199" ht="14.25" customHeight="1">
      <c r="A199" s="1">
        <v>46428.0</v>
      </c>
      <c r="B199" s="2" t="s">
        <v>38</v>
      </c>
      <c r="C199" s="9">
        <v>65.0</v>
      </c>
      <c r="G199" s="9"/>
      <c r="H199" s="28"/>
    </row>
    <row r="200" ht="14.25" customHeight="1">
      <c r="A200" s="23">
        <v>46428.0</v>
      </c>
      <c r="B200" s="8" t="s">
        <v>44</v>
      </c>
      <c r="C200" s="9">
        <v>50.0</v>
      </c>
      <c r="E200" s="2"/>
      <c r="G200" s="9"/>
      <c r="H200" s="28"/>
    </row>
    <row r="201" ht="14.25" customHeight="1">
      <c r="A201" s="23">
        <v>46428.0</v>
      </c>
      <c r="B201" s="8" t="s">
        <v>62</v>
      </c>
      <c r="C201" s="9">
        <v>530.0</v>
      </c>
      <c r="G201" s="9"/>
      <c r="H201" s="28"/>
    </row>
    <row r="202" ht="14.25" customHeight="1">
      <c r="A202" s="23">
        <v>46429.0</v>
      </c>
      <c r="B202" s="8" t="s">
        <v>43</v>
      </c>
      <c r="C202" s="9">
        <v>95.12</v>
      </c>
      <c r="G202" s="9"/>
      <c r="H202" s="28"/>
    </row>
    <row r="203" ht="14.25" customHeight="1">
      <c r="A203" s="23">
        <v>46430.0</v>
      </c>
      <c r="B203" s="8" t="s">
        <v>25</v>
      </c>
      <c r="C203" s="9">
        <v>981.95</v>
      </c>
      <c r="G203" s="9"/>
      <c r="H203" s="28"/>
    </row>
    <row r="204" ht="14.25" customHeight="1">
      <c r="A204" s="23">
        <v>46430.0</v>
      </c>
      <c r="B204" s="23" t="s">
        <v>27</v>
      </c>
      <c r="C204" s="9">
        <v>1407.65</v>
      </c>
      <c r="G204" s="9"/>
      <c r="H204" s="28"/>
    </row>
    <row r="205" ht="14.25" customHeight="1">
      <c r="A205" s="23">
        <v>46433.0</v>
      </c>
      <c r="B205" s="8" t="s">
        <v>29</v>
      </c>
      <c r="C205" s="9">
        <v>132.4</v>
      </c>
      <c r="G205" s="9"/>
      <c r="H205" s="28"/>
    </row>
    <row r="206" ht="14.25" customHeight="1">
      <c r="A206" s="23">
        <v>46437.0</v>
      </c>
      <c r="B206" s="2" t="s">
        <v>23</v>
      </c>
      <c r="C206" s="9">
        <v>6004.07</v>
      </c>
      <c r="G206" s="9"/>
      <c r="H206" s="28"/>
    </row>
    <row r="207" ht="14.25" customHeight="1">
      <c r="A207" s="23">
        <v>46437.0</v>
      </c>
      <c r="B207" s="8" t="s">
        <v>40</v>
      </c>
      <c r="C207" s="9">
        <v>113.31</v>
      </c>
      <c r="G207" s="9"/>
      <c r="H207" s="28"/>
    </row>
    <row r="208" ht="14.25" customHeight="1">
      <c r="A208" s="23">
        <v>46437.0</v>
      </c>
      <c r="B208" s="8" t="s">
        <v>33</v>
      </c>
      <c r="C208" s="9">
        <v>2831.4</v>
      </c>
      <c r="G208" s="9"/>
      <c r="H208" s="28"/>
    </row>
    <row r="209" ht="14.25" customHeight="1">
      <c r="A209" s="23">
        <v>46437.0</v>
      </c>
      <c r="B209" s="8" t="s">
        <v>31</v>
      </c>
      <c r="C209" s="9">
        <v>460.0</v>
      </c>
      <c r="G209" s="9"/>
      <c r="H209" s="28"/>
    </row>
    <row r="210" ht="14.25" customHeight="1">
      <c r="A210" s="1">
        <v>46448.0</v>
      </c>
      <c r="B210" s="8" t="s">
        <v>41</v>
      </c>
      <c r="C210" s="9">
        <v>1771.95</v>
      </c>
      <c r="G210" s="9"/>
      <c r="H210" s="28"/>
    </row>
    <row r="211" ht="14.25" customHeight="1">
      <c r="A211" s="1">
        <v>46451.0</v>
      </c>
      <c r="B211" s="8" t="s">
        <v>6</v>
      </c>
      <c r="C211" s="9">
        <v>64.89</v>
      </c>
      <c r="G211" s="9"/>
      <c r="H211" s="28"/>
    </row>
    <row r="212" ht="14.25" customHeight="1">
      <c r="A212" s="1">
        <v>46451.0</v>
      </c>
      <c r="B212" s="8" t="s">
        <v>76</v>
      </c>
      <c r="C212" s="9">
        <v>141.8</v>
      </c>
      <c r="G212" s="9"/>
      <c r="H212" s="28"/>
    </row>
    <row r="213" ht="14.25" customHeight="1">
      <c r="A213" s="1">
        <v>46452.0</v>
      </c>
      <c r="B213" s="8" t="s">
        <v>51</v>
      </c>
      <c r="C213" s="9">
        <v>136.15</v>
      </c>
      <c r="G213" s="9"/>
      <c r="H213" s="28"/>
    </row>
    <row r="214" ht="14.25" customHeight="1">
      <c r="A214" s="1">
        <v>46452.0</v>
      </c>
      <c r="B214" s="8" t="s">
        <v>60</v>
      </c>
      <c r="C214" s="9">
        <v>800.0</v>
      </c>
      <c r="G214" s="9"/>
      <c r="H214" s="28"/>
    </row>
    <row r="215" ht="14.25" customHeight="1">
      <c r="A215" s="1">
        <v>46455.0</v>
      </c>
      <c r="B215" s="8" t="s">
        <v>42</v>
      </c>
      <c r="C215" s="9">
        <v>57.89</v>
      </c>
      <c r="G215" s="9"/>
      <c r="H215" s="28"/>
    </row>
    <row r="216" ht="14.25" customHeight="1">
      <c r="A216" s="1">
        <v>46456.0</v>
      </c>
      <c r="B216" s="2" t="s">
        <v>39</v>
      </c>
      <c r="C216" s="9">
        <v>1336.73</v>
      </c>
      <c r="G216" s="9"/>
      <c r="H216" s="28"/>
    </row>
    <row r="217" ht="14.25" customHeight="1">
      <c r="A217" s="1">
        <v>46456.0</v>
      </c>
      <c r="B217" s="2" t="s">
        <v>38</v>
      </c>
      <c r="C217" s="9">
        <v>65.0</v>
      </c>
      <c r="G217" s="9"/>
      <c r="H217" s="28"/>
    </row>
    <row r="218" ht="14.25" customHeight="1">
      <c r="A218" s="1">
        <v>46457.0</v>
      </c>
      <c r="B218" s="8" t="s">
        <v>43</v>
      </c>
      <c r="C218" s="9">
        <v>86.15</v>
      </c>
      <c r="G218" s="9"/>
      <c r="H218" s="28"/>
    </row>
    <row r="219" ht="14.25" customHeight="1">
      <c r="A219" s="1">
        <v>46457.0</v>
      </c>
      <c r="B219" s="8" t="s">
        <v>44</v>
      </c>
      <c r="C219" s="9">
        <v>50.0</v>
      </c>
      <c r="G219" s="9"/>
      <c r="H219" s="28"/>
    </row>
    <row r="220" ht="14.25" customHeight="1">
      <c r="A220" s="23">
        <v>46458.0</v>
      </c>
      <c r="B220" s="8" t="s">
        <v>25</v>
      </c>
      <c r="C220" s="9">
        <v>981.22</v>
      </c>
      <c r="G220" s="9"/>
      <c r="H220" s="28"/>
    </row>
    <row r="221" ht="14.25" customHeight="1">
      <c r="A221" s="23">
        <v>46458.0</v>
      </c>
      <c r="B221" s="8" t="s">
        <v>33</v>
      </c>
      <c r="C221" s="3">
        <v>2831.4</v>
      </c>
      <c r="G221" s="9"/>
      <c r="H221" s="28"/>
    </row>
    <row r="222" ht="14.25" customHeight="1">
      <c r="A222" s="1">
        <v>46462.0</v>
      </c>
      <c r="B222" s="8" t="s">
        <v>29</v>
      </c>
      <c r="C222" s="9">
        <v>132.4</v>
      </c>
      <c r="G222" s="9"/>
      <c r="H222" s="28"/>
    </row>
    <row r="223" ht="14.25" customHeight="1">
      <c r="A223" s="1">
        <v>46466.0</v>
      </c>
      <c r="B223" s="2" t="s">
        <v>23</v>
      </c>
      <c r="C223" s="9">
        <v>7494.55</v>
      </c>
      <c r="G223" s="9"/>
      <c r="H223" s="28"/>
    </row>
    <row r="224" ht="14.25" customHeight="1">
      <c r="A224" s="1">
        <v>46466.0</v>
      </c>
      <c r="B224" s="8" t="s">
        <v>40</v>
      </c>
      <c r="C224" s="9">
        <v>87.84</v>
      </c>
      <c r="G224" s="9"/>
      <c r="H224" s="28"/>
    </row>
    <row r="225" ht="14.25" customHeight="1">
      <c r="A225" s="1">
        <v>46477.0</v>
      </c>
      <c r="B225" s="8" t="s">
        <v>36</v>
      </c>
      <c r="C225" s="9">
        <v>35.62</v>
      </c>
      <c r="G225" s="9"/>
      <c r="H225" s="28"/>
    </row>
    <row r="226" ht="14.25" customHeight="1">
      <c r="A226" s="23"/>
      <c r="B226" s="23"/>
      <c r="C226" s="9"/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9"/>
      <c r="B326" s="29"/>
      <c r="C326" s="30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3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autoFilter ref="$A$1:$E$225">
    <sortState ref="A1:E225">
      <sortCondition ref="E1:E225"/>
      <sortCondition ref="A1:A225"/>
      <sortCondition ref="B1:B225"/>
      <sortCondition ref="C1:C225"/>
      <sortCondition ref="D1:D225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220901.1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17116.42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1168.97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24317.36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2233.3</v>
      </c>
      <c r="E7" s="57">
        <f>IF($A7="","",COUNTIFS('Todos os Gastos'!$A:$A,"&gt;="&amp;$A7,'Todos os Gastos'!$A:$A,"&lt;"&amp;EDATE($A7,1)))</f>
        <v>17</v>
      </c>
      <c r="F7" s="57">
        <f>IF($A7="","",COUNTIFS('Inventário de Lotes'!$B:$B,"&gt;="&amp;$A7,'Inventário de Lotes'!$B:$B,"&lt;"&amp;EDATE($A7,1)))</f>
        <v>7</v>
      </c>
      <c r="G7" s="56">
        <f t="shared" si="2"/>
        <v>17116.42</v>
      </c>
      <c r="J7" s="50" t="s">
        <v>130</v>
      </c>
      <c r="K7" s="51">
        <f>SUMIFS(D4:D123,A4:A123,"&gt;="&amp;EOMONTH(TODAY(),-1)+1,A4:A123,"&lt;"&amp;EDATE(EOMONTH(TODAY(),-1)+1,1))</f>
        <v>2233.3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17752.24</v>
      </c>
      <c r="J8" s="50" t="s">
        <v>131</v>
      </c>
      <c r="K8" s="51">
        <f>AVERAGEIF(D4:D123,"&lt;&gt;",D4:D123)</f>
        <v>83.49785714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17168.06</v>
      </c>
      <c r="J9" s="50" t="s">
        <v>132</v>
      </c>
      <c r="K9" s="51">
        <f>MAX(B4:B123)</f>
        <v>24317.36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16023.88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14229.7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12835.72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11941.54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7527.36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7618.51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4562.56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1168.97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100.0</v>
      </c>
      <c r="C3" s="63">
        <v>0.0</v>
      </c>
      <c r="D3" s="63">
        <v>0.0</v>
      </c>
      <c r="E3" s="63">
        <v>90.0</v>
      </c>
      <c r="F3" s="63">
        <v>90.0</v>
      </c>
      <c r="G3" s="42" t="s">
        <v>188</v>
      </c>
      <c r="H3" s="63" t="s">
        <v>205</v>
      </c>
      <c r="I3" s="64"/>
      <c r="J3" s="42" t="s">
        <v>188</v>
      </c>
      <c r="K3" s="42" t="s">
        <v>206</v>
      </c>
      <c r="L3" s="64"/>
      <c r="M3" s="64"/>
      <c r="N3" s="64"/>
      <c r="O3" s="64"/>
      <c r="P3" s="42" t="s">
        <v>190</v>
      </c>
      <c r="Q3" s="42" t="s">
        <v>207</v>
      </c>
      <c r="R3" s="42" t="s">
        <v>190</v>
      </c>
      <c r="S3" s="42" t="s">
        <v>208</v>
      </c>
      <c r="T3" s="68" t="s">
        <v>209</v>
      </c>
      <c r="U3" s="64"/>
      <c r="V3" s="42" t="s">
        <v>195</v>
      </c>
      <c r="W3" s="64"/>
      <c r="X3" s="66" t="s">
        <v>196</v>
      </c>
      <c r="Y3" s="71" t="s">
        <v>210</v>
      </c>
      <c r="Z3" s="66" t="s">
        <v>198</v>
      </c>
      <c r="AA3" s="68" t="s">
        <v>188</v>
      </c>
      <c r="AB3" s="68" t="s">
        <v>211</v>
      </c>
      <c r="AC3" s="63">
        <v>45.0</v>
      </c>
      <c r="AD3" s="63">
        <v>90.0</v>
      </c>
      <c r="AE3" s="63">
        <v>90.0</v>
      </c>
      <c r="AF3" s="63">
        <v>60.0</v>
      </c>
      <c r="AG3" s="63">
        <v>78.0</v>
      </c>
      <c r="AH3" s="63">
        <v>14.0</v>
      </c>
      <c r="AI3" s="63">
        <v>17.5</v>
      </c>
      <c r="AJ3" s="63">
        <v>75.0</v>
      </c>
      <c r="AK3" s="63">
        <v>85.0</v>
      </c>
      <c r="AL3" s="69">
        <v>58.6</v>
      </c>
      <c r="AM3" s="72"/>
      <c r="AN3" s="72"/>
      <c r="AO3" s="69">
        <v>90.0</v>
      </c>
      <c r="AP3" s="68" t="s">
        <v>212</v>
      </c>
      <c r="AQ3" s="68" t="s">
        <v>213</v>
      </c>
      <c r="AR3" s="73"/>
      <c r="AS3" s="72"/>
      <c r="AT3" s="73"/>
      <c r="AU3" s="73"/>
      <c r="AV3" s="72"/>
      <c r="AW3" s="72"/>
      <c r="AX3" s="70" t="s">
        <v>214</v>
      </c>
      <c r="AY3" s="42" t="s">
        <v>215</v>
      </c>
    </row>
    <row r="4">
      <c r="A4" s="42" t="s">
        <v>216</v>
      </c>
      <c r="B4" s="63">
        <v>100.0</v>
      </c>
      <c r="C4" s="63">
        <v>0.0</v>
      </c>
      <c r="D4" s="63">
        <v>0.0</v>
      </c>
      <c r="E4" s="63">
        <v>180.0</v>
      </c>
      <c r="F4" s="63">
        <v>180.0</v>
      </c>
      <c r="G4" s="42" t="s">
        <v>188</v>
      </c>
      <c r="H4" s="63" t="s">
        <v>205</v>
      </c>
      <c r="I4" s="64"/>
      <c r="J4" s="42" t="s">
        <v>188</v>
      </c>
      <c r="K4" s="42" t="s">
        <v>206</v>
      </c>
      <c r="L4" s="64"/>
      <c r="M4" s="64"/>
      <c r="N4" s="64"/>
      <c r="O4" s="64"/>
      <c r="P4" s="42" t="s">
        <v>190</v>
      </c>
      <c r="Q4" s="42" t="s">
        <v>207</v>
      </c>
      <c r="R4" s="42" t="s">
        <v>190</v>
      </c>
      <c r="S4" s="42" t="s">
        <v>208</v>
      </c>
      <c r="T4" s="68" t="s">
        <v>209</v>
      </c>
      <c r="U4" s="64"/>
      <c r="V4" s="42" t="s">
        <v>195</v>
      </c>
      <c r="W4" s="64"/>
      <c r="X4" s="66" t="s">
        <v>196</v>
      </c>
      <c r="Y4" s="71" t="s">
        <v>210</v>
      </c>
      <c r="Z4" s="66" t="s">
        <v>198</v>
      </c>
      <c r="AA4" s="68" t="s">
        <v>188</v>
      </c>
      <c r="AB4" s="68" t="s">
        <v>211</v>
      </c>
      <c r="AC4" s="63">
        <v>45.0</v>
      </c>
      <c r="AD4" s="63">
        <v>90.0</v>
      </c>
      <c r="AE4" s="63">
        <v>90.0</v>
      </c>
      <c r="AF4" s="63">
        <v>60.0</v>
      </c>
      <c r="AG4" s="63">
        <v>78.0</v>
      </c>
      <c r="AH4" s="63">
        <v>14.0</v>
      </c>
      <c r="AI4" s="63">
        <v>17.5</v>
      </c>
      <c r="AJ4" s="63">
        <v>75.0</v>
      </c>
      <c r="AK4" s="63">
        <v>85.0</v>
      </c>
      <c r="AL4" s="69">
        <v>58.6</v>
      </c>
      <c r="AM4" s="72"/>
      <c r="AN4" s="72"/>
      <c r="AO4" s="69">
        <v>180.0</v>
      </c>
      <c r="AP4" s="68" t="s">
        <v>212</v>
      </c>
      <c r="AQ4" s="68" t="s">
        <v>213</v>
      </c>
      <c r="AR4" s="73"/>
      <c r="AS4" s="72"/>
      <c r="AT4" s="73"/>
      <c r="AU4" s="73"/>
      <c r="AV4" s="72"/>
      <c r="AW4" s="72"/>
      <c r="AX4" s="70" t="s">
        <v>214</v>
      </c>
      <c r="AY4" s="42" t="s">
        <v>215</v>
      </c>
    </row>
    <row r="5">
      <c r="A5" s="42" t="s">
        <v>217</v>
      </c>
      <c r="B5" s="63">
        <v>109.0</v>
      </c>
      <c r="C5" s="63">
        <v>0.0</v>
      </c>
      <c r="D5" s="63">
        <v>0.0</v>
      </c>
      <c r="E5" s="63">
        <v>365.0</v>
      </c>
      <c r="F5" s="63">
        <v>365.0</v>
      </c>
      <c r="G5" s="42" t="s">
        <v>188</v>
      </c>
      <c r="H5" s="63" t="s">
        <v>189</v>
      </c>
      <c r="I5" s="64"/>
      <c r="J5" s="42" t="s">
        <v>190</v>
      </c>
      <c r="K5" s="42" t="s">
        <v>206</v>
      </c>
      <c r="L5" s="65"/>
      <c r="M5" s="65"/>
      <c r="N5" s="65"/>
      <c r="O5" s="65"/>
      <c r="P5" s="42" t="s">
        <v>188</v>
      </c>
      <c r="Q5" s="42" t="s">
        <v>207</v>
      </c>
      <c r="R5" s="42" t="s">
        <v>190</v>
      </c>
      <c r="S5" s="42" t="s">
        <v>218</v>
      </c>
      <c r="T5" s="42" t="s">
        <v>219</v>
      </c>
      <c r="U5" s="64"/>
      <c r="V5" s="42" t="s">
        <v>220</v>
      </c>
      <c r="W5" s="64"/>
      <c r="X5" s="66" t="s">
        <v>196</v>
      </c>
      <c r="Y5" s="67" t="s">
        <v>197</v>
      </c>
      <c r="Z5" s="66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90.0</v>
      </c>
      <c r="AF5" s="63">
        <v>95.0</v>
      </c>
      <c r="AG5" s="63">
        <v>92.0</v>
      </c>
      <c r="AH5" s="63">
        <v>15.26</v>
      </c>
      <c r="AI5" s="63">
        <v>25.7</v>
      </c>
      <c r="AJ5" s="63">
        <v>75.0</v>
      </c>
      <c r="AK5" s="63">
        <v>85.0</v>
      </c>
      <c r="AL5" s="69">
        <v>60.1</v>
      </c>
      <c r="AM5" s="70">
        <v>3.0</v>
      </c>
      <c r="AN5" s="70">
        <v>26.0</v>
      </c>
      <c r="AO5" s="69">
        <v>365.0</v>
      </c>
      <c r="AP5" s="68" t="s">
        <v>212</v>
      </c>
      <c r="AQ5" s="68" t="s">
        <v>213</v>
      </c>
      <c r="AR5" s="69">
        <v>2.0</v>
      </c>
      <c r="AS5" s="70">
        <v>2.0</v>
      </c>
      <c r="AT5" s="69">
        <v>14.0</v>
      </c>
      <c r="AU5" s="69">
        <v>46.1</v>
      </c>
      <c r="AV5" s="70">
        <v>25.0</v>
      </c>
      <c r="AW5" s="70">
        <v>49.0</v>
      </c>
      <c r="AX5" s="70" t="s">
        <v>214</v>
      </c>
      <c r="AY5" s="42" t="s">
        <v>215</v>
      </c>
    </row>
    <row r="6">
      <c r="A6" s="42" t="s">
        <v>221</v>
      </c>
      <c r="B6" s="63">
        <v>110.0</v>
      </c>
      <c r="C6" s="63">
        <v>0.0</v>
      </c>
      <c r="D6" s="63">
        <v>0.0</v>
      </c>
      <c r="E6" s="63">
        <v>2190.0</v>
      </c>
      <c r="F6" s="63">
        <v>2190.0</v>
      </c>
      <c r="G6" s="42" t="s">
        <v>188</v>
      </c>
      <c r="H6" s="63" t="s">
        <v>189</v>
      </c>
      <c r="I6" s="64"/>
      <c r="J6" s="42" t="s">
        <v>190</v>
      </c>
      <c r="K6" s="42" t="s">
        <v>206</v>
      </c>
      <c r="L6" s="65"/>
      <c r="M6" s="65"/>
      <c r="N6" s="65"/>
      <c r="O6" s="65"/>
      <c r="P6" s="42" t="s">
        <v>188</v>
      </c>
      <c r="Q6" s="42" t="s">
        <v>207</v>
      </c>
      <c r="R6" s="42" t="s">
        <v>190</v>
      </c>
      <c r="S6" s="42" t="s">
        <v>222</v>
      </c>
      <c r="T6" s="42" t="s">
        <v>219</v>
      </c>
      <c r="U6" s="64"/>
      <c r="V6" s="42" t="s">
        <v>223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199</v>
      </c>
      <c r="AC6" s="63">
        <v>10.0</v>
      </c>
      <c r="AD6" s="63">
        <v>100.0</v>
      </c>
      <c r="AE6" s="63">
        <v>90.0</v>
      </c>
      <c r="AF6" s="63">
        <v>50.0</v>
      </c>
      <c r="AG6" s="63">
        <v>74.0</v>
      </c>
      <c r="AH6" s="63">
        <v>15.4</v>
      </c>
      <c r="AI6" s="63">
        <v>26.7</v>
      </c>
      <c r="AJ6" s="63">
        <v>75.0</v>
      </c>
      <c r="AK6" s="63">
        <v>85.0</v>
      </c>
      <c r="AL6" s="69">
        <v>52.9</v>
      </c>
      <c r="AM6" s="70">
        <v>33.0</v>
      </c>
      <c r="AN6" s="70">
        <v>61.0</v>
      </c>
      <c r="AO6" s="69">
        <v>2190.0</v>
      </c>
      <c r="AP6" s="68" t="s">
        <v>212</v>
      </c>
      <c r="AQ6" s="68" t="s">
        <v>213</v>
      </c>
      <c r="AR6" s="69">
        <v>5.0</v>
      </c>
      <c r="AS6" s="70">
        <v>3.0</v>
      </c>
      <c r="AT6" s="69">
        <v>18.0</v>
      </c>
      <c r="AU6" s="69">
        <v>34.9</v>
      </c>
      <c r="AV6" s="70">
        <v>41.0</v>
      </c>
      <c r="AW6" s="70">
        <v>69.0</v>
      </c>
      <c r="AX6" s="70" t="s">
        <v>214</v>
      </c>
      <c r="AY6" s="42" t="s">
        <v>215</v>
      </c>
    </row>
    <row r="7">
      <c r="A7" s="42" t="s">
        <v>224</v>
      </c>
      <c r="B7" s="63">
        <v>111.0</v>
      </c>
      <c r="C7" s="63">
        <v>0.0</v>
      </c>
      <c r="D7" s="63">
        <v>0.0</v>
      </c>
      <c r="E7" s="63">
        <v>730.0</v>
      </c>
      <c r="F7" s="63">
        <v>730.0</v>
      </c>
      <c r="G7" s="42" t="s">
        <v>188</v>
      </c>
      <c r="H7" s="63" t="s">
        <v>189</v>
      </c>
      <c r="I7" s="64"/>
      <c r="J7" s="42" t="s">
        <v>190</v>
      </c>
      <c r="K7" s="42" t="s">
        <v>206</v>
      </c>
      <c r="L7" s="65"/>
      <c r="M7" s="65"/>
      <c r="N7" s="65"/>
      <c r="O7" s="65"/>
      <c r="P7" s="42" t="s">
        <v>188</v>
      </c>
      <c r="Q7" s="42" t="s">
        <v>207</v>
      </c>
      <c r="R7" s="42" t="s">
        <v>190</v>
      </c>
      <c r="S7" s="42" t="s">
        <v>225</v>
      </c>
      <c r="T7" s="42" t="s">
        <v>219</v>
      </c>
      <c r="U7" s="64"/>
      <c r="V7" s="42" t="s">
        <v>220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10.0</v>
      </c>
      <c r="AD7" s="63">
        <v>100.0</v>
      </c>
      <c r="AE7" s="63">
        <v>90.0</v>
      </c>
      <c r="AF7" s="63">
        <v>95.0</v>
      </c>
      <c r="AG7" s="63">
        <v>92.0</v>
      </c>
      <c r="AH7" s="63">
        <v>15.54</v>
      </c>
      <c r="AI7" s="63">
        <v>27.6</v>
      </c>
      <c r="AJ7" s="63">
        <v>75.0</v>
      </c>
      <c r="AK7" s="63">
        <v>85.0</v>
      </c>
      <c r="AL7" s="69">
        <v>56.7</v>
      </c>
      <c r="AM7" s="70">
        <v>10.0</v>
      </c>
      <c r="AN7" s="70">
        <v>36.0</v>
      </c>
      <c r="AO7" s="69">
        <v>730.0</v>
      </c>
      <c r="AP7" s="68" t="s">
        <v>212</v>
      </c>
      <c r="AQ7" s="68" t="s">
        <v>213</v>
      </c>
      <c r="AR7" s="69">
        <v>3.0</v>
      </c>
      <c r="AS7" s="70">
        <v>2.0</v>
      </c>
      <c r="AT7" s="69">
        <v>18.0</v>
      </c>
      <c r="AU7" s="69">
        <v>38.7</v>
      </c>
      <c r="AV7" s="70">
        <v>32.0</v>
      </c>
      <c r="AW7" s="70">
        <v>59.0</v>
      </c>
      <c r="AX7" s="70" t="s">
        <v>214</v>
      </c>
      <c r="AY7" s="42" t="s">
        <v>215</v>
      </c>
    </row>
    <row r="8">
      <c r="A8" s="42" t="s">
        <v>226</v>
      </c>
      <c r="B8" s="63">
        <v>112.0</v>
      </c>
      <c r="C8" s="63">
        <v>0.0</v>
      </c>
      <c r="D8" s="63">
        <v>0.0</v>
      </c>
      <c r="E8" s="63">
        <v>1095.0</v>
      </c>
      <c r="F8" s="63">
        <v>1095.0</v>
      </c>
      <c r="G8" s="42" t="s">
        <v>188</v>
      </c>
      <c r="H8" s="63" t="s">
        <v>189</v>
      </c>
      <c r="I8" s="64"/>
      <c r="J8" s="42" t="s">
        <v>190</v>
      </c>
      <c r="K8" s="42" t="s">
        <v>206</v>
      </c>
      <c r="L8" s="65"/>
      <c r="M8" s="65"/>
      <c r="N8" s="65"/>
      <c r="O8" s="65"/>
      <c r="P8" s="42" t="s">
        <v>188</v>
      </c>
      <c r="Q8" s="42" t="s">
        <v>207</v>
      </c>
      <c r="R8" s="42" t="s">
        <v>190</v>
      </c>
      <c r="S8" s="42" t="s">
        <v>225</v>
      </c>
      <c r="T8" s="42" t="s">
        <v>219</v>
      </c>
      <c r="U8" s="64"/>
      <c r="V8" s="42" t="s">
        <v>220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100.0</v>
      </c>
      <c r="AE8" s="63">
        <v>90.0</v>
      </c>
      <c r="AF8" s="63">
        <v>95.0</v>
      </c>
      <c r="AG8" s="63">
        <v>92.0</v>
      </c>
      <c r="AH8" s="63">
        <v>15.68</v>
      </c>
      <c r="AI8" s="63">
        <v>28.5</v>
      </c>
      <c r="AJ8" s="63">
        <v>75.0</v>
      </c>
      <c r="AK8" s="63">
        <v>85.0</v>
      </c>
      <c r="AL8" s="69">
        <v>56.9</v>
      </c>
      <c r="AM8" s="70">
        <v>8.0</v>
      </c>
      <c r="AN8" s="70">
        <v>34.0</v>
      </c>
      <c r="AO8" s="69">
        <v>1095.0</v>
      </c>
      <c r="AP8" s="68" t="s">
        <v>212</v>
      </c>
      <c r="AQ8" s="68" t="s">
        <v>213</v>
      </c>
      <c r="AR8" s="69">
        <v>3.0</v>
      </c>
      <c r="AS8" s="70">
        <v>2.0</v>
      </c>
      <c r="AT8" s="69">
        <v>18.0</v>
      </c>
      <c r="AU8" s="69">
        <v>38.9</v>
      </c>
      <c r="AV8" s="70">
        <v>31.0</v>
      </c>
      <c r="AW8" s="70">
        <v>58.0</v>
      </c>
      <c r="AX8" s="70" t="s">
        <v>214</v>
      </c>
      <c r="AY8" s="42" t="s">
        <v>215</v>
      </c>
    </row>
    <row r="9">
      <c r="A9" s="42" t="s">
        <v>227</v>
      </c>
      <c r="B9" s="63">
        <v>113.0</v>
      </c>
      <c r="C9" s="63">
        <v>0.0</v>
      </c>
      <c r="D9" s="63">
        <v>0.0</v>
      </c>
      <c r="E9" s="63">
        <v>1460.0</v>
      </c>
      <c r="F9" s="63">
        <v>1460.0</v>
      </c>
      <c r="G9" s="42" t="s">
        <v>188</v>
      </c>
      <c r="H9" s="63" t="s">
        <v>189</v>
      </c>
      <c r="I9" s="64"/>
      <c r="J9" s="42" t="s">
        <v>190</v>
      </c>
      <c r="K9" s="42" t="s">
        <v>206</v>
      </c>
      <c r="L9" s="65"/>
      <c r="M9" s="65"/>
      <c r="N9" s="65"/>
      <c r="O9" s="65"/>
      <c r="P9" s="42" t="s">
        <v>188</v>
      </c>
      <c r="Q9" s="42" t="s">
        <v>207</v>
      </c>
      <c r="R9" s="42" t="s">
        <v>190</v>
      </c>
      <c r="S9" s="42" t="s">
        <v>222</v>
      </c>
      <c r="T9" s="42" t="s">
        <v>219</v>
      </c>
      <c r="U9" s="64"/>
      <c r="V9" s="42" t="s">
        <v>223</v>
      </c>
      <c r="W9" s="64"/>
      <c r="X9" s="66" t="s">
        <v>196</v>
      </c>
      <c r="Y9" s="67" t="s">
        <v>197</v>
      </c>
      <c r="Z9" s="66" t="s">
        <v>198</v>
      </c>
      <c r="AA9" s="68" t="s">
        <v>190</v>
      </c>
      <c r="AB9" s="68" t="s">
        <v>199</v>
      </c>
      <c r="AC9" s="63">
        <v>10.0</v>
      </c>
      <c r="AD9" s="63">
        <v>100.0</v>
      </c>
      <c r="AE9" s="63">
        <v>90.0</v>
      </c>
      <c r="AF9" s="63">
        <v>50.0</v>
      </c>
      <c r="AG9" s="63">
        <v>74.0</v>
      </c>
      <c r="AH9" s="63">
        <v>15.82</v>
      </c>
      <c r="AI9" s="63">
        <v>29.4</v>
      </c>
      <c r="AJ9" s="63">
        <v>75.0</v>
      </c>
      <c r="AK9" s="63">
        <v>85.0</v>
      </c>
      <c r="AL9" s="69">
        <v>53.5</v>
      </c>
      <c r="AM9" s="70">
        <v>30.0</v>
      </c>
      <c r="AN9" s="70">
        <v>58.0</v>
      </c>
      <c r="AO9" s="69">
        <v>1460.0</v>
      </c>
      <c r="AP9" s="68" t="s">
        <v>212</v>
      </c>
      <c r="AQ9" s="68" t="s">
        <v>213</v>
      </c>
      <c r="AR9" s="69">
        <v>3.0</v>
      </c>
      <c r="AS9" s="70">
        <v>2.0</v>
      </c>
      <c r="AT9" s="69">
        <v>18.0</v>
      </c>
      <c r="AU9" s="69">
        <v>35.5</v>
      </c>
      <c r="AV9" s="70">
        <v>39.0</v>
      </c>
      <c r="AW9" s="70">
        <v>67.0</v>
      </c>
      <c r="AX9" s="70" t="s">
        <v>214</v>
      </c>
      <c r="AY9" s="42" t="s">
        <v>215</v>
      </c>
    </row>
    <row r="10">
      <c r="A10" s="42" t="s">
        <v>228</v>
      </c>
      <c r="B10" s="63">
        <v>114.0</v>
      </c>
      <c r="C10" s="63">
        <v>0.0</v>
      </c>
      <c r="D10" s="63">
        <v>0.0</v>
      </c>
      <c r="E10" s="63">
        <v>1825.0</v>
      </c>
      <c r="F10" s="63">
        <v>1825.0</v>
      </c>
      <c r="G10" s="42" t="s">
        <v>188</v>
      </c>
      <c r="H10" s="63" t="s">
        <v>189</v>
      </c>
      <c r="I10" s="64"/>
      <c r="J10" s="42" t="s">
        <v>190</v>
      </c>
      <c r="K10" s="42" t="s">
        <v>206</v>
      </c>
      <c r="L10" s="65"/>
      <c r="M10" s="65"/>
      <c r="N10" s="65"/>
      <c r="O10" s="65"/>
      <c r="P10" s="42" t="s">
        <v>188</v>
      </c>
      <c r="Q10" s="42" t="s">
        <v>207</v>
      </c>
      <c r="R10" s="42" t="s">
        <v>190</v>
      </c>
      <c r="S10" s="42" t="s">
        <v>222</v>
      </c>
      <c r="T10" s="42" t="s">
        <v>219</v>
      </c>
      <c r="U10" s="64"/>
      <c r="V10" s="42" t="s">
        <v>223</v>
      </c>
      <c r="W10" s="64"/>
      <c r="X10" s="66" t="s">
        <v>196</v>
      </c>
      <c r="Y10" s="67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100.0</v>
      </c>
      <c r="AE10" s="63">
        <v>90.0</v>
      </c>
      <c r="AF10" s="63">
        <v>50.0</v>
      </c>
      <c r="AG10" s="63">
        <v>74.0</v>
      </c>
      <c r="AH10" s="63">
        <v>15.96</v>
      </c>
      <c r="AI10" s="63">
        <v>30.3</v>
      </c>
      <c r="AJ10" s="63">
        <v>75.0</v>
      </c>
      <c r="AK10" s="63">
        <v>85.0</v>
      </c>
      <c r="AL10" s="69">
        <v>53.7</v>
      </c>
      <c r="AM10" s="70">
        <v>29.0</v>
      </c>
      <c r="AN10" s="70">
        <v>57.0</v>
      </c>
      <c r="AO10" s="69">
        <v>1825.0</v>
      </c>
      <c r="AP10" s="68" t="s">
        <v>212</v>
      </c>
      <c r="AQ10" s="68" t="s">
        <v>213</v>
      </c>
      <c r="AR10" s="69">
        <v>2.0</v>
      </c>
      <c r="AS10" s="70">
        <v>1.0</v>
      </c>
      <c r="AT10" s="69">
        <v>14.0</v>
      </c>
      <c r="AU10" s="69">
        <v>39.7</v>
      </c>
      <c r="AV10" s="70">
        <v>30.0</v>
      </c>
      <c r="AW10" s="70">
        <v>57.0</v>
      </c>
      <c r="AX10" s="70" t="s">
        <v>214</v>
      </c>
      <c r="AY10" s="42" t="s">
        <v>215</v>
      </c>
    </row>
    <row r="11">
      <c r="A11" s="42" t="s">
        <v>229</v>
      </c>
      <c r="B11" s="63">
        <v>108.0</v>
      </c>
      <c r="C11" s="63">
        <v>0.0</v>
      </c>
      <c r="D11" s="63">
        <v>0.0</v>
      </c>
      <c r="E11" s="63">
        <v>1095.0</v>
      </c>
      <c r="F11" s="63">
        <v>1095.0</v>
      </c>
      <c r="G11" s="42" t="s">
        <v>188</v>
      </c>
      <c r="H11" s="68" t="s">
        <v>230</v>
      </c>
      <c r="I11" s="64"/>
      <c r="J11" s="42" t="s">
        <v>190</v>
      </c>
      <c r="K11" s="42" t="s">
        <v>206</v>
      </c>
      <c r="L11" s="65"/>
      <c r="M11" s="65"/>
      <c r="N11" s="65"/>
      <c r="O11" s="65"/>
      <c r="P11" s="42" t="s">
        <v>188</v>
      </c>
      <c r="Q11" s="42" t="s">
        <v>207</v>
      </c>
      <c r="R11" s="42" t="s">
        <v>190</v>
      </c>
      <c r="S11" s="42" t="s">
        <v>231</v>
      </c>
      <c r="T11" s="42" t="s">
        <v>219</v>
      </c>
      <c r="U11" s="64"/>
      <c r="V11" s="42" t="s">
        <v>220</v>
      </c>
      <c r="W11" s="64"/>
      <c r="X11" s="66" t="s">
        <v>196</v>
      </c>
      <c r="Y11" s="67" t="s">
        <v>197</v>
      </c>
      <c r="Z11" s="66" t="s">
        <v>198</v>
      </c>
      <c r="AA11" s="68" t="s">
        <v>190</v>
      </c>
      <c r="AB11" s="68" t="s">
        <v>199</v>
      </c>
      <c r="AC11" s="63">
        <v>10.0</v>
      </c>
      <c r="AD11" s="63">
        <v>0.0</v>
      </c>
      <c r="AE11" s="63">
        <v>90.0</v>
      </c>
      <c r="AF11" s="63">
        <v>95.0</v>
      </c>
      <c r="AG11" s="63">
        <v>92.0</v>
      </c>
      <c r="AH11" s="63">
        <v>15.12</v>
      </c>
      <c r="AI11" s="63">
        <v>24.8</v>
      </c>
      <c r="AJ11" s="63">
        <v>75.0</v>
      </c>
      <c r="AK11" s="63">
        <v>85.0</v>
      </c>
      <c r="AL11" s="69">
        <v>38.1</v>
      </c>
      <c r="AM11" s="70">
        <v>50.0</v>
      </c>
      <c r="AN11" s="70">
        <v>78.0</v>
      </c>
      <c r="AO11" s="69">
        <v>1095.0</v>
      </c>
      <c r="AP11" s="68" t="s">
        <v>212</v>
      </c>
      <c r="AQ11" s="68" t="s">
        <v>213</v>
      </c>
      <c r="AR11" s="69">
        <v>5.0</v>
      </c>
      <c r="AS11" s="70">
        <v>3.0</v>
      </c>
      <c r="AT11" s="69">
        <v>18.0</v>
      </c>
      <c r="AU11" s="69">
        <v>20.1</v>
      </c>
      <c r="AV11" s="70">
        <v>50.0</v>
      </c>
      <c r="AW11" s="70">
        <v>78.0</v>
      </c>
      <c r="AX11" s="70" t="s">
        <v>214</v>
      </c>
      <c r="AY11" s="42" t="s">
        <v>215</v>
      </c>
    </row>
    <row r="12">
      <c r="A12" s="42" t="s">
        <v>232</v>
      </c>
      <c r="B12" s="63">
        <v>100.0</v>
      </c>
      <c r="C12" s="63">
        <v>13.16</v>
      </c>
      <c r="D12" s="63">
        <v>0.0</v>
      </c>
      <c r="E12" s="63">
        <v>730.0</v>
      </c>
      <c r="F12" s="63">
        <v>730.0</v>
      </c>
      <c r="G12" s="42" t="s">
        <v>188</v>
      </c>
      <c r="H12" s="68" t="s">
        <v>233</v>
      </c>
      <c r="I12" s="64"/>
      <c r="J12" s="42" t="s">
        <v>190</v>
      </c>
      <c r="K12" s="42" t="s">
        <v>206</v>
      </c>
      <c r="L12" s="65"/>
      <c r="M12" s="65"/>
      <c r="N12" s="65"/>
      <c r="O12" s="65"/>
      <c r="P12" s="42" t="s">
        <v>188</v>
      </c>
      <c r="Q12" s="42" t="s">
        <v>234</v>
      </c>
      <c r="R12" s="42" t="s">
        <v>190</v>
      </c>
      <c r="S12" s="42" t="s">
        <v>235</v>
      </c>
      <c r="T12" s="42" t="s">
        <v>219</v>
      </c>
      <c r="U12" s="64"/>
      <c r="V12" s="42" t="s">
        <v>220</v>
      </c>
      <c r="W12" s="64"/>
      <c r="X12" s="66" t="s">
        <v>196</v>
      </c>
      <c r="Y12" s="67" t="s">
        <v>197</v>
      </c>
      <c r="Z12" s="66" t="s">
        <v>198</v>
      </c>
      <c r="AA12" s="68" t="s">
        <v>190</v>
      </c>
      <c r="AB12" s="68" t="s">
        <v>199</v>
      </c>
      <c r="AC12" s="63">
        <v>10.0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14.0</v>
      </c>
      <c r="AI12" s="63">
        <v>17.5</v>
      </c>
      <c r="AJ12" s="63">
        <v>75.0</v>
      </c>
      <c r="AK12" s="63">
        <v>85.0</v>
      </c>
      <c r="AL12" s="69">
        <v>50.9</v>
      </c>
      <c r="AM12" s="70">
        <v>41.0</v>
      </c>
      <c r="AN12" s="70">
        <v>69.0</v>
      </c>
      <c r="AO12" s="69">
        <v>730.0</v>
      </c>
      <c r="AP12" s="68" t="s">
        <v>212</v>
      </c>
      <c r="AQ12" s="68" t="s">
        <v>213</v>
      </c>
      <c r="AR12" s="69">
        <v>11.0</v>
      </c>
      <c r="AS12" s="70">
        <v>11.0</v>
      </c>
      <c r="AT12" s="69">
        <v>18.0</v>
      </c>
      <c r="AU12" s="69">
        <v>32.9</v>
      </c>
      <c r="AV12" s="70">
        <v>44.0</v>
      </c>
      <c r="AW12" s="70">
        <v>72.0</v>
      </c>
      <c r="AX12" s="70" t="s">
        <v>214</v>
      </c>
      <c r="AY12" s="42" t="s">
        <v>236</v>
      </c>
    </row>
    <row r="13">
      <c r="A13" s="42" t="s">
        <v>237</v>
      </c>
      <c r="B13" s="63">
        <v>100.0</v>
      </c>
      <c r="C13" s="63">
        <v>13.12</v>
      </c>
      <c r="D13" s="63">
        <v>0.0</v>
      </c>
      <c r="E13" s="63">
        <v>1095.0</v>
      </c>
      <c r="F13" s="63">
        <v>1095.0</v>
      </c>
      <c r="G13" s="42" t="s">
        <v>188</v>
      </c>
      <c r="H13" s="68" t="s">
        <v>233</v>
      </c>
      <c r="I13" s="64"/>
      <c r="J13" s="42" t="s">
        <v>190</v>
      </c>
      <c r="K13" s="42" t="s">
        <v>206</v>
      </c>
      <c r="L13" s="65"/>
      <c r="M13" s="65"/>
      <c r="N13" s="65"/>
      <c r="O13" s="65"/>
      <c r="P13" s="42" t="s">
        <v>188</v>
      </c>
      <c r="Q13" s="42" t="s">
        <v>234</v>
      </c>
      <c r="R13" s="42" t="s">
        <v>190</v>
      </c>
      <c r="S13" s="42" t="s">
        <v>238</v>
      </c>
      <c r="T13" s="42" t="s">
        <v>219</v>
      </c>
      <c r="U13" s="64"/>
      <c r="V13" s="42" t="s">
        <v>220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14.0</v>
      </c>
      <c r="AI13" s="63">
        <v>17.5</v>
      </c>
      <c r="AJ13" s="63">
        <v>75.0</v>
      </c>
      <c r="AK13" s="63">
        <v>85.0</v>
      </c>
      <c r="AL13" s="69">
        <v>50.9</v>
      </c>
      <c r="AM13" s="70">
        <v>42.0</v>
      </c>
      <c r="AN13" s="70">
        <v>70.0</v>
      </c>
      <c r="AO13" s="69">
        <v>1095.0</v>
      </c>
      <c r="AP13" s="68" t="s">
        <v>212</v>
      </c>
      <c r="AQ13" s="68" t="s">
        <v>213</v>
      </c>
      <c r="AR13" s="69">
        <v>11.0</v>
      </c>
      <c r="AS13" s="70">
        <v>11.0</v>
      </c>
      <c r="AT13" s="69">
        <v>18.0</v>
      </c>
      <c r="AU13" s="69">
        <v>32.9</v>
      </c>
      <c r="AV13" s="70">
        <v>45.0</v>
      </c>
      <c r="AW13" s="70">
        <v>73.0</v>
      </c>
      <c r="AX13" s="70" t="s">
        <v>214</v>
      </c>
      <c r="AY13" s="42" t="s">
        <v>236</v>
      </c>
    </row>
    <row r="14">
      <c r="A14" s="42" t="s">
        <v>239</v>
      </c>
      <c r="B14" s="63">
        <v>105.0</v>
      </c>
      <c r="C14" s="63">
        <v>109.0</v>
      </c>
      <c r="D14" s="63">
        <v>0.0</v>
      </c>
      <c r="E14" s="63">
        <v>1825.0</v>
      </c>
      <c r="F14" s="63">
        <v>0.0</v>
      </c>
      <c r="G14" s="42" t="s">
        <v>188</v>
      </c>
      <c r="H14" s="63" t="s">
        <v>240</v>
      </c>
      <c r="I14" s="64"/>
      <c r="J14" s="42" t="s">
        <v>190</v>
      </c>
      <c r="K14" s="42" t="s">
        <v>206</v>
      </c>
      <c r="L14" s="65"/>
      <c r="M14" s="65"/>
      <c r="N14" s="65"/>
      <c r="O14" s="65"/>
      <c r="P14" s="42" t="s">
        <v>188</v>
      </c>
      <c r="Q14" s="42" t="s">
        <v>241</v>
      </c>
      <c r="R14" s="42" t="s">
        <v>190</v>
      </c>
      <c r="S14" s="42" t="s">
        <v>242</v>
      </c>
      <c r="T14" s="42" t="s">
        <v>219</v>
      </c>
      <c r="U14" s="64"/>
      <c r="V14" s="42" t="s">
        <v>220</v>
      </c>
      <c r="W14" s="64"/>
      <c r="X14" s="74" t="s">
        <v>243</v>
      </c>
      <c r="Y14" s="67" t="s">
        <v>197</v>
      </c>
      <c r="Z14" s="74" t="s">
        <v>244</v>
      </c>
      <c r="AA14" s="68" t="s">
        <v>190</v>
      </c>
      <c r="AB14" s="68" t="s">
        <v>245</v>
      </c>
      <c r="AC14" s="63">
        <v>100.0</v>
      </c>
      <c r="AD14" s="63">
        <v>100.0</v>
      </c>
      <c r="AE14" s="63">
        <v>90.0</v>
      </c>
      <c r="AF14" s="63">
        <v>95.0</v>
      </c>
      <c r="AG14" s="63">
        <v>92.0</v>
      </c>
      <c r="AH14" s="63">
        <v>0.59</v>
      </c>
      <c r="AI14" s="63">
        <v>0.0</v>
      </c>
      <c r="AJ14" s="63">
        <v>51.0</v>
      </c>
      <c r="AK14" s="63">
        <v>85.0</v>
      </c>
      <c r="AL14" s="69">
        <v>70.8</v>
      </c>
      <c r="AM14" s="70">
        <v>3.0</v>
      </c>
      <c r="AN14" s="70">
        <v>6.0</v>
      </c>
      <c r="AO14" s="69">
        <v>0.0</v>
      </c>
      <c r="AP14" s="68" t="s">
        <v>212</v>
      </c>
      <c r="AQ14" s="68" t="s">
        <v>213</v>
      </c>
      <c r="AR14" s="69">
        <v>0.0</v>
      </c>
      <c r="AS14" s="70">
        <v>0.0</v>
      </c>
      <c r="AT14" s="69">
        <v>0.0</v>
      </c>
      <c r="AU14" s="69">
        <v>70.8</v>
      </c>
      <c r="AV14" s="70">
        <v>3.0</v>
      </c>
      <c r="AW14" s="70">
        <v>6.0</v>
      </c>
      <c r="AX14" s="70" t="s">
        <v>214</v>
      </c>
      <c r="AY14" s="42" t="s">
        <v>246</v>
      </c>
    </row>
    <row r="15">
      <c r="A15" s="42" t="s">
        <v>247</v>
      </c>
      <c r="B15" s="63">
        <v>8.65</v>
      </c>
      <c r="C15" s="63">
        <v>0.0</v>
      </c>
      <c r="D15" s="63">
        <v>0.0</v>
      </c>
      <c r="E15" s="63">
        <v>1825.0</v>
      </c>
      <c r="F15" s="63">
        <v>1825.0</v>
      </c>
      <c r="G15" s="42" t="s">
        <v>188</v>
      </c>
      <c r="H15" s="63" t="s">
        <v>240</v>
      </c>
      <c r="I15" s="64"/>
      <c r="J15" s="42" t="s">
        <v>190</v>
      </c>
      <c r="K15" s="42" t="s">
        <v>206</v>
      </c>
      <c r="L15" s="65"/>
      <c r="M15" s="65"/>
      <c r="N15" s="65"/>
      <c r="O15" s="65"/>
      <c r="P15" s="42" t="s">
        <v>188</v>
      </c>
      <c r="Q15" s="42" t="s">
        <v>248</v>
      </c>
      <c r="R15" s="42" t="s">
        <v>190</v>
      </c>
      <c r="S15" s="42" t="s">
        <v>222</v>
      </c>
      <c r="T15" s="42" t="s">
        <v>219</v>
      </c>
      <c r="U15" s="64"/>
      <c r="V15" s="42" t="s">
        <v>223</v>
      </c>
      <c r="W15" s="64"/>
      <c r="X15" s="66" t="s">
        <v>196</v>
      </c>
      <c r="Y15" s="67" t="s">
        <v>197</v>
      </c>
      <c r="Z15" s="66" t="s">
        <v>198</v>
      </c>
      <c r="AA15" s="68" t="s">
        <v>190</v>
      </c>
      <c r="AB15" s="68" t="s">
        <v>199</v>
      </c>
      <c r="AC15" s="63">
        <v>10.0</v>
      </c>
      <c r="AD15" s="63">
        <v>100.0</v>
      </c>
      <c r="AE15" s="63">
        <v>90.0</v>
      </c>
      <c r="AF15" s="63">
        <v>50.0</v>
      </c>
      <c r="AG15" s="63">
        <v>74.0</v>
      </c>
      <c r="AH15" s="63">
        <v>13.15</v>
      </c>
      <c r="AI15" s="63">
        <v>11.9</v>
      </c>
      <c r="AJ15" s="63">
        <v>75.0</v>
      </c>
      <c r="AK15" s="63">
        <v>85.0</v>
      </c>
      <c r="AL15" s="69">
        <v>49.7</v>
      </c>
      <c r="AM15" s="70">
        <v>46.0</v>
      </c>
      <c r="AN15" s="70">
        <v>74.0</v>
      </c>
      <c r="AO15" s="69">
        <v>1825.0</v>
      </c>
      <c r="AP15" s="68" t="s">
        <v>212</v>
      </c>
      <c r="AQ15" s="68" t="s">
        <v>213</v>
      </c>
      <c r="AR15" s="69">
        <v>15.0</v>
      </c>
      <c r="AS15" s="70">
        <v>15.0</v>
      </c>
      <c r="AT15" s="69">
        <v>18.0</v>
      </c>
      <c r="AU15" s="69">
        <v>31.7</v>
      </c>
      <c r="AV15" s="70">
        <v>46.0</v>
      </c>
      <c r="AW15" s="70">
        <v>74.0</v>
      </c>
      <c r="AX15" s="70" t="s">
        <v>214</v>
      </c>
      <c r="AY15" s="42" t="s">
        <v>249</v>
      </c>
    </row>
    <row r="16">
      <c r="A16" s="42" t="s">
        <v>250</v>
      </c>
      <c r="B16" s="63">
        <v>8.68</v>
      </c>
      <c r="C16" s="63">
        <v>0.0</v>
      </c>
      <c r="D16" s="63">
        <v>0.0</v>
      </c>
      <c r="E16" s="63">
        <v>1095.0</v>
      </c>
      <c r="F16" s="63">
        <v>1095.0</v>
      </c>
      <c r="G16" s="42" t="s">
        <v>188</v>
      </c>
      <c r="H16" s="63" t="s">
        <v>240</v>
      </c>
      <c r="I16" s="64"/>
      <c r="J16" s="42" t="s">
        <v>190</v>
      </c>
      <c r="K16" s="42" t="s">
        <v>206</v>
      </c>
      <c r="L16" s="65"/>
      <c r="M16" s="65"/>
      <c r="N16" s="65"/>
      <c r="O16" s="65"/>
      <c r="P16" s="42" t="s">
        <v>188</v>
      </c>
      <c r="Q16" s="42" t="s">
        <v>248</v>
      </c>
      <c r="R16" s="42" t="s">
        <v>190</v>
      </c>
      <c r="S16" s="42" t="s">
        <v>225</v>
      </c>
      <c r="T16" s="42" t="s">
        <v>219</v>
      </c>
      <c r="U16" s="64"/>
      <c r="V16" s="42" t="s">
        <v>220</v>
      </c>
      <c r="W16" s="64"/>
      <c r="X16" s="66" t="s">
        <v>196</v>
      </c>
      <c r="Y16" s="67" t="s">
        <v>197</v>
      </c>
      <c r="Z16" s="66" t="s">
        <v>198</v>
      </c>
      <c r="AA16" s="68" t="s">
        <v>190</v>
      </c>
      <c r="AB16" s="68" t="s">
        <v>199</v>
      </c>
      <c r="AC16" s="63">
        <v>10.0</v>
      </c>
      <c r="AD16" s="63">
        <v>100.0</v>
      </c>
      <c r="AE16" s="63">
        <v>90.0</v>
      </c>
      <c r="AF16" s="63">
        <v>95.0</v>
      </c>
      <c r="AG16" s="63">
        <v>92.0</v>
      </c>
      <c r="AH16" s="63">
        <v>13.18</v>
      </c>
      <c r="AI16" s="63">
        <v>12.1</v>
      </c>
      <c r="AJ16" s="63">
        <v>75.0</v>
      </c>
      <c r="AK16" s="63">
        <v>85.0</v>
      </c>
      <c r="AL16" s="69">
        <v>53.3</v>
      </c>
      <c r="AM16" s="70">
        <v>31.0</v>
      </c>
      <c r="AN16" s="70">
        <v>59.0</v>
      </c>
      <c r="AO16" s="69">
        <v>1095.0</v>
      </c>
      <c r="AP16" s="68" t="s">
        <v>212</v>
      </c>
      <c r="AQ16" s="68" t="s">
        <v>213</v>
      </c>
      <c r="AR16" s="69">
        <v>10.0</v>
      </c>
      <c r="AS16" s="70">
        <v>10.0</v>
      </c>
      <c r="AT16" s="69">
        <v>18.0</v>
      </c>
      <c r="AU16" s="69">
        <v>35.3</v>
      </c>
      <c r="AV16" s="70">
        <v>40.0</v>
      </c>
      <c r="AW16" s="70">
        <v>68.0</v>
      </c>
      <c r="AX16" s="70" t="s">
        <v>214</v>
      </c>
      <c r="AY16" s="42" t="s">
        <v>249</v>
      </c>
    </row>
    <row r="17">
      <c r="A17" s="42" t="s">
        <v>251</v>
      </c>
      <c r="B17" s="63">
        <v>8.69</v>
      </c>
      <c r="C17" s="63">
        <v>0.0</v>
      </c>
      <c r="D17" s="63">
        <v>0.0</v>
      </c>
      <c r="E17" s="63">
        <v>1460.0</v>
      </c>
      <c r="F17" s="63">
        <v>1460.0</v>
      </c>
      <c r="G17" s="42" t="s">
        <v>188</v>
      </c>
      <c r="H17" s="63" t="s">
        <v>240</v>
      </c>
      <c r="I17" s="64"/>
      <c r="J17" s="42" t="s">
        <v>190</v>
      </c>
      <c r="K17" s="42" t="s">
        <v>206</v>
      </c>
      <c r="L17" s="65"/>
      <c r="M17" s="65"/>
      <c r="N17" s="65"/>
      <c r="O17" s="65"/>
      <c r="P17" s="42" t="s">
        <v>188</v>
      </c>
      <c r="Q17" s="42" t="s">
        <v>248</v>
      </c>
      <c r="R17" s="42" t="s">
        <v>190</v>
      </c>
      <c r="S17" s="42" t="s">
        <v>222</v>
      </c>
      <c r="T17" s="42" t="s">
        <v>219</v>
      </c>
      <c r="U17" s="64"/>
      <c r="V17" s="42" t="s">
        <v>223</v>
      </c>
      <c r="W17" s="64"/>
      <c r="X17" s="66" t="s">
        <v>196</v>
      </c>
      <c r="Y17" s="67" t="s">
        <v>197</v>
      </c>
      <c r="Z17" s="66" t="s">
        <v>198</v>
      </c>
      <c r="AA17" s="68" t="s">
        <v>190</v>
      </c>
      <c r="AB17" s="68" t="s">
        <v>199</v>
      </c>
      <c r="AC17" s="63">
        <v>10.0</v>
      </c>
      <c r="AD17" s="63">
        <v>100.0</v>
      </c>
      <c r="AE17" s="63">
        <v>90.0</v>
      </c>
      <c r="AF17" s="63">
        <v>50.0</v>
      </c>
      <c r="AG17" s="63">
        <v>74.0</v>
      </c>
      <c r="AH17" s="63">
        <v>13.19</v>
      </c>
      <c r="AI17" s="63">
        <v>12.2</v>
      </c>
      <c r="AJ17" s="63">
        <v>75.0</v>
      </c>
      <c r="AK17" s="63">
        <v>85.0</v>
      </c>
      <c r="AL17" s="69">
        <v>49.7</v>
      </c>
      <c r="AM17" s="70">
        <v>47.0</v>
      </c>
      <c r="AN17" s="70">
        <v>75.0</v>
      </c>
      <c r="AO17" s="69">
        <v>1460.0</v>
      </c>
      <c r="AP17" s="68" t="s">
        <v>212</v>
      </c>
      <c r="AQ17" s="68" t="s">
        <v>213</v>
      </c>
      <c r="AR17" s="69">
        <v>15.0</v>
      </c>
      <c r="AS17" s="70">
        <v>15.0</v>
      </c>
      <c r="AT17" s="69">
        <v>18.0</v>
      </c>
      <c r="AU17" s="69">
        <v>31.7</v>
      </c>
      <c r="AV17" s="70">
        <v>47.0</v>
      </c>
      <c r="AW17" s="70">
        <v>75.0</v>
      </c>
      <c r="AX17" s="70" t="s">
        <v>214</v>
      </c>
      <c r="AY17" s="42" t="s">
        <v>249</v>
      </c>
    </row>
    <row r="18">
      <c r="A18" s="42" t="s">
        <v>252</v>
      </c>
      <c r="B18" s="63">
        <v>9.01</v>
      </c>
      <c r="C18" s="63">
        <v>0.0</v>
      </c>
      <c r="D18" s="63">
        <v>0.0</v>
      </c>
      <c r="E18" s="63">
        <v>730.0</v>
      </c>
      <c r="F18" s="63">
        <v>730.0</v>
      </c>
      <c r="G18" s="42" t="s">
        <v>188</v>
      </c>
      <c r="H18" s="63" t="s">
        <v>240</v>
      </c>
      <c r="I18" s="64"/>
      <c r="J18" s="42" t="s">
        <v>190</v>
      </c>
      <c r="K18" s="42" t="s">
        <v>206</v>
      </c>
      <c r="L18" s="65"/>
      <c r="M18" s="65"/>
      <c r="N18" s="65"/>
      <c r="O18" s="65"/>
      <c r="P18" s="42" t="s">
        <v>188</v>
      </c>
      <c r="Q18" s="42" t="s">
        <v>248</v>
      </c>
      <c r="R18" s="42" t="s">
        <v>190</v>
      </c>
      <c r="S18" s="42" t="s">
        <v>225</v>
      </c>
      <c r="T18" s="42" t="s">
        <v>219</v>
      </c>
      <c r="U18" s="64"/>
      <c r="V18" s="42" t="s">
        <v>220</v>
      </c>
      <c r="W18" s="64"/>
      <c r="X18" s="74" t="s">
        <v>243</v>
      </c>
      <c r="Y18" s="67" t="s">
        <v>197</v>
      </c>
      <c r="Z18" s="74" t="s">
        <v>198</v>
      </c>
      <c r="AA18" s="68" t="s">
        <v>190</v>
      </c>
      <c r="AB18" s="68" t="s">
        <v>199</v>
      </c>
      <c r="AC18" s="63">
        <v>10.0</v>
      </c>
      <c r="AD18" s="63">
        <v>100.0</v>
      </c>
      <c r="AE18" s="63">
        <v>90.0</v>
      </c>
      <c r="AF18" s="63">
        <v>95.0</v>
      </c>
      <c r="AG18" s="63">
        <v>92.0</v>
      </c>
      <c r="AH18" s="63">
        <v>13.51</v>
      </c>
      <c r="AI18" s="63">
        <v>14.3</v>
      </c>
      <c r="AJ18" s="63">
        <v>75.0</v>
      </c>
      <c r="AK18" s="63">
        <v>85.0</v>
      </c>
      <c r="AL18" s="69">
        <v>53.8</v>
      </c>
      <c r="AM18" s="70">
        <v>28.0</v>
      </c>
      <c r="AN18" s="70">
        <v>56.0</v>
      </c>
      <c r="AO18" s="69">
        <v>730.0</v>
      </c>
      <c r="AP18" s="68" t="s">
        <v>212</v>
      </c>
      <c r="AQ18" s="68" t="s">
        <v>213</v>
      </c>
      <c r="AR18" s="69">
        <v>9.0</v>
      </c>
      <c r="AS18" s="70">
        <v>10.0</v>
      </c>
      <c r="AT18" s="69">
        <v>18.0</v>
      </c>
      <c r="AU18" s="69">
        <v>35.8</v>
      </c>
      <c r="AV18" s="70">
        <v>38.0</v>
      </c>
      <c r="AW18" s="70">
        <v>66.0</v>
      </c>
      <c r="AX18" s="70" t="s">
        <v>214</v>
      </c>
      <c r="AY18" s="42" t="s">
        <v>249</v>
      </c>
    </row>
    <row r="19">
      <c r="A19" s="42" t="s">
        <v>253</v>
      </c>
      <c r="B19" s="63">
        <v>14.84</v>
      </c>
      <c r="C19" s="63">
        <v>0.0</v>
      </c>
      <c r="D19" s="63">
        <v>0.0</v>
      </c>
      <c r="E19" s="63">
        <v>1095.0</v>
      </c>
      <c r="F19" s="63">
        <v>1095.0</v>
      </c>
      <c r="G19" s="42" t="s">
        <v>188</v>
      </c>
      <c r="H19" s="63" t="s">
        <v>240</v>
      </c>
      <c r="I19" s="64"/>
      <c r="J19" s="42" t="s">
        <v>190</v>
      </c>
      <c r="K19" s="42" t="s">
        <v>206</v>
      </c>
      <c r="L19" s="65"/>
      <c r="M19" s="65"/>
      <c r="N19" s="65"/>
      <c r="O19" s="65"/>
      <c r="P19" s="42" t="s">
        <v>188</v>
      </c>
      <c r="Q19" s="42" t="s">
        <v>254</v>
      </c>
      <c r="R19" s="42" t="s">
        <v>190</v>
      </c>
      <c r="S19" s="42" t="s">
        <v>225</v>
      </c>
      <c r="T19" s="42" t="s">
        <v>219</v>
      </c>
      <c r="U19" s="64"/>
      <c r="V19" s="42" t="s">
        <v>220</v>
      </c>
      <c r="W19" s="64"/>
      <c r="X19" s="66" t="s">
        <v>196</v>
      </c>
      <c r="Y19" s="67" t="s">
        <v>197</v>
      </c>
      <c r="Z19" s="66" t="s">
        <v>198</v>
      </c>
      <c r="AA19" s="68" t="s">
        <v>190</v>
      </c>
      <c r="AB19" s="68" t="s">
        <v>199</v>
      </c>
      <c r="AC19" s="63">
        <v>10.0</v>
      </c>
      <c r="AD19" s="63">
        <v>100.0</v>
      </c>
      <c r="AE19" s="63">
        <v>90.0</v>
      </c>
      <c r="AF19" s="63">
        <v>95.0</v>
      </c>
      <c r="AG19" s="63">
        <v>92.0</v>
      </c>
      <c r="AH19" s="63">
        <v>14.84</v>
      </c>
      <c r="AI19" s="63">
        <v>23.0</v>
      </c>
      <c r="AJ19" s="63">
        <v>75.0</v>
      </c>
      <c r="AK19" s="63">
        <v>85.0</v>
      </c>
      <c r="AL19" s="69">
        <v>55.7</v>
      </c>
      <c r="AM19" s="70">
        <v>24.0</v>
      </c>
      <c r="AN19" s="70">
        <v>50.0</v>
      </c>
      <c r="AO19" s="69">
        <v>1095.0</v>
      </c>
      <c r="AP19" s="68" t="s">
        <v>212</v>
      </c>
      <c r="AQ19" s="68" t="s">
        <v>213</v>
      </c>
      <c r="AR19" s="69">
        <v>6.0</v>
      </c>
      <c r="AS19" s="70">
        <v>4.0</v>
      </c>
      <c r="AT19" s="69">
        <v>18.0</v>
      </c>
      <c r="AU19" s="69">
        <v>37.7</v>
      </c>
      <c r="AV19" s="70">
        <v>36.0</v>
      </c>
      <c r="AW19" s="70">
        <v>63.0</v>
      </c>
      <c r="AX19" s="70" t="s">
        <v>214</v>
      </c>
      <c r="AY19" s="42" t="s">
        <v>255</v>
      </c>
    </row>
    <row r="20">
      <c r="A20" s="42" t="s">
        <v>256</v>
      </c>
      <c r="B20" s="63">
        <v>14.88</v>
      </c>
      <c r="C20" s="63">
        <v>0.0</v>
      </c>
      <c r="D20" s="63">
        <v>0.0</v>
      </c>
      <c r="E20" s="63">
        <v>730.0</v>
      </c>
      <c r="F20" s="63">
        <v>730.0</v>
      </c>
      <c r="G20" s="42" t="s">
        <v>188</v>
      </c>
      <c r="H20" s="63" t="s">
        <v>240</v>
      </c>
      <c r="I20" s="64"/>
      <c r="J20" s="42" t="s">
        <v>190</v>
      </c>
      <c r="K20" s="42" t="s">
        <v>206</v>
      </c>
      <c r="L20" s="65"/>
      <c r="M20" s="65"/>
      <c r="N20" s="65"/>
      <c r="O20" s="65"/>
      <c r="P20" s="42" t="s">
        <v>188</v>
      </c>
      <c r="Q20" s="42" t="s">
        <v>254</v>
      </c>
      <c r="R20" s="42" t="s">
        <v>190</v>
      </c>
      <c r="S20" s="42" t="s">
        <v>225</v>
      </c>
      <c r="T20" s="42" t="s">
        <v>219</v>
      </c>
      <c r="U20" s="64"/>
      <c r="V20" s="42" t="s">
        <v>220</v>
      </c>
      <c r="W20" s="64"/>
      <c r="X20" s="66" t="s">
        <v>196</v>
      </c>
      <c r="Y20" s="67" t="s">
        <v>197</v>
      </c>
      <c r="Z20" s="66" t="s">
        <v>198</v>
      </c>
      <c r="AA20" s="68" t="s">
        <v>190</v>
      </c>
      <c r="AB20" s="68" t="s">
        <v>199</v>
      </c>
      <c r="AC20" s="63">
        <v>10.0</v>
      </c>
      <c r="AD20" s="63">
        <v>100.0</v>
      </c>
      <c r="AE20" s="63">
        <v>90.0</v>
      </c>
      <c r="AF20" s="63">
        <v>95.0</v>
      </c>
      <c r="AG20" s="63">
        <v>92.0</v>
      </c>
      <c r="AH20" s="63">
        <v>14.88</v>
      </c>
      <c r="AI20" s="63">
        <v>23.2</v>
      </c>
      <c r="AJ20" s="63">
        <v>75.0</v>
      </c>
      <c r="AK20" s="63">
        <v>85.0</v>
      </c>
      <c r="AL20" s="69">
        <v>55.8</v>
      </c>
      <c r="AM20" s="70">
        <v>23.0</v>
      </c>
      <c r="AN20" s="70">
        <v>49.0</v>
      </c>
      <c r="AO20" s="69">
        <v>730.0</v>
      </c>
      <c r="AP20" s="68" t="s">
        <v>212</v>
      </c>
      <c r="AQ20" s="68" t="s">
        <v>213</v>
      </c>
      <c r="AR20" s="69">
        <v>6.0</v>
      </c>
      <c r="AS20" s="70">
        <v>3.0</v>
      </c>
      <c r="AT20" s="69">
        <v>18.0</v>
      </c>
      <c r="AU20" s="69">
        <v>37.8</v>
      </c>
      <c r="AV20" s="70">
        <v>35.0</v>
      </c>
      <c r="AW20" s="70">
        <v>62.0</v>
      </c>
      <c r="AX20" s="70" t="s">
        <v>214</v>
      </c>
      <c r="AY20" s="42" t="s">
        <v>255</v>
      </c>
    </row>
    <row r="21">
      <c r="A21" s="42" t="s">
        <v>257</v>
      </c>
      <c r="B21" s="63">
        <v>14.9</v>
      </c>
      <c r="C21" s="63">
        <v>0.0</v>
      </c>
      <c r="D21" s="63">
        <v>0.0</v>
      </c>
      <c r="E21" s="63">
        <v>1460.0</v>
      </c>
      <c r="F21" s="63">
        <v>1460.0</v>
      </c>
      <c r="G21" s="42" t="s">
        <v>188</v>
      </c>
      <c r="H21" s="63" t="s">
        <v>240</v>
      </c>
      <c r="I21" s="64"/>
      <c r="J21" s="42" t="s">
        <v>190</v>
      </c>
      <c r="K21" s="42" t="s">
        <v>206</v>
      </c>
      <c r="L21" s="65"/>
      <c r="M21" s="65"/>
      <c r="N21" s="65"/>
      <c r="O21" s="65"/>
      <c r="P21" s="42" t="s">
        <v>188</v>
      </c>
      <c r="Q21" s="42" t="s">
        <v>254</v>
      </c>
      <c r="R21" s="42" t="s">
        <v>190</v>
      </c>
      <c r="S21" s="42" t="s">
        <v>222</v>
      </c>
      <c r="T21" s="42" t="s">
        <v>219</v>
      </c>
      <c r="U21" s="64"/>
      <c r="V21" s="42" t="s">
        <v>223</v>
      </c>
      <c r="W21" s="64"/>
      <c r="X21" s="66" t="s">
        <v>196</v>
      </c>
      <c r="Y21" s="67" t="s">
        <v>197</v>
      </c>
      <c r="Z21" s="66" t="s">
        <v>198</v>
      </c>
      <c r="AA21" s="68" t="s">
        <v>190</v>
      </c>
      <c r="AB21" s="68" t="s">
        <v>199</v>
      </c>
      <c r="AC21" s="63">
        <v>10.0</v>
      </c>
      <c r="AD21" s="63">
        <v>100.0</v>
      </c>
      <c r="AE21" s="63">
        <v>90.0</v>
      </c>
      <c r="AF21" s="63">
        <v>50.0</v>
      </c>
      <c r="AG21" s="63">
        <v>74.0</v>
      </c>
      <c r="AH21" s="63">
        <v>14.9</v>
      </c>
      <c r="AI21" s="63">
        <v>23.4</v>
      </c>
      <c r="AJ21" s="63">
        <v>75.0</v>
      </c>
      <c r="AK21" s="63">
        <v>85.0</v>
      </c>
      <c r="AL21" s="69">
        <v>52.2</v>
      </c>
      <c r="AM21" s="70">
        <v>35.0</v>
      </c>
      <c r="AN21" s="70">
        <v>63.0</v>
      </c>
      <c r="AO21" s="69">
        <v>1460.0</v>
      </c>
      <c r="AP21" s="68" t="s">
        <v>212</v>
      </c>
      <c r="AQ21" s="68" t="s">
        <v>213</v>
      </c>
      <c r="AR21" s="69">
        <v>9.0</v>
      </c>
      <c r="AS21" s="70">
        <v>5.0</v>
      </c>
      <c r="AT21" s="69">
        <v>18.0</v>
      </c>
      <c r="AU21" s="69">
        <v>34.2</v>
      </c>
      <c r="AV21" s="70">
        <v>43.0</v>
      </c>
      <c r="AW21" s="70">
        <v>71.0</v>
      </c>
      <c r="AX21" s="70" t="s">
        <v>214</v>
      </c>
      <c r="AY21" s="42" t="s">
        <v>255</v>
      </c>
    </row>
    <row r="22">
      <c r="A22" s="42" t="s">
        <v>258</v>
      </c>
      <c r="B22" s="63">
        <v>14.96</v>
      </c>
      <c r="C22" s="63">
        <v>0.0</v>
      </c>
      <c r="D22" s="63">
        <v>0.0</v>
      </c>
      <c r="E22" s="63">
        <v>1825.0</v>
      </c>
      <c r="F22" s="63">
        <v>1825.0</v>
      </c>
      <c r="G22" s="42" t="s">
        <v>188</v>
      </c>
      <c r="H22" s="63" t="s">
        <v>240</v>
      </c>
      <c r="I22" s="64"/>
      <c r="J22" s="42" t="s">
        <v>190</v>
      </c>
      <c r="K22" s="42" t="s">
        <v>206</v>
      </c>
      <c r="L22" s="65"/>
      <c r="M22" s="65"/>
      <c r="N22" s="65"/>
      <c r="O22" s="65"/>
      <c r="P22" s="42" t="s">
        <v>188</v>
      </c>
      <c r="Q22" s="42" t="s">
        <v>254</v>
      </c>
      <c r="R22" s="42" t="s">
        <v>190</v>
      </c>
      <c r="S22" s="42" t="s">
        <v>222</v>
      </c>
      <c r="T22" s="42" t="s">
        <v>219</v>
      </c>
      <c r="U22" s="64"/>
      <c r="V22" s="42" t="s">
        <v>223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10.0</v>
      </c>
      <c r="AD22" s="63">
        <v>100.0</v>
      </c>
      <c r="AE22" s="63">
        <v>90.0</v>
      </c>
      <c r="AF22" s="63">
        <v>50.0</v>
      </c>
      <c r="AG22" s="63">
        <v>74.0</v>
      </c>
      <c r="AH22" s="63">
        <v>14.96</v>
      </c>
      <c r="AI22" s="63">
        <v>23.8</v>
      </c>
      <c r="AJ22" s="63">
        <v>75.0</v>
      </c>
      <c r="AK22" s="63">
        <v>85.0</v>
      </c>
      <c r="AL22" s="69">
        <v>52.3</v>
      </c>
      <c r="AM22" s="70">
        <v>34.0</v>
      </c>
      <c r="AN22" s="70">
        <v>62.0</v>
      </c>
      <c r="AO22" s="69">
        <v>1825.0</v>
      </c>
      <c r="AP22" s="68" t="s">
        <v>212</v>
      </c>
      <c r="AQ22" s="68" t="s">
        <v>213</v>
      </c>
      <c r="AR22" s="69">
        <v>8.0</v>
      </c>
      <c r="AS22" s="70">
        <v>5.0</v>
      </c>
      <c r="AT22" s="69">
        <v>18.0</v>
      </c>
      <c r="AU22" s="69">
        <v>34.3</v>
      </c>
      <c r="AV22" s="70">
        <v>42.0</v>
      </c>
      <c r="AW22" s="70">
        <v>70.0</v>
      </c>
      <c r="AX22" s="70" t="s">
        <v>214</v>
      </c>
      <c r="AY22" s="42" t="s">
        <v>255</v>
      </c>
    </row>
    <row r="23">
      <c r="A23" s="42" t="s">
        <v>259</v>
      </c>
      <c r="B23" s="63">
        <v>107.0</v>
      </c>
      <c r="C23" s="63">
        <v>0.0</v>
      </c>
      <c r="D23" s="63">
        <v>0.0</v>
      </c>
      <c r="E23" s="63">
        <v>1096.0</v>
      </c>
      <c r="F23" s="63">
        <v>0.0</v>
      </c>
      <c r="G23" s="42" t="s">
        <v>188</v>
      </c>
      <c r="H23" s="63" t="s">
        <v>240</v>
      </c>
      <c r="I23" s="63">
        <v>5.0E8</v>
      </c>
      <c r="J23" s="42" t="s">
        <v>190</v>
      </c>
      <c r="K23" s="42" t="s">
        <v>206</v>
      </c>
      <c r="L23" s="65"/>
      <c r="M23" s="65"/>
      <c r="N23" s="65"/>
      <c r="O23" s="65"/>
      <c r="P23" s="42" t="s">
        <v>188</v>
      </c>
      <c r="Q23" s="42" t="s">
        <v>260</v>
      </c>
      <c r="R23" s="42" t="s">
        <v>190</v>
      </c>
      <c r="S23" s="42" t="s">
        <v>261</v>
      </c>
      <c r="T23" s="42" t="s">
        <v>219</v>
      </c>
      <c r="U23" s="64"/>
      <c r="V23" s="42" t="s">
        <v>195</v>
      </c>
      <c r="W23" s="64"/>
      <c r="X23" s="74" t="s">
        <v>243</v>
      </c>
      <c r="Y23" s="75" t="s">
        <v>262</v>
      </c>
      <c r="Z23" s="74" t="s">
        <v>244</v>
      </c>
      <c r="AA23" s="68" t="s">
        <v>190</v>
      </c>
      <c r="AB23" s="68" t="s">
        <v>245</v>
      </c>
      <c r="AC23" s="63">
        <v>100.0</v>
      </c>
      <c r="AD23" s="63">
        <v>100.0</v>
      </c>
      <c r="AE23" s="63">
        <v>90.0</v>
      </c>
      <c r="AF23" s="63">
        <v>60.0</v>
      </c>
      <c r="AG23" s="63">
        <v>78.0</v>
      </c>
      <c r="AH23" s="63">
        <v>0.6</v>
      </c>
      <c r="AI23" s="63">
        <v>0.0</v>
      </c>
      <c r="AJ23" s="63">
        <v>51.0</v>
      </c>
      <c r="AK23" s="63">
        <v>85.0</v>
      </c>
      <c r="AL23" s="69">
        <v>68.0</v>
      </c>
      <c r="AM23" s="70">
        <v>6.0</v>
      </c>
      <c r="AN23" s="70">
        <v>9.0</v>
      </c>
      <c r="AO23" s="69">
        <v>0.0</v>
      </c>
      <c r="AP23" s="68" t="s">
        <v>212</v>
      </c>
      <c r="AQ23" s="68" t="s">
        <v>213</v>
      </c>
      <c r="AR23" s="69">
        <v>2.0</v>
      </c>
      <c r="AS23" s="70">
        <v>2.0</v>
      </c>
      <c r="AT23" s="69">
        <v>14.0</v>
      </c>
      <c r="AU23" s="69">
        <v>54.0</v>
      </c>
      <c r="AV23" s="70">
        <v>9.0</v>
      </c>
      <c r="AW23" s="70">
        <v>28.0</v>
      </c>
      <c r="AX23" s="70" t="s">
        <v>214</v>
      </c>
      <c r="AY23" s="42" t="s">
        <v>263</v>
      </c>
    </row>
    <row r="24">
      <c r="A24" s="42" t="s">
        <v>264</v>
      </c>
      <c r="B24" s="63">
        <v>15.0</v>
      </c>
      <c r="C24" s="63">
        <v>0.0</v>
      </c>
      <c r="D24" s="63">
        <v>0.0</v>
      </c>
      <c r="E24" s="63">
        <v>90.0</v>
      </c>
      <c r="F24" s="63">
        <v>90.0</v>
      </c>
      <c r="G24" s="42" t="s">
        <v>188</v>
      </c>
      <c r="H24" s="63" t="s">
        <v>233</v>
      </c>
      <c r="I24" s="64"/>
      <c r="J24" s="42" t="s">
        <v>190</v>
      </c>
      <c r="K24" s="42" t="s">
        <v>206</v>
      </c>
      <c r="L24" s="65"/>
      <c r="M24" s="65"/>
      <c r="N24" s="65"/>
      <c r="O24" s="65"/>
      <c r="P24" s="42" t="s">
        <v>188</v>
      </c>
      <c r="Q24" s="42" t="s">
        <v>265</v>
      </c>
      <c r="R24" s="42" t="s">
        <v>190</v>
      </c>
      <c r="S24" s="42" t="s">
        <v>266</v>
      </c>
      <c r="T24" s="42" t="s">
        <v>267</v>
      </c>
      <c r="U24" s="64"/>
      <c r="V24" s="42" t="s">
        <v>220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211</v>
      </c>
      <c r="AC24" s="63">
        <v>45.0</v>
      </c>
      <c r="AD24" s="63">
        <v>80.0</v>
      </c>
      <c r="AE24" s="63">
        <v>90.0</v>
      </c>
      <c r="AF24" s="63">
        <v>95.0</v>
      </c>
      <c r="AG24" s="63">
        <v>92.0</v>
      </c>
      <c r="AH24" s="63">
        <v>15.0</v>
      </c>
      <c r="AI24" s="63">
        <v>24.0</v>
      </c>
      <c r="AJ24" s="63">
        <v>75.0</v>
      </c>
      <c r="AK24" s="63">
        <v>85.0</v>
      </c>
      <c r="AL24" s="69">
        <v>61.1</v>
      </c>
      <c r="AM24" s="70">
        <v>8.0</v>
      </c>
      <c r="AN24" s="70">
        <v>24.0</v>
      </c>
      <c r="AO24" s="69">
        <v>90.0</v>
      </c>
      <c r="AP24" s="68" t="s">
        <v>212</v>
      </c>
      <c r="AQ24" s="68" t="s">
        <v>213</v>
      </c>
      <c r="AR24" s="69">
        <v>2.0</v>
      </c>
      <c r="AS24" s="70">
        <v>1.0</v>
      </c>
      <c r="AT24" s="69">
        <v>14.0</v>
      </c>
      <c r="AU24" s="69">
        <v>47.1</v>
      </c>
      <c r="AV24" s="70">
        <v>9.0</v>
      </c>
      <c r="AW24" s="70">
        <v>47.0</v>
      </c>
      <c r="AX24" s="70" t="s">
        <v>214</v>
      </c>
      <c r="AY24" s="42" t="s">
        <v>255</v>
      </c>
    </row>
    <row r="25">
      <c r="A25" s="42" t="s">
        <v>268</v>
      </c>
      <c r="B25" s="63">
        <v>140.0</v>
      </c>
      <c r="C25" s="63">
        <v>0.0</v>
      </c>
      <c r="D25" s="63">
        <v>0.0</v>
      </c>
      <c r="E25" s="63">
        <v>360.0</v>
      </c>
      <c r="F25" s="63">
        <v>360.0</v>
      </c>
      <c r="G25" s="42" t="s">
        <v>188</v>
      </c>
      <c r="H25" s="63" t="s">
        <v>233</v>
      </c>
      <c r="I25" s="64"/>
      <c r="J25" s="42" t="s">
        <v>190</v>
      </c>
      <c r="K25" s="42" t="s">
        <v>206</v>
      </c>
      <c r="L25" s="65"/>
      <c r="M25" s="65"/>
      <c r="N25" s="65"/>
      <c r="O25" s="65"/>
      <c r="P25" s="42" t="s">
        <v>188</v>
      </c>
      <c r="Q25" s="42" t="s">
        <v>207</v>
      </c>
      <c r="R25" s="42" t="s">
        <v>190</v>
      </c>
      <c r="S25" s="42" t="s">
        <v>269</v>
      </c>
      <c r="T25" s="42" t="s">
        <v>270</v>
      </c>
      <c r="U25" s="64"/>
      <c r="V25" s="42" t="s">
        <v>195</v>
      </c>
      <c r="W25" s="64"/>
      <c r="X25" s="66" t="s">
        <v>196</v>
      </c>
      <c r="Y25" s="67" t="s">
        <v>197</v>
      </c>
      <c r="Z25" s="66" t="s">
        <v>244</v>
      </c>
      <c r="AA25" s="68" t="s">
        <v>190</v>
      </c>
      <c r="AB25" s="68" t="s">
        <v>199</v>
      </c>
      <c r="AC25" s="63">
        <v>25.0</v>
      </c>
      <c r="AD25" s="63">
        <v>80.0</v>
      </c>
      <c r="AE25" s="63">
        <v>90.0</v>
      </c>
      <c r="AF25" s="63">
        <v>60.0</v>
      </c>
      <c r="AG25" s="63">
        <v>78.0</v>
      </c>
      <c r="AH25" s="63">
        <v>19.6</v>
      </c>
      <c r="AI25" s="63">
        <v>54.2</v>
      </c>
      <c r="AJ25" s="63">
        <v>75.0</v>
      </c>
      <c r="AK25" s="63">
        <v>85.0</v>
      </c>
      <c r="AL25" s="69">
        <v>59.9</v>
      </c>
      <c r="AM25" s="70">
        <v>4.0</v>
      </c>
      <c r="AN25" s="70">
        <v>27.0</v>
      </c>
      <c r="AO25" s="69">
        <v>360.0</v>
      </c>
      <c r="AP25" s="68" t="s">
        <v>212</v>
      </c>
      <c r="AQ25" s="68" t="s">
        <v>213</v>
      </c>
      <c r="AR25" s="69">
        <v>0.0</v>
      </c>
      <c r="AS25" s="70">
        <v>0.0</v>
      </c>
      <c r="AT25" s="69">
        <v>0.0</v>
      </c>
      <c r="AU25" s="69">
        <v>59.9</v>
      </c>
      <c r="AV25" s="70">
        <v>2.0</v>
      </c>
      <c r="AW25" s="70">
        <v>17.0</v>
      </c>
      <c r="AX25" s="70" t="s">
        <v>214</v>
      </c>
      <c r="AY25" s="42" t="s">
        <v>215</v>
      </c>
    </row>
    <row r="26">
      <c r="A26" s="42" t="s">
        <v>271</v>
      </c>
      <c r="B26" s="63">
        <v>106.0</v>
      </c>
      <c r="C26" s="63">
        <v>0.0</v>
      </c>
      <c r="D26" s="63">
        <v>0.0</v>
      </c>
      <c r="E26" s="63">
        <v>91.0</v>
      </c>
      <c r="F26" s="63">
        <v>31.0</v>
      </c>
      <c r="G26" s="42" t="s">
        <v>188</v>
      </c>
      <c r="H26" s="63" t="s">
        <v>272</v>
      </c>
      <c r="I26" s="64"/>
      <c r="J26" s="42" t="s">
        <v>190</v>
      </c>
      <c r="K26" s="42" t="s">
        <v>206</v>
      </c>
      <c r="L26" s="65"/>
      <c r="M26" s="65"/>
      <c r="N26" s="65"/>
      <c r="O26" s="65"/>
      <c r="P26" s="42" t="s">
        <v>188</v>
      </c>
      <c r="Q26" s="42" t="s">
        <v>207</v>
      </c>
      <c r="R26" s="42" t="s">
        <v>190</v>
      </c>
      <c r="S26" s="42" t="s">
        <v>273</v>
      </c>
      <c r="T26" s="42" t="s">
        <v>274</v>
      </c>
      <c r="U26" s="64"/>
      <c r="V26" s="42" t="s">
        <v>195</v>
      </c>
      <c r="W26" s="64"/>
      <c r="X26" s="76" t="s">
        <v>275</v>
      </c>
      <c r="Y26" s="67" t="s">
        <v>197</v>
      </c>
      <c r="Z26" s="76" t="s">
        <v>244</v>
      </c>
      <c r="AA26" s="68" t="s">
        <v>190</v>
      </c>
      <c r="AB26" s="68" t="s">
        <v>276</v>
      </c>
      <c r="AC26" s="63">
        <v>65.0</v>
      </c>
      <c r="AD26" s="63">
        <v>100.0</v>
      </c>
      <c r="AE26" s="63">
        <v>90.0</v>
      </c>
      <c r="AF26" s="63">
        <v>60.0</v>
      </c>
      <c r="AG26" s="63">
        <v>78.0</v>
      </c>
      <c r="AH26" s="63">
        <v>14.84</v>
      </c>
      <c r="AI26" s="63">
        <v>23.0</v>
      </c>
      <c r="AJ26" s="63">
        <v>75.0</v>
      </c>
      <c r="AK26" s="63">
        <v>85.0</v>
      </c>
      <c r="AL26" s="69">
        <v>66.7</v>
      </c>
      <c r="AM26" s="70">
        <v>3.0</v>
      </c>
      <c r="AN26" s="70">
        <v>11.0</v>
      </c>
      <c r="AO26" s="69">
        <v>31.0</v>
      </c>
      <c r="AP26" s="68" t="s">
        <v>212</v>
      </c>
      <c r="AQ26" s="68" t="s">
        <v>213</v>
      </c>
      <c r="AR26" s="69">
        <v>0.0</v>
      </c>
      <c r="AS26" s="70">
        <v>0.0</v>
      </c>
      <c r="AT26" s="69">
        <v>0.0</v>
      </c>
      <c r="AU26" s="69">
        <v>66.7</v>
      </c>
      <c r="AV26" s="70">
        <v>2.0</v>
      </c>
      <c r="AW26" s="70">
        <v>8.0</v>
      </c>
      <c r="AX26" s="70" t="s">
        <v>214</v>
      </c>
      <c r="AY26" s="42" t="s">
        <v>215</v>
      </c>
    </row>
    <row r="27">
      <c r="A27" s="42" t="s">
        <v>277</v>
      </c>
      <c r="B27" s="63">
        <v>100.0</v>
      </c>
      <c r="C27" s="63">
        <v>113.0</v>
      </c>
      <c r="D27" s="63">
        <v>0.0</v>
      </c>
      <c r="E27" s="63">
        <v>730.0</v>
      </c>
      <c r="F27" s="63">
        <v>0.0</v>
      </c>
      <c r="G27" s="42" t="s">
        <v>188</v>
      </c>
      <c r="H27" s="63" t="s">
        <v>272</v>
      </c>
      <c r="I27" s="64"/>
      <c r="J27" s="42" t="s">
        <v>190</v>
      </c>
      <c r="K27" s="42" t="s">
        <v>206</v>
      </c>
      <c r="L27" s="65"/>
      <c r="M27" s="65"/>
      <c r="N27" s="65"/>
      <c r="O27" s="65"/>
      <c r="P27" s="42" t="s">
        <v>188</v>
      </c>
      <c r="Q27" s="42" t="s">
        <v>241</v>
      </c>
      <c r="R27" s="42" t="s">
        <v>190</v>
      </c>
      <c r="S27" s="42" t="s">
        <v>278</v>
      </c>
      <c r="T27" s="42" t="s">
        <v>279</v>
      </c>
      <c r="U27" s="64"/>
      <c r="V27" s="42" t="s">
        <v>220</v>
      </c>
      <c r="W27" s="64"/>
      <c r="X27" s="66" t="s">
        <v>196</v>
      </c>
      <c r="Y27" s="67" t="s">
        <v>197</v>
      </c>
      <c r="Z27" s="66" t="s">
        <v>244</v>
      </c>
      <c r="AA27" s="68" t="s">
        <v>190</v>
      </c>
      <c r="AB27" s="68" t="s">
        <v>245</v>
      </c>
      <c r="AC27" s="63">
        <v>100.0</v>
      </c>
      <c r="AD27" s="63">
        <v>100.0</v>
      </c>
      <c r="AE27" s="63">
        <v>90.0</v>
      </c>
      <c r="AF27" s="63">
        <v>95.0</v>
      </c>
      <c r="AG27" s="63">
        <v>92.0</v>
      </c>
      <c r="AH27" s="63">
        <v>0.56</v>
      </c>
      <c r="AI27" s="63">
        <v>0.0</v>
      </c>
      <c r="AJ27" s="63">
        <v>51.0</v>
      </c>
      <c r="AK27" s="63">
        <v>85.0</v>
      </c>
      <c r="AL27" s="69">
        <v>70.8</v>
      </c>
      <c r="AM27" s="70">
        <v>4.0</v>
      </c>
      <c r="AN27" s="70">
        <v>7.0</v>
      </c>
      <c r="AO27" s="69">
        <v>0.0</v>
      </c>
      <c r="AP27" s="68" t="s">
        <v>212</v>
      </c>
      <c r="AQ27" s="68" t="s">
        <v>213</v>
      </c>
      <c r="AR27" s="69">
        <v>2.0</v>
      </c>
      <c r="AS27" s="70">
        <v>0.0</v>
      </c>
      <c r="AT27" s="69">
        <v>14.0</v>
      </c>
      <c r="AU27" s="69">
        <v>56.8</v>
      </c>
      <c r="AV27" s="70">
        <v>7.0</v>
      </c>
      <c r="AW27" s="70">
        <v>21.0</v>
      </c>
      <c r="AX27" s="70" t="s">
        <v>214</v>
      </c>
      <c r="AY27" s="42" t="s">
        <v>246</v>
      </c>
    </row>
    <row r="28">
      <c r="A28" s="42" t="s">
        <v>280</v>
      </c>
      <c r="B28" s="63">
        <v>112.0</v>
      </c>
      <c r="C28" s="63">
        <v>0.0</v>
      </c>
      <c r="D28" s="63">
        <v>0.0</v>
      </c>
      <c r="E28" s="63">
        <v>90.0</v>
      </c>
      <c r="F28" s="63">
        <v>90.0</v>
      </c>
      <c r="G28" s="42" t="s">
        <v>188</v>
      </c>
      <c r="H28" s="63" t="s">
        <v>189</v>
      </c>
      <c r="I28" s="63">
        <v>500000.0</v>
      </c>
      <c r="J28" s="42" t="s">
        <v>190</v>
      </c>
      <c r="K28" s="42" t="s">
        <v>206</v>
      </c>
      <c r="L28" s="65"/>
      <c r="M28" s="65"/>
      <c r="N28" s="65"/>
      <c r="O28" s="65"/>
      <c r="P28" s="42" t="s">
        <v>188</v>
      </c>
      <c r="Q28" s="42" t="s">
        <v>207</v>
      </c>
      <c r="R28" s="42" t="s">
        <v>190</v>
      </c>
      <c r="S28" s="42" t="s">
        <v>281</v>
      </c>
      <c r="T28" s="42" t="s">
        <v>279</v>
      </c>
      <c r="U28" s="64"/>
      <c r="V28" s="42" t="s">
        <v>220</v>
      </c>
      <c r="W28" s="64"/>
      <c r="X28" s="74" t="s">
        <v>243</v>
      </c>
      <c r="Y28" s="75" t="s">
        <v>262</v>
      </c>
      <c r="Z28" s="74" t="s">
        <v>244</v>
      </c>
      <c r="AA28" s="68" t="s">
        <v>190</v>
      </c>
      <c r="AB28" s="68" t="s">
        <v>211</v>
      </c>
      <c r="AC28" s="63">
        <v>45.0</v>
      </c>
      <c r="AD28" s="63">
        <v>100.0</v>
      </c>
      <c r="AE28" s="63">
        <v>90.0</v>
      </c>
      <c r="AF28" s="63">
        <v>95.0</v>
      </c>
      <c r="AG28" s="63">
        <v>92.0</v>
      </c>
      <c r="AH28" s="63">
        <v>15.68</v>
      </c>
      <c r="AI28" s="63">
        <v>28.5</v>
      </c>
      <c r="AJ28" s="63">
        <v>75.0</v>
      </c>
      <c r="AK28" s="63">
        <v>85.0</v>
      </c>
      <c r="AL28" s="69">
        <v>65.7</v>
      </c>
      <c r="AM28" s="70">
        <v>3.0</v>
      </c>
      <c r="AN28" s="70">
        <v>12.0</v>
      </c>
      <c r="AO28" s="69">
        <v>90.0</v>
      </c>
      <c r="AP28" s="68" t="s">
        <v>212</v>
      </c>
      <c r="AQ28" s="68" t="s">
        <v>213</v>
      </c>
      <c r="AR28" s="69">
        <v>1.0</v>
      </c>
      <c r="AS28" s="70">
        <v>1.0</v>
      </c>
      <c r="AT28" s="69">
        <v>7.0</v>
      </c>
      <c r="AU28" s="69">
        <v>58.7</v>
      </c>
      <c r="AV28" s="70">
        <v>7.0</v>
      </c>
      <c r="AW28" s="70">
        <v>18.0</v>
      </c>
      <c r="AX28" s="70" t="s">
        <v>214</v>
      </c>
      <c r="AY28" s="42" t="s">
        <v>215</v>
      </c>
    </row>
    <row r="29">
      <c r="A29" s="42" t="s">
        <v>282</v>
      </c>
      <c r="B29" s="63">
        <v>116.0</v>
      </c>
      <c r="C29" s="63">
        <v>0.0</v>
      </c>
      <c r="D29" s="63">
        <v>0.0</v>
      </c>
      <c r="E29" s="63">
        <v>181.0</v>
      </c>
      <c r="F29" s="63">
        <v>181.0</v>
      </c>
      <c r="G29" s="42" t="s">
        <v>188</v>
      </c>
      <c r="H29" s="63" t="s">
        <v>189</v>
      </c>
      <c r="I29" s="63">
        <v>500000.0</v>
      </c>
      <c r="J29" s="42" t="s">
        <v>190</v>
      </c>
      <c r="K29" s="42" t="s">
        <v>206</v>
      </c>
      <c r="L29" s="65"/>
      <c r="M29" s="65"/>
      <c r="N29" s="65"/>
      <c r="O29" s="65"/>
      <c r="P29" s="42" t="s">
        <v>188</v>
      </c>
      <c r="Q29" s="42" t="s">
        <v>207</v>
      </c>
      <c r="R29" s="42" t="s">
        <v>190</v>
      </c>
      <c r="S29" s="42" t="s">
        <v>283</v>
      </c>
      <c r="T29" s="42" t="s">
        <v>279</v>
      </c>
      <c r="U29" s="64"/>
      <c r="V29" s="42" t="s">
        <v>220</v>
      </c>
      <c r="W29" s="64"/>
      <c r="X29" s="74" t="s">
        <v>243</v>
      </c>
      <c r="Y29" s="75" t="s">
        <v>262</v>
      </c>
      <c r="Z29" s="74" t="s">
        <v>244</v>
      </c>
      <c r="AA29" s="68" t="s">
        <v>190</v>
      </c>
      <c r="AB29" s="68" t="s">
        <v>199</v>
      </c>
      <c r="AC29" s="63">
        <v>25.0</v>
      </c>
      <c r="AD29" s="63">
        <v>100.0</v>
      </c>
      <c r="AE29" s="63">
        <v>90.0</v>
      </c>
      <c r="AF29" s="63">
        <v>95.0</v>
      </c>
      <c r="AG29" s="63">
        <v>92.0</v>
      </c>
      <c r="AH29" s="63">
        <v>16.24</v>
      </c>
      <c r="AI29" s="63">
        <v>32.2</v>
      </c>
      <c r="AJ29" s="63">
        <v>75.0</v>
      </c>
      <c r="AK29" s="63">
        <v>85.0</v>
      </c>
      <c r="AL29" s="69">
        <v>61.5</v>
      </c>
      <c r="AM29" s="70">
        <v>2.0</v>
      </c>
      <c r="AN29" s="70">
        <v>22.0</v>
      </c>
      <c r="AO29" s="69">
        <v>181.0</v>
      </c>
      <c r="AP29" s="68" t="s">
        <v>212</v>
      </c>
      <c r="AQ29" s="68" t="s">
        <v>213</v>
      </c>
      <c r="AR29" s="69">
        <v>1.0</v>
      </c>
      <c r="AS29" s="70">
        <v>0.0</v>
      </c>
      <c r="AT29" s="69">
        <v>7.0</v>
      </c>
      <c r="AU29" s="69">
        <v>54.5</v>
      </c>
      <c r="AV29" s="70">
        <v>6.0</v>
      </c>
      <c r="AW29" s="70">
        <v>24.0</v>
      </c>
      <c r="AX29" s="70" t="s">
        <v>214</v>
      </c>
      <c r="AY29" s="42" t="s">
        <v>215</v>
      </c>
    </row>
    <row r="30">
      <c r="A30" s="42" t="s">
        <v>284</v>
      </c>
      <c r="B30" s="63">
        <v>119.0</v>
      </c>
      <c r="C30" s="63">
        <v>0.0</v>
      </c>
      <c r="D30" s="63">
        <v>0.0</v>
      </c>
      <c r="E30" s="63">
        <v>361.0</v>
      </c>
      <c r="F30" s="63">
        <v>361.0</v>
      </c>
      <c r="G30" s="42" t="s">
        <v>188</v>
      </c>
      <c r="H30" s="63" t="s">
        <v>189</v>
      </c>
      <c r="I30" s="63">
        <v>500000.0</v>
      </c>
      <c r="J30" s="42" t="s">
        <v>190</v>
      </c>
      <c r="K30" s="42" t="s">
        <v>206</v>
      </c>
      <c r="L30" s="65"/>
      <c r="M30" s="65"/>
      <c r="N30" s="65"/>
      <c r="O30" s="65"/>
      <c r="P30" s="42" t="s">
        <v>188</v>
      </c>
      <c r="Q30" s="42" t="s">
        <v>207</v>
      </c>
      <c r="R30" s="42" t="s">
        <v>190</v>
      </c>
      <c r="S30" s="42" t="s">
        <v>285</v>
      </c>
      <c r="T30" s="42" t="s">
        <v>279</v>
      </c>
      <c r="U30" s="64"/>
      <c r="V30" s="42" t="s">
        <v>220</v>
      </c>
      <c r="W30" s="64"/>
      <c r="X30" s="74" t="s">
        <v>243</v>
      </c>
      <c r="Y30" s="75" t="s">
        <v>262</v>
      </c>
      <c r="Z30" s="74" t="s">
        <v>244</v>
      </c>
      <c r="AA30" s="68" t="s">
        <v>190</v>
      </c>
      <c r="AB30" s="68" t="s">
        <v>199</v>
      </c>
      <c r="AC30" s="63">
        <v>25.0</v>
      </c>
      <c r="AD30" s="63">
        <v>100.0</v>
      </c>
      <c r="AE30" s="63">
        <v>90.0</v>
      </c>
      <c r="AF30" s="63">
        <v>95.0</v>
      </c>
      <c r="AG30" s="63">
        <v>92.0</v>
      </c>
      <c r="AH30" s="63">
        <v>16.66</v>
      </c>
      <c r="AI30" s="63">
        <v>34.9</v>
      </c>
      <c r="AJ30" s="63">
        <v>75.0</v>
      </c>
      <c r="AK30" s="63">
        <v>85.0</v>
      </c>
      <c r="AL30" s="69">
        <v>62.1</v>
      </c>
      <c r="AM30" s="70">
        <v>1.0</v>
      </c>
      <c r="AN30" s="70">
        <v>21.0</v>
      </c>
      <c r="AO30" s="69">
        <v>361.0</v>
      </c>
      <c r="AP30" s="68" t="s">
        <v>212</v>
      </c>
      <c r="AQ30" s="68" t="s">
        <v>213</v>
      </c>
      <c r="AR30" s="69">
        <v>0.0</v>
      </c>
      <c r="AS30" s="70">
        <v>0.0</v>
      </c>
      <c r="AT30" s="69">
        <v>0.0</v>
      </c>
      <c r="AU30" s="69">
        <v>62.1</v>
      </c>
      <c r="AV30" s="70">
        <v>1.0</v>
      </c>
      <c r="AW30" s="70">
        <v>12.0</v>
      </c>
      <c r="AX30" s="70" t="s">
        <v>214</v>
      </c>
      <c r="AY30" s="42" t="s">
        <v>215</v>
      </c>
    </row>
    <row r="31">
      <c r="A31" s="42" t="s">
        <v>286</v>
      </c>
      <c r="B31" s="63">
        <v>120.0</v>
      </c>
      <c r="C31" s="63">
        <v>0.0</v>
      </c>
      <c r="D31" s="63">
        <v>0.0</v>
      </c>
      <c r="E31" s="63">
        <v>721.0</v>
      </c>
      <c r="F31" s="63">
        <v>721.0</v>
      </c>
      <c r="G31" s="42" t="s">
        <v>188</v>
      </c>
      <c r="H31" s="63" t="s">
        <v>189</v>
      </c>
      <c r="I31" s="63">
        <v>500000.0</v>
      </c>
      <c r="J31" s="42" t="s">
        <v>190</v>
      </c>
      <c r="K31" s="42" t="s">
        <v>206</v>
      </c>
      <c r="L31" s="65"/>
      <c r="M31" s="65"/>
      <c r="N31" s="65"/>
      <c r="O31" s="65"/>
      <c r="P31" s="42" t="s">
        <v>188</v>
      </c>
      <c r="Q31" s="42" t="s">
        <v>207</v>
      </c>
      <c r="R31" s="42" t="s">
        <v>190</v>
      </c>
      <c r="S31" s="42" t="s">
        <v>287</v>
      </c>
      <c r="T31" s="42" t="s">
        <v>279</v>
      </c>
      <c r="U31" s="64"/>
      <c r="V31" s="42" t="s">
        <v>220</v>
      </c>
      <c r="W31" s="64"/>
      <c r="X31" s="74" t="s">
        <v>243</v>
      </c>
      <c r="Y31" s="75" t="s">
        <v>262</v>
      </c>
      <c r="Z31" s="74" t="s">
        <v>244</v>
      </c>
      <c r="AA31" s="68" t="s">
        <v>190</v>
      </c>
      <c r="AB31" s="68" t="s">
        <v>199</v>
      </c>
      <c r="AC31" s="63">
        <v>10.0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16.8</v>
      </c>
      <c r="AI31" s="63">
        <v>35.8</v>
      </c>
      <c r="AJ31" s="63">
        <v>75.0</v>
      </c>
      <c r="AK31" s="63">
        <v>85.0</v>
      </c>
      <c r="AL31" s="69">
        <v>58.5</v>
      </c>
      <c r="AM31" s="70">
        <v>6.0</v>
      </c>
      <c r="AN31" s="70">
        <v>31.0</v>
      </c>
      <c r="AO31" s="69">
        <v>721.0</v>
      </c>
      <c r="AP31" s="68" t="s">
        <v>212</v>
      </c>
      <c r="AQ31" s="68" t="s">
        <v>213</v>
      </c>
      <c r="AR31" s="69">
        <v>0.0</v>
      </c>
      <c r="AS31" s="70">
        <v>0.0</v>
      </c>
      <c r="AT31" s="69">
        <v>0.0</v>
      </c>
      <c r="AU31" s="69">
        <v>58.5</v>
      </c>
      <c r="AV31" s="70">
        <v>4.0</v>
      </c>
      <c r="AW31" s="70">
        <v>20.0</v>
      </c>
      <c r="AX31" s="70" t="s">
        <v>214</v>
      </c>
      <c r="AY31" s="42" t="s">
        <v>215</v>
      </c>
    </row>
    <row r="32">
      <c r="A32" s="42" t="s">
        <v>86</v>
      </c>
      <c r="B32" s="63">
        <v>150.0</v>
      </c>
      <c r="C32" s="63">
        <v>0.0</v>
      </c>
      <c r="D32" s="63">
        <v>0.0</v>
      </c>
      <c r="E32" s="63">
        <v>60.0</v>
      </c>
      <c r="F32" s="63">
        <v>60.0</v>
      </c>
      <c r="G32" s="42" t="s">
        <v>188</v>
      </c>
      <c r="H32" s="63" t="s">
        <v>189</v>
      </c>
      <c r="I32" s="63">
        <v>20000.0</v>
      </c>
      <c r="J32" s="42" t="s">
        <v>190</v>
      </c>
      <c r="K32" s="42" t="s">
        <v>206</v>
      </c>
      <c r="L32" s="65"/>
      <c r="M32" s="65"/>
      <c r="N32" s="65"/>
      <c r="O32" s="65"/>
      <c r="P32" s="42" t="s">
        <v>188</v>
      </c>
      <c r="Q32" s="42" t="s">
        <v>207</v>
      </c>
      <c r="R32" s="42" t="s">
        <v>190</v>
      </c>
      <c r="S32" s="42" t="s">
        <v>288</v>
      </c>
      <c r="T32" s="42" t="s">
        <v>279</v>
      </c>
      <c r="U32" s="64"/>
      <c r="V32" s="42" t="s">
        <v>220</v>
      </c>
      <c r="W32" s="64"/>
      <c r="X32" s="74" t="s">
        <v>243</v>
      </c>
      <c r="Y32" s="75" t="s">
        <v>262</v>
      </c>
      <c r="Z32" s="74" t="s">
        <v>244</v>
      </c>
      <c r="AA32" s="68" t="s">
        <v>190</v>
      </c>
      <c r="AB32" s="68" t="s">
        <v>211</v>
      </c>
      <c r="AC32" s="63">
        <v>65.0</v>
      </c>
      <c r="AD32" s="63">
        <v>100.0</v>
      </c>
      <c r="AE32" s="63">
        <v>90.0</v>
      </c>
      <c r="AF32" s="63">
        <v>95.0</v>
      </c>
      <c r="AG32" s="63">
        <v>92.0</v>
      </c>
      <c r="AH32" s="63">
        <v>21.0</v>
      </c>
      <c r="AI32" s="63">
        <v>63.3</v>
      </c>
      <c r="AJ32" s="63">
        <v>75.0</v>
      </c>
      <c r="AK32" s="63">
        <v>85.0</v>
      </c>
      <c r="AL32" s="69">
        <v>78.3</v>
      </c>
      <c r="AM32" s="70">
        <v>2.0</v>
      </c>
      <c r="AN32" s="70">
        <v>4.0</v>
      </c>
      <c r="AO32" s="69">
        <v>60.0</v>
      </c>
      <c r="AP32" s="68" t="s">
        <v>212</v>
      </c>
      <c r="AQ32" s="68" t="s">
        <v>213</v>
      </c>
      <c r="AR32" s="69">
        <v>0.0</v>
      </c>
      <c r="AS32" s="70">
        <v>0.0</v>
      </c>
      <c r="AT32" s="69">
        <v>0.0</v>
      </c>
      <c r="AU32" s="69">
        <v>78.3</v>
      </c>
      <c r="AV32" s="70">
        <v>2.0</v>
      </c>
      <c r="AW32" s="70">
        <v>3.0</v>
      </c>
      <c r="AX32" s="70" t="s">
        <v>214</v>
      </c>
      <c r="AY32" s="42" t="s">
        <v>215</v>
      </c>
    </row>
    <row r="33">
      <c r="A33" s="42" t="s">
        <v>289</v>
      </c>
      <c r="B33" s="63">
        <v>104.0</v>
      </c>
      <c r="C33" s="63">
        <v>0.0</v>
      </c>
      <c r="D33" s="63">
        <v>0.0</v>
      </c>
      <c r="E33" s="63">
        <v>90.0</v>
      </c>
      <c r="F33" s="63">
        <v>90.0</v>
      </c>
      <c r="G33" s="42" t="s">
        <v>188</v>
      </c>
      <c r="H33" s="63" t="s">
        <v>272</v>
      </c>
      <c r="I33" s="63">
        <v>1.0E7</v>
      </c>
      <c r="J33" s="42" t="s">
        <v>190</v>
      </c>
      <c r="K33" s="42" t="s">
        <v>206</v>
      </c>
      <c r="L33" s="65"/>
      <c r="M33" s="65"/>
      <c r="N33" s="65"/>
      <c r="O33" s="65"/>
      <c r="P33" s="42" t="s">
        <v>188</v>
      </c>
      <c r="Q33" s="42" t="s">
        <v>207</v>
      </c>
      <c r="R33" s="42" t="s">
        <v>190</v>
      </c>
      <c r="S33" s="42" t="s">
        <v>290</v>
      </c>
      <c r="T33" s="68" t="s">
        <v>291</v>
      </c>
      <c r="U33" s="64"/>
      <c r="V33" s="42" t="s">
        <v>292</v>
      </c>
      <c r="W33" s="64"/>
      <c r="X33" s="66" t="s">
        <v>196</v>
      </c>
      <c r="Y33" s="67" t="s">
        <v>197</v>
      </c>
      <c r="Z33" s="66" t="s">
        <v>244</v>
      </c>
      <c r="AA33" s="68" t="s">
        <v>190</v>
      </c>
      <c r="AB33" s="68" t="s">
        <v>211</v>
      </c>
      <c r="AC33" s="63">
        <v>45.0</v>
      </c>
      <c r="AD33" s="63">
        <v>100.0</v>
      </c>
      <c r="AE33" s="63">
        <v>90.0</v>
      </c>
      <c r="AF33" s="63">
        <v>100.0</v>
      </c>
      <c r="AG33" s="63">
        <v>94.0</v>
      </c>
      <c r="AH33" s="63">
        <v>14.56</v>
      </c>
      <c r="AI33" s="63">
        <v>21.2</v>
      </c>
      <c r="AJ33" s="63">
        <v>75.0</v>
      </c>
      <c r="AK33" s="63">
        <v>85.0</v>
      </c>
      <c r="AL33" s="69">
        <v>64.5</v>
      </c>
      <c r="AM33" s="70">
        <v>4.0</v>
      </c>
      <c r="AN33" s="70">
        <v>17.0</v>
      </c>
      <c r="AO33" s="69">
        <v>90.0</v>
      </c>
      <c r="AP33" s="68" t="s">
        <v>212</v>
      </c>
      <c r="AQ33" s="68" t="s">
        <v>213</v>
      </c>
      <c r="AR33" s="69">
        <v>0.0</v>
      </c>
      <c r="AS33" s="70">
        <v>2.0</v>
      </c>
      <c r="AT33" s="69">
        <v>4.0</v>
      </c>
      <c r="AU33" s="69">
        <v>60.5</v>
      </c>
      <c r="AV33" s="70">
        <v>5.0</v>
      </c>
      <c r="AW33" s="70">
        <v>15.0</v>
      </c>
      <c r="AX33" s="70" t="s">
        <v>214</v>
      </c>
      <c r="AY33" s="42" t="s">
        <v>215</v>
      </c>
    </row>
    <row r="34">
      <c r="A34" s="42" t="s">
        <v>293</v>
      </c>
      <c r="B34" s="63">
        <v>105.0</v>
      </c>
      <c r="C34" s="63">
        <v>0.0</v>
      </c>
      <c r="D34" s="63">
        <v>0.0</v>
      </c>
      <c r="E34" s="63">
        <v>180.0</v>
      </c>
      <c r="F34" s="63">
        <v>180.0</v>
      </c>
      <c r="G34" s="42" t="s">
        <v>188</v>
      </c>
      <c r="H34" s="63" t="s">
        <v>294</v>
      </c>
      <c r="I34" s="63">
        <v>1.0E7</v>
      </c>
      <c r="J34" s="42" t="s">
        <v>190</v>
      </c>
      <c r="K34" s="42" t="s">
        <v>206</v>
      </c>
      <c r="L34" s="65"/>
      <c r="M34" s="65"/>
      <c r="N34" s="65"/>
      <c r="O34" s="65"/>
      <c r="P34" s="42" t="s">
        <v>188</v>
      </c>
      <c r="Q34" s="42" t="s">
        <v>207</v>
      </c>
      <c r="R34" s="42" t="s">
        <v>190</v>
      </c>
      <c r="S34" s="42" t="s">
        <v>295</v>
      </c>
      <c r="T34" s="68" t="s">
        <v>291</v>
      </c>
      <c r="U34" s="64"/>
      <c r="V34" s="42" t="s">
        <v>292</v>
      </c>
      <c r="W34" s="64"/>
      <c r="X34" s="66" t="s">
        <v>196</v>
      </c>
      <c r="Y34" s="67" t="s">
        <v>197</v>
      </c>
      <c r="Z34" s="66" t="s">
        <v>244</v>
      </c>
      <c r="AA34" s="68" t="s">
        <v>190</v>
      </c>
      <c r="AB34" s="68" t="s">
        <v>211</v>
      </c>
      <c r="AC34" s="63">
        <v>45.0</v>
      </c>
      <c r="AD34" s="63">
        <v>90.0</v>
      </c>
      <c r="AE34" s="63">
        <v>90.0</v>
      </c>
      <c r="AF34" s="63">
        <v>100.0</v>
      </c>
      <c r="AG34" s="63">
        <v>94.0</v>
      </c>
      <c r="AH34" s="63">
        <v>14.7</v>
      </c>
      <c r="AI34" s="63">
        <v>22.1</v>
      </c>
      <c r="AJ34" s="63">
        <v>75.0</v>
      </c>
      <c r="AK34" s="63">
        <v>85.0</v>
      </c>
      <c r="AL34" s="69">
        <v>62.9</v>
      </c>
      <c r="AM34" s="70">
        <v>7.0</v>
      </c>
      <c r="AN34" s="70">
        <v>20.0</v>
      </c>
      <c r="AO34" s="69">
        <v>180.0</v>
      </c>
      <c r="AP34" s="68" t="s">
        <v>212</v>
      </c>
      <c r="AQ34" s="68" t="s">
        <v>213</v>
      </c>
      <c r="AR34" s="69">
        <v>1.0</v>
      </c>
      <c r="AS34" s="70">
        <v>2.0</v>
      </c>
      <c r="AT34" s="69">
        <v>9.0</v>
      </c>
      <c r="AU34" s="69">
        <v>53.9</v>
      </c>
      <c r="AV34" s="70">
        <v>8.0</v>
      </c>
      <c r="AW34" s="70">
        <v>29.0</v>
      </c>
      <c r="AX34" s="70" t="s">
        <v>214</v>
      </c>
      <c r="AY34" s="42" t="s">
        <v>215</v>
      </c>
    </row>
    <row r="35">
      <c r="A35" s="42" t="s">
        <v>296</v>
      </c>
      <c r="B35" s="63">
        <v>14.9</v>
      </c>
      <c r="C35" s="63">
        <v>0.0</v>
      </c>
      <c r="D35" s="63">
        <v>0.0</v>
      </c>
      <c r="E35" s="63">
        <v>365.0</v>
      </c>
      <c r="F35" s="63">
        <v>365.0</v>
      </c>
      <c r="G35" s="42" t="s">
        <v>188</v>
      </c>
      <c r="H35" s="63" t="s">
        <v>294</v>
      </c>
      <c r="I35" s="63">
        <v>1.0E7</v>
      </c>
      <c r="J35" s="42" t="s">
        <v>190</v>
      </c>
      <c r="K35" s="42" t="s">
        <v>206</v>
      </c>
      <c r="L35" s="65"/>
      <c r="M35" s="65"/>
      <c r="N35" s="65"/>
      <c r="O35" s="65"/>
      <c r="P35" s="42" t="s">
        <v>188</v>
      </c>
      <c r="Q35" s="42" t="s">
        <v>265</v>
      </c>
      <c r="R35" s="42" t="s">
        <v>190</v>
      </c>
      <c r="S35" s="42" t="s">
        <v>297</v>
      </c>
      <c r="T35" s="68" t="s">
        <v>291</v>
      </c>
      <c r="U35" s="64"/>
      <c r="V35" s="42" t="s">
        <v>292</v>
      </c>
      <c r="W35" s="64"/>
      <c r="X35" s="76" t="s">
        <v>275</v>
      </c>
      <c r="Y35" s="67" t="s">
        <v>197</v>
      </c>
      <c r="Z35" s="77"/>
      <c r="AA35" s="68" t="s">
        <v>190</v>
      </c>
      <c r="AB35" s="68" t="s">
        <v>199</v>
      </c>
      <c r="AC35" s="63">
        <v>25.0</v>
      </c>
      <c r="AD35" s="63">
        <v>90.0</v>
      </c>
      <c r="AE35" s="63">
        <v>90.0</v>
      </c>
      <c r="AF35" s="63">
        <v>100.0</v>
      </c>
      <c r="AG35" s="63">
        <v>94.0</v>
      </c>
      <c r="AH35" s="63">
        <v>14.9</v>
      </c>
      <c r="AI35" s="63">
        <v>23.4</v>
      </c>
      <c r="AJ35" s="63">
        <v>75.0</v>
      </c>
      <c r="AK35" s="63">
        <v>85.0</v>
      </c>
      <c r="AL35" s="69">
        <v>58.1</v>
      </c>
      <c r="AM35" s="70">
        <v>7.0</v>
      </c>
      <c r="AN35" s="70">
        <v>32.0</v>
      </c>
      <c r="AO35" s="69">
        <v>365.0</v>
      </c>
      <c r="AP35" s="68" t="s">
        <v>212</v>
      </c>
      <c r="AQ35" s="68" t="s">
        <v>213</v>
      </c>
      <c r="AR35" s="69">
        <v>0.0</v>
      </c>
      <c r="AS35" s="70">
        <v>2.0</v>
      </c>
      <c r="AT35" s="69">
        <v>4.0</v>
      </c>
      <c r="AU35" s="69">
        <v>54.1</v>
      </c>
      <c r="AV35" s="70">
        <v>9.0</v>
      </c>
      <c r="AW35" s="70">
        <v>27.0</v>
      </c>
      <c r="AX35" s="70" t="s">
        <v>214</v>
      </c>
      <c r="AY35" s="42" t="s">
        <v>255</v>
      </c>
    </row>
    <row r="36">
      <c r="A36" s="42" t="s">
        <v>298</v>
      </c>
      <c r="B36" s="63">
        <v>15.0</v>
      </c>
      <c r="C36" s="63">
        <v>0.0</v>
      </c>
      <c r="D36" s="63">
        <v>0.0</v>
      </c>
      <c r="E36" s="63">
        <v>180.0</v>
      </c>
      <c r="F36" s="63">
        <v>180.0</v>
      </c>
      <c r="G36" s="42" t="s">
        <v>188</v>
      </c>
      <c r="H36" s="63" t="s">
        <v>294</v>
      </c>
      <c r="I36" s="63">
        <v>1.0E7</v>
      </c>
      <c r="J36" s="42" t="s">
        <v>190</v>
      </c>
      <c r="K36" s="42" t="s">
        <v>206</v>
      </c>
      <c r="L36" s="65"/>
      <c r="M36" s="65"/>
      <c r="N36" s="65"/>
      <c r="O36" s="65"/>
      <c r="P36" s="42" t="s">
        <v>188</v>
      </c>
      <c r="Q36" s="42" t="s">
        <v>265</v>
      </c>
      <c r="R36" s="42" t="s">
        <v>190</v>
      </c>
      <c r="S36" s="42" t="s">
        <v>299</v>
      </c>
      <c r="T36" s="68" t="s">
        <v>291</v>
      </c>
      <c r="U36" s="64"/>
      <c r="V36" s="42" t="s">
        <v>292</v>
      </c>
      <c r="W36" s="64"/>
      <c r="X36" s="66" t="s">
        <v>196</v>
      </c>
      <c r="Y36" s="67" t="s">
        <v>197</v>
      </c>
      <c r="Z36" s="66" t="s">
        <v>244</v>
      </c>
      <c r="AA36" s="68" t="s">
        <v>190</v>
      </c>
      <c r="AB36" s="68" t="s">
        <v>211</v>
      </c>
      <c r="AC36" s="63">
        <v>45.0</v>
      </c>
      <c r="AD36" s="63">
        <v>90.0</v>
      </c>
      <c r="AE36" s="63">
        <v>90.0</v>
      </c>
      <c r="AF36" s="63">
        <v>100.0</v>
      </c>
      <c r="AG36" s="63">
        <v>94.0</v>
      </c>
      <c r="AH36" s="63">
        <v>15.0</v>
      </c>
      <c r="AI36" s="63">
        <v>24.0</v>
      </c>
      <c r="AJ36" s="63">
        <v>75.0</v>
      </c>
      <c r="AK36" s="63">
        <v>85.0</v>
      </c>
      <c r="AL36" s="69">
        <v>63.3</v>
      </c>
      <c r="AM36" s="70">
        <v>5.0</v>
      </c>
      <c r="AN36" s="70">
        <v>18.0</v>
      </c>
      <c r="AO36" s="69">
        <v>180.0</v>
      </c>
      <c r="AP36" s="68" t="s">
        <v>212</v>
      </c>
      <c r="AQ36" s="68" t="s">
        <v>213</v>
      </c>
      <c r="AR36" s="69">
        <v>0.0</v>
      </c>
      <c r="AS36" s="70">
        <v>1.0</v>
      </c>
      <c r="AT36" s="69">
        <v>2.0</v>
      </c>
      <c r="AU36" s="69">
        <v>61.3</v>
      </c>
      <c r="AV36" s="70">
        <v>4.0</v>
      </c>
      <c r="AW36" s="70">
        <v>13.0</v>
      </c>
      <c r="AX36" s="70" t="s">
        <v>214</v>
      </c>
      <c r="AY36" s="42" t="s">
        <v>255</v>
      </c>
    </row>
    <row r="37">
      <c r="A37" s="42" t="s">
        <v>300</v>
      </c>
      <c r="B37" s="63">
        <v>120.0</v>
      </c>
      <c r="C37" s="63">
        <v>0.0</v>
      </c>
      <c r="D37" s="63">
        <v>0.0</v>
      </c>
      <c r="E37" s="63">
        <v>90.0</v>
      </c>
      <c r="F37" s="63">
        <v>90.0</v>
      </c>
      <c r="G37" s="42" t="s">
        <v>188</v>
      </c>
      <c r="H37" s="63" t="s">
        <v>233</v>
      </c>
      <c r="I37" s="64"/>
      <c r="J37" s="42" t="s">
        <v>188</v>
      </c>
      <c r="K37" s="42" t="s">
        <v>206</v>
      </c>
      <c r="L37" s="64"/>
      <c r="M37" s="64"/>
      <c r="N37" s="64"/>
      <c r="O37" s="64"/>
      <c r="P37" s="42" t="s">
        <v>190</v>
      </c>
      <c r="Q37" s="42" t="s">
        <v>207</v>
      </c>
      <c r="R37" s="42" t="s">
        <v>190</v>
      </c>
      <c r="S37" s="42" t="s">
        <v>301</v>
      </c>
      <c r="T37" s="42" t="s">
        <v>209</v>
      </c>
      <c r="U37" s="64"/>
      <c r="V37" s="42" t="s">
        <v>220</v>
      </c>
      <c r="W37" s="64"/>
      <c r="X37" s="66" t="s">
        <v>196</v>
      </c>
      <c r="Y37" s="71" t="s">
        <v>210</v>
      </c>
      <c r="Z37" s="66" t="s">
        <v>198</v>
      </c>
      <c r="AA37" s="68" t="s">
        <v>188</v>
      </c>
      <c r="AB37" s="68" t="s">
        <v>211</v>
      </c>
      <c r="AC37" s="63">
        <v>45.0</v>
      </c>
      <c r="AD37" s="63">
        <v>80.0</v>
      </c>
      <c r="AE37" s="63">
        <v>90.0</v>
      </c>
      <c r="AF37" s="63">
        <v>95.0</v>
      </c>
      <c r="AG37" s="63">
        <v>92.0</v>
      </c>
      <c r="AH37" s="63">
        <v>16.8</v>
      </c>
      <c r="AI37" s="63">
        <v>35.8</v>
      </c>
      <c r="AJ37" s="63">
        <v>75.0</v>
      </c>
      <c r="AK37" s="63">
        <v>85.0</v>
      </c>
      <c r="AL37" s="69">
        <v>63.7</v>
      </c>
      <c r="AM37" s="72"/>
      <c r="AN37" s="72"/>
      <c r="AO37" s="69">
        <v>90.0</v>
      </c>
      <c r="AP37" s="68" t="s">
        <v>212</v>
      </c>
      <c r="AQ37" s="68" t="s">
        <v>213</v>
      </c>
      <c r="AR37" s="73"/>
      <c r="AS37" s="72"/>
      <c r="AT37" s="73"/>
      <c r="AU37" s="73"/>
      <c r="AV37" s="72"/>
      <c r="AW37" s="72"/>
      <c r="AX37" s="70" t="s">
        <v>214</v>
      </c>
      <c r="AY37" s="42" t="s">
        <v>215</v>
      </c>
    </row>
    <row r="38">
      <c r="A38" s="42" t="s">
        <v>302</v>
      </c>
      <c r="B38" s="63">
        <v>120.0</v>
      </c>
      <c r="C38" s="63">
        <v>0.0</v>
      </c>
      <c r="D38" s="63">
        <v>0.0</v>
      </c>
      <c r="E38" s="63">
        <v>180.0</v>
      </c>
      <c r="F38" s="63">
        <v>180.0</v>
      </c>
      <c r="G38" s="42" t="s">
        <v>188</v>
      </c>
      <c r="H38" s="63" t="s">
        <v>189</v>
      </c>
      <c r="I38" s="64"/>
      <c r="J38" s="42" t="s">
        <v>188</v>
      </c>
      <c r="K38" s="42" t="s">
        <v>206</v>
      </c>
      <c r="L38" s="64"/>
      <c r="M38" s="64"/>
      <c r="N38" s="64"/>
      <c r="O38" s="64"/>
      <c r="P38" s="42" t="s">
        <v>190</v>
      </c>
      <c r="Q38" s="42" t="s">
        <v>207</v>
      </c>
      <c r="R38" s="42" t="s">
        <v>190</v>
      </c>
      <c r="S38" s="42" t="s">
        <v>303</v>
      </c>
      <c r="T38" s="42" t="s">
        <v>209</v>
      </c>
      <c r="U38" s="64"/>
      <c r="V38" s="42" t="s">
        <v>220</v>
      </c>
      <c r="W38" s="64"/>
      <c r="X38" s="66" t="s">
        <v>196</v>
      </c>
      <c r="Y38" s="71" t="s">
        <v>210</v>
      </c>
      <c r="Z38" s="66" t="s">
        <v>198</v>
      </c>
      <c r="AA38" s="68" t="s">
        <v>188</v>
      </c>
      <c r="AB38" s="68" t="s">
        <v>211</v>
      </c>
      <c r="AC38" s="63">
        <v>45.0</v>
      </c>
      <c r="AD38" s="63">
        <v>100.0</v>
      </c>
      <c r="AE38" s="63">
        <v>90.0</v>
      </c>
      <c r="AF38" s="63">
        <v>95.0</v>
      </c>
      <c r="AG38" s="63">
        <v>92.0</v>
      </c>
      <c r="AH38" s="63">
        <v>16.8</v>
      </c>
      <c r="AI38" s="63">
        <v>35.8</v>
      </c>
      <c r="AJ38" s="63">
        <v>75.0</v>
      </c>
      <c r="AK38" s="63">
        <v>85.0</v>
      </c>
      <c r="AL38" s="69">
        <v>67.3</v>
      </c>
      <c r="AM38" s="72"/>
      <c r="AN38" s="72"/>
      <c r="AO38" s="69">
        <v>180.0</v>
      </c>
      <c r="AP38" s="68" t="s">
        <v>212</v>
      </c>
      <c r="AQ38" s="68" t="s">
        <v>213</v>
      </c>
      <c r="AR38" s="73"/>
      <c r="AS38" s="72"/>
      <c r="AT38" s="73"/>
      <c r="AU38" s="73"/>
      <c r="AV38" s="72"/>
      <c r="AW38" s="72"/>
      <c r="AX38" s="70" t="s">
        <v>214</v>
      </c>
      <c r="AY38" s="42" t="s">
        <v>215</v>
      </c>
    </row>
    <row r="39">
      <c r="A39" s="42" t="s">
        <v>304</v>
      </c>
      <c r="B39" s="63">
        <v>107.25</v>
      </c>
      <c r="C39" s="63">
        <v>0.0</v>
      </c>
      <c r="D39" s="63">
        <v>0.0</v>
      </c>
      <c r="E39" s="63">
        <v>540.0</v>
      </c>
      <c r="F39" s="63">
        <v>540.0</v>
      </c>
      <c r="G39" s="42" t="s">
        <v>188</v>
      </c>
      <c r="H39" s="63" t="s">
        <v>189</v>
      </c>
      <c r="I39" s="64"/>
      <c r="J39" s="42" t="s">
        <v>190</v>
      </c>
      <c r="K39" s="42" t="s">
        <v>206</v>
      </c>
      <c r="L39" s="65"/>
      <c r="M39" s="65"/>
      <c r="N39" s="65"/>
      <c r="O39" s="65"/>
      <c r="P39" s="42" t="s">
        <v>188</v>
      </c>
      <c r="Q39" s="42" t="s">
        <v>207</v>
      </c>
      <c r="R39" s="42" t="s">
        <v>190</v>
      </c>
      <c r="S39" s="42" t="s">
        <v>305</v>
      </c>
      <c r="T39" s="42" t="s">
        <v>209</v>
      </c>
      <c r="U39" s="64"/>
      <c r="V39" s="42" t="s">
        <v>220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95.0</v>
      </c>
      <c r="AG39" s="63">
        <v>92.0</v>
      </c>
      <c r="AH39" s="63">
        <v>15.02</v>
      </c>
      <c r="AI39" s="63">
        <v>24.2</v>
      </c>
      <c r="AJ39" s="63">
        <v>75.0</v>
      </c>
      <c r="AK39" s="63">
        <v>85.0</v>
      </c>
      <c r="AL39" s="69">
        <v>56.0</v>
      </c>
      <c r="AM39" s="70">
        <v>22.0</v>
      </c>
      <c r="AN39" s="70">
        <v>48.0</v>
      </c>
      <c r="AO39" s="69">
        <v>540.0</v>
      </c>
      <c r="AP39" s="68" t="s">
        <v>212</v>
      </c>
      <c r="AQ39" s="68" t="s">
        <v>213</v>
      </c>
      <c r="AR39" s="69">
        <v>5.0</v>
      </c>
      <c r="AS39" s="70">
        <v>3.0</v>
      </c>
      <c r="AT39" s="69">
        <v>18.0</v>
      </c>
      <c r="AU39" s="69">
        <v>38.0</v>
      </c>
      <c r="AV39" s="70">
        <v>34.0</v>
      </c>
      <c r="AW39" s="70">
        <v>61.0</v>
      </c>
      <c r="AX39" s="70" t="s">
        <v>214</v>
      </c>
      <c r="AY39" s="42" t="s">
        <v>215</v>
      </c>
    </row>
    <row r="40">
      <c r="A40" s="42" t="s">
        <v>85</v>
      </c>
      <c r="B40" s="63">
        <v>105.0</v>
      </c>
      <c r="C40" s="63">
        <v>0.0</v>
      </c>
      <c r="D40" s="63">
        <v>0.0</v>
      </c>
      <c r="E40" s="63">
        <v>1086.0</v>
      </c>
      <c r="F40" s="63">
        <v>0.0</v>
      </c>
      <c r="G40" s="42" t="s">
        <v>188</v>
      </c>
      <c r="H40" s="63" t="s">
        <v>272</v>
      </c>
      <c r="I40" s="64"/>
      <c r="J40" s="42" t="s">
        <v>190</v>
      </c>
      <c r="K40" s="42" t="s">
        <v>206</v>
      </c>
      <c r="L40" s="65"/>
      <c r="M40" s="65"/>
      <c r="N40" s="65"/>
      <c r="O40" s="65"/>
      <c r="P40" s="42" t="s">
        <v>188</v>
      </c>
      <c r="Q40" s="42" t="s">
        <v>207</v>
      </c>
      <c r="R40" s="42" t="s">
        <v>190</v>
      </c>
      <c r="S40" s="42" t="s">
        <v>306</v>
      </c>
      <c r="T40" s="42" t="s">
        <v>307</v>
      </c>
      <c r="U40" s="64"/>
      <c r="V40" s="42" t="s">
        <v>220</v>
      </c>
      <c r="W40" s="64"/>
      <c r="X40" s="74" t="s">
        <v>243</v>
      </c>
      <c r="Y40" s="67" t="s">
        <v>197</v>
      </c>
      <c r="Z40" s="74" t="s">
        <v>244</v>
      </c>
      <c r="AA40" s="68" t="s">
        <v>190</v>
      </c>
      <c r="AB40" s="68" t="s">
        <v>245</v>
      </c>
      <c r="AC40" s="63">
        <v>100.0</v>
      </c>
      <c r="AD40" s="63">
        <v>100.0</v>
      </c>
      <c r="AE40" s="63">
        <v>90.0</v>
      </c>
      <c r="AF40" s="63">
        <v>95.0</v>
      </c>
      <c r="AG40" s="63">
        <v>92.0</v>
      </c>
      <c r="AH40" s="63">
        <v>0.59</v>
      </c>
      <c r="AI40" s="63">
        <v>0.0</v>
      </c>
      <c r="AJ40" s="63">
        <v>51.0</v>
      </c>
      <c r="AK40" s="63">
        <v>85.0</v>
      </c>
      <c r="AL40" s="69">
        <v>70.8</v>
      </c>
      <c r="AM40" s="70">
        <v>5.0</v>
      </c>
      <c r="AN40" s="70">
        <v>8.0</v>
      </c>
      <c r="AO40" s="69">
        <v>0.0</v>
      </c>
      <c r="AP40" s="68" t="s">
        <v>212</v>
      </c>
      <c r="AQ40" s="68" t="s">
        <v>213</v>
      </c>
      <c r="AR40" s="69">
        <v>0.0</v>
      </c>
      <c r="AS40" s="70">
        <v>0.0</v>
      </c>
      <c r="AT40" s="69">
        <v>0.0</v>
      </c>
      <c r="AU40" s="69">
        <v>70.8</v>
      </c>
      <c r="AV40" s="70">
        <v>4.0</v>
      </c>
      <c r="AW40" s="70">
        <v>7.0</v>
      </c>
      <c r="AX40" s="70" t="s">
        <v>214</v>
      </c>
      <c r="AY40" s="42" t="s">
        <v>215</v>
      </c>
    </row>
    <row r="41">
      <c r="A41" s="42" t="s">
        <v>82</v>
      </c>
      <c r="B41" s="63">
        <v>103.0</v>
      </c>
      <c r="C41" s="63">
        <v>130.0</v>
      </c>
      <c r="D41" s="63">
        <v>30.0</v>
      </c>
      <c r="E41" s="63">
        <v>30.0</v>
      </c>
      <c r="F41" s="63">
        <v>0.0</v>
      </c>
      <c r="G41" s="42" t="s">
        <v>188</v>
      </c>
      <c r="H41" s="63" t="s">
        <v>272</v>
      </c>
      <c r="I41" s="64"/>
      <c r="J41" s="42" t="s">
        <v>188</v>
      </c>
      <c r="K41" s="42" t="s">
        <v>206</v>
      </c>
      <c r="L41" s="65"/>
      <c r="M41" s="65"/>
      <c r="N41" s="65"/>
      <c r="O41" s="65"/>
      <c r="P41" s="42" t="s">
        <v>188</v>
      </c>
      <c r="Q41" s="42" t="s">
        <v>207</v>
      </c>
      <c r="R41" s="42" t="s">
        <v>190</v>
      </c>
      <c r="S41" s="42" t="s">
        <v>308</v>
      </c>
      <c r="T41" s="68" t="s">
        <v>291</v>
      </c>
      <c r="U41" s="64"/>
      <c r="V41" s="42" t="s">
        <v>195</v>
      </c>
      <c r="W41" s="64"/>
      <c r="X41" s="66" t="s">
        <v>196</v>
      </c>
      <c r="Y41" s="71" t="s">
        <v>197</v>
      </c>
      <c r="Z41" s="66" t="s">
        <v>198</v>
      </c>
      <c r="AA41" s="68" t="s">
        <v>188</v>
      </c>
      <c r="AB41" s="68" t="s">
        <v>245</v>
      </c>
      <c r="AC41" s="63">
        <v>100.0</v>
      </c>
      <c r="AD41" s="63">
        <v>100.0</v>
      </c>
      <c r="AE41" s="63">
        <v>90.0</v>
      </c>
      <c r="AF41" s="63">
        <v>60.0</v>
      </c>
      <c r="AG41" s="63">
        <v>78.0</v>
      </c>
      <c r="AH41" s="63">
        <v>0.73</v>
      </c>
      <c r="AI41" s="63">
        <v>0.0</v>
      </c>
      <c r="AJ41" s="63">
        <v>51.0</v>
      </c>
      <c r="AK41" s="63">
        <v>85.0</v>
      </c>
      <c r="AL41" s="69">
        <v>68.0</v>
      </c>
      <c r="AM41" s="72"/>
      <c r="AN41" s="72"/>
      <c r="AO41" s="69">
        <v>0.0</v>
      </c>
      <c r="AP41" s="68" t="s">
        <v>212</v>
      </c>
      <c r="AQ41" s="68" t="s">
        <v>213</v>
      </c>
      <c r="AR41" s="73"/>
      <c r="AS41" s="72"/>
      <c r="AT41" s="73"/>
      <c r="AU41" s="73"/>
      <c r="AV41" s="72"/>
      <c r="AW41" s="72"/>
      <c r="AX41" s="70" t="s">
        <v>214</v>
      </c>
      <c r="AY41" s="42" t="s">
        <v>215</v>
      </c>
    </row>
    <row r="42">
      <c r="A42" s="42" t="s">
        <v>309</v>
      </c>
      <c r="B42" s="63">
        <v>150.0</v>
      </c>
      <c r="C42" s="63">
        <v>0.0</v>
      </c>
      <c r="D42" s="63">
        <v>0.0</v>
      </c>
      <c r="E42" s="63">
        <v>60.0</v>
      </c>
      <c r="F42" s="63">
        <v>0.0</v>
      </c>
      <c r="G42" s="42" t="s">
        <v>188</v>
      </c>
      <c r="H42" s="63" t="s">
        <v>310</v>
      </c>
      <c r="I42" s="63">
        <v>60000.0</v>
      </c>
      <c r="J42" s="42" t="s">
        <v>190</v>
      </c>
      <c r="K42" s="42" t="s">
        <v>206</v>
      </c>
      <c r="L42" s="65"/>
      <c r="M42" s="65"/>
      <c r="N42" s="65"/>
      <c r="O42" s="65"/>
      <c r="P42" s="42" t="s">
        <v>188</v>
      </c>
      <c r="Q42" s="42" t="s">
        <v>207</v>
      </c>
      <c r="R42" s="42" t="s">
        <v>190</v>
      </c>
      <c r="S42" s="42" t="s">
        <v>311</v>
      </c>
      <c r="T42" s="42" t="s">
        <v>312</v>
      </c>
      <c r="U42" s="64"/>
      <c r="V42" s="42" t="s">
        <v>220</v>
      </c>
      <c r="W42" s="64"/>
      <c r="X42" s="66" t="s">
        <v>196</v>
      </c>
      <c r="Y42" s="75" t="s">
        <v>262</v>
      </c>
      <c r="Z42" s="66" t="s">
        <v>244</v>
      </c>
      <c r="AA42" s="68" t="s">
        <v>190</v>
      </c>
      <c r="AB42" s="68" t="s">
        <v>245</v>
      </c>
      <c r="AC42" s="63">
        <v>100.0</v>
      </c>
      <c r="AD42" s="63">
        <v>15.0</v>
      </c>
      <c r="AE42" s="63">
        <v>90.0</v>
      </c>
      <c r="AF42" s="63">
        <v>95.0</v>
      </c>
      <c r="AG42" s="63">
        <v>92.0</v>
      </c>
      <c r="AH42" s="63">
        <v>0.84</v>
      </c>
      <c r="AI42" s="63">
        <v>0.0</v>
      </c>
      <c r="AJ42" s="63">
        <v>51.0</v>
      </c>
      <c r="AK42" s="63">
        <v>85.0</v>
      </c>
      <c r="AL42" s="69">
        <v>55.5</v>
      </c>
      <c r="AM42" s="70">
        <v>12.0</v>
      </c>
      <c r="AN42" s="70">
        <v>52.0</v>
      </c>
      <c r="AO42" s="69">
        <v>0.0</v>
      </c>
      <c r="AP42" s="68" t="s">
        <v>212</v>
      </c>
      <c r="AQ42" s="68" t="s">
        <v>213</v>
      </c>
      <c r="AR42" s="69">
        <v>0.0</v>
      </c>
      <c r="AS42" s="70">
        <v>0.0</v>
      </c>
      <c r="AT42" s="69">
        <v>0.0</v>
      </c>
      <c r="AU42" s="69">
        <v>55.5</v>
      </c>
      <c r="AV42" s="70">
        <v>8.0</v>
      </c>
      <c r="AW42" s="70">
        <v>23.0</v>
      </c>
      <c r="AX42" s="70" t="s">
        <v>214</v>
      </c>
      <c r="AY42" s="42" t="s">
        <v>215</v>
      </c>
    </row>
    <row r="43">
      <c r="A43" s="42" t="s">
        <v>83</v>
      </c>
      <c r="B43" s="63">
        <v>230.0</v>
      </c>
      <c r="C43" s="63">
        <v>0.0</v>
      </c>
      <c r="D43" s="63">
        <v>0.0</v>
      </c>
      <c r="E43" s="63">
        <v>60.0</v>
      </c>
      <c r="F43" s="63">
        <v>0.0</v>
      </c>
      <c r="G43" s="42" t="s">
        <v>188</v>
      </c>
      <c r="H43" s="63" t="s">
        <v>189</v>
      </c>
      <c r="I43" s="63">
        <v>3000.0</v>
      </c>
      <c r="J43" s="42" t="s">
        <v>188</v>
      </c>
      <c r="K43" s="42" t="s">
        <v>206</v>
      </c>
      <c r="L43" s="65"/>
      <c r="M43" s="65"/>
      <c r="N43" s="65"/>
      <c r="O43" s="65"/>
      <c r="P43" s="42" t="s">
        <v>188</v>
      </c>
      <c r="Q43" s="42" t="s">
        <v>207</v>
      </c>
      <c r="R43" s="42" t="s">
        <v>190</v>
      </c>
      <c r="S43" s="42" t="s">
        <v>313</v>
      </c>
      <c r="T43" s="42" t="s">
        <v>312</v>
      </c>
      <c r="U43" s="64"/>
      <c r="V43" s="42" t="s">
        <v>220</v>
      </c>
      <c r="W43" s="64"/>
      <c r="X43" s="66" t="s">
        <v>196</v>
      </c>
      <c r="Y43" s="71" t="s">
        <v>210</v>
      </c>
      <c r="Z43" s="66" t="s">
        <v>314</v>
      </c>
      <c r="AA43" s="68" t="s">
        <v>188</v>
      </c>
      <c r="AB43" s="68" t="s">
        <v>245</v>
      </c>
      <c r="AC43" s="63">
        <v>100.0</v>
      </c>
      <c r="AD43" s="63">
        <v>100.0</v>
      </c>
      <c r="AE43" s="63">
        <v>90.0</v>
      </c>
      <c r="AF43" s="63">
        <v>95.0</v>
      </c>
      <c r="AG43" s="63">
        <v>92.0</v>
      </c>
      <c r="AH43" s="63">
        <v>1.29</v>
      </c>
      <c r="AI43" s="63">
        <v>0.0</v>
      </c>
      <c r="AJ43" s="63">
        <v>51.0</v>
      </c>
      <c r="AK43" s="63">
        <v>85.0</v>
      </c>
      <c r="AL43" s="69">
        <v>70.8</v>
      </c>
      <c r="AM43" s="72"/>
      <c r="AN43" s="72"/>
      <c r="AO43" s="69">
        <v>0.0</v>
      </c>
      <c r="AP43" s="68" t="s">
        <v>212</v>
      </c>
      <c r="AQ43" s="68" t="s">
        <v>213</v>
      </c>
      <c r="AR43" s="73"/>
      <c r="AS43" s="72"/>
      <c r="AT43" s="73"/>
      <c r="AU43" s="73"/>
      <c r="AV43" s="72"/>
      <c r="AW43" s="72"/>
      <c r="AX43" s="70" t="s">
        <v>214</v>
      </c>
      <c r="AY43" s="42" t="s">
        <v>215</v>
      </c>
    </row>
    <row r="44">
      <c r="A44" s="42" t="s">
        <v>315</v>
      </c>
      <c r="B44" s="63">
        <v>100.0</v>
      </c>
      <c r="C44" s="63">
        <v>115.0</v>
      </c>
      <c r="D44" s="63">
        <v>0.0</v>
      </c>
      <c r="E44" s="63">
        <v>90.0</v>
      </c>
      <c r="F44" s="63">
        <v>0.0</v>
      </c>
      <c r="G44" s="42" t="s">
        <v>188</v>
      </c>
      <c r="H44" s="63" t="s">
        <v>316</v>
      </c>
      <c r="I44" s="64"/>
      <c r="J44" s="42" t="s">
        <v>190</v>
      </c>
      <c r="K44" s="42" t="s">
        <v>317</v>
      </c>
      <c r="L44" s="42" t="s">
        <v>318</v>
      </c>
      <c r="M44" s="42" t="s">
        <v>319</v>
      </c>
      <c r="N44" s="63">
        <v>2.0</v>
      </c>
      <c r="O44" s="63">
        <v>1.0</v>
      </c>
      <c r="P44" s="42" t="s">
        <v>188</v>
      </c>
      <c r="Q44" s="42" t="s">
        <v>207</v>
      </c>
      <c r="R44" s="42" t="s">
        <v>190</v>
      </c>
      <c r="S44" s="42" t="s">
        <v>320</v>
      </c>
      <c r="T44" s="42" t="s">
        <v>321</v>
      </c>
      <c r="U44" s="64"/>
      <c r="V44" s="42" t="s">
        <v>220</v>
      </c>
      <c r="W44" s="64"/>
      <c r="X44" s="78" t="s">
        <v>322</v>
      </c>
      <c r="Y44" s="71" t="s">
        <v>197</v>
      </c>
      <c r="Z44" s="78" t="s">
        <v>244</v>
      </c>
      <c r="AA44" s="68" t="s">
        <v>190</v>
      </c>
      <c r="AB44" s="68" t="s">
        <v>245</v>
      </c>
      <c r="AC44" s="63">
        <v>100.0</v>
      </c>
      <c r="AD44" s="63">
        <v>90.0</v>
      </c>
      <c r="AE44" s="63">
        <v>90.0</v>
      </c>
      <c r="AF44" s="63">
        <v>95.0</v>
      </c>
      <c r="AG44" s="63">
        <v>92.0</v>
      </c>
      <c r="AH44" s="63">
        <v>0.64</v>
      </c>
      <c r="AI44" s="63">
        <v>0.0</v>
      </c>
      <c r="AJ44" s="63">
        <v>16.0</v>
      </c>
      <c r="AK44" s="63">
        <v>85.0</v>
      </c>
      <c r="AL44" s="69">
        <v>65.5</v>
      </c>
      <c r="AM44" s="70">
        <v>7.0</v>
      </c>
      <c r="AN44" s="70">
        <v>13.0</v>
      </c>
      <c r="AO44" s="69">
        <v>0.0</v>
      </c>
      <c r="AP44" s="68" t="s">
        <v>212</v>
      </c>
      <c r="AQ44" s="68" t="s">
        <v>213</v>
      </c>
      <c r="AR44" s="69">
        <v>2.0</v>
      </c>
      <c r="AS44" s="70">
        <v>0.0</v>
      </c>
      <c r="AT44" s="69">
        <v>14.0</v>
      </c>
      <c r="AU44" s="69">
        <v>51.5</v>
      </c>
      <c r="AV44" s="70">
        <v>10.0</v>
      </c>
      <c r="AW44" s="70">
        <v>32.0</v>
      </c>
      <c r="AX44" s="70" t="s">
        <v>214</v>
      </c>
      <c r="AY44" s="42" t="s">
        <v>215</v>
      </c>
    </row>
    <row r="45">
      <c r="A45" s="42" t="s">
        <v>323</v>
      </c>
      <c r="B45" s="63">
        <v>100.0</v>
      </c>
      <c r="C45" s="63">
        <v>120.0</v>
      </c>
      <c r="D45" s="63">
        <v>0.0</v>
      </c>
      <c r="E45" s="63">
        <v>90.0</v>
      </c>
      <c r="F45" s="63">
        <v>0.0</v>
      </c>
      <c r="G45" s="42" t="s">
        <v>188</v>
      </c>
      <c r="H45" s="68" t="s">
        <v>316</v>
      </c>
      <c r="I45" s="64"/>
      <c r="J45" s="42" t="s">
        <v>190</v>
      </c>
      <c r="K45" s="42" t="s">
        <v>317</v>
      </c>
      <c r="L45" s="42" t="s">
        <v>318</v>
      </c>
      <c r="M45" s="42" t="s">
        <v>324</v>
      </c>
      <c r="N45" s="68">
        <v>2.0</v>
      </c>
      <c r="O45" s="68">
        <v>1.0</v>
      </c>
      <c r="P45" s="42" t="s">
        <v>188</v>
      </c>
      <c r="Q45" s="42" t="s">
        <v>207</v>
      </c>
      <c r="R45" s="42" t="s">
        <v>190</v>
      </c>
      <c r="S45" s="42" t="s">
        <v>325</v>
      </c>
      <c r="T45" s="42" t="s">
        <v>321</v>
      </c>
      <c r="U45" s="64"/>
      <c r="V45" s="42" t="s">
        <v>220</v>
      </c>
      <c r="W45" s="64"/>
      <c r="X45" s="78" t="s">
        <v>322</v>
      </c>
      <c r="Y45" s="71" t="s">
        <v>197</v>
      </c>
      <c r="Z45" s="78" t="s">
        <v>244</v>
      </c>
      <c r="AA45" s="68" t="s">
        <v>190</v>
      </c>
      <c r="AB45" s="68" t="s">
        <v>245</v>
      </c>
      <c r="AC45" s="63">
        <v>100.0</v>
      </c>
      <c r="AD45" s="63">
        <v>90.0</v>
      </c>
      <c r="AE45" s="63">
        <v>90.0</v>
      </c>
      <c r="AF45" s="63">
        <v>95.0</v>
      </c>
      <c r="AG45" s="63">
        <v>92.0</v>
      </c>
      <c r="AH45" s="63">
        <v>0.67</v>
      </c>
      <c r="AI45" s="63">
        <v>0.0</v>
      </c>
      <c r="AJ45" s="63">
        <v>16.0</v>
      </c>
      <c r="AK45" s="63">
        <v>85.0</v>
      </c>
      <c r="AL45" s="69">
        <v>65.5</v>
      </c>
      <c r="AM45" s="70">
        <v>8.0</v>
      </c>
      <c r="AN45" s="70">
        <v>14.0</v>
      </c>
      <c r="AO45" s="69">
        <v>0.0</v>
      </c>
      <c r="AP45" s="68" t="s">
        <v>212</v>
      </c>
      <c r="AQ45" s="68" t="s">
        <v>213</v>
      </c>
      <c r="AR45" s="69">
        <v>0.0</v>
      </c>
      <c r="AS45" s="70">
        <v>0.0</v>
      </c>
      <c r="AT45" s="69">
        <v>0.0</v>
      </c>
      <c r="AU45" s="69">
        <v>65.5</v>
      </c>
      <c r="AV45" s="70">
        <v>5.0</v>
      </c>
      <c r="AW45" s="70">
        <v>9.0</v>
      </c>
      <c r="AX45" s="70" t="s">
        <v>214</v>
      </c>
      <c r="AY45" s="42" t="s">
        <v>215</v>
      </c>
    </row>
    <row r="46">
      <c r="A46" s="42" t="s">
        <v>326</v>
      </c>
      <c r="B46" s="63">
        <v>100.0</v>
      </c>
      <c r="C46" s="63">
        <v>120.0</v>
      </c>
      <c r="D46" s="63">
        <v>0.0</v>
      </c>
      <c r="E46" s="63">
        <v>180.0</v>
      </c>
      <c r="F46" s="63">
        <v>0.0</v>
      </c>
      <c r="G46" s="42" t="s">
        <v>188</v>
      </c>
      <c r="H46" s="68" t="s">
        <v>316</v>
      </c>
      <c r="I46" s="64"/>
      <c r="J46" s="42" t="s">
        <v>190</v>
      </c>
      <c r="K46" s="42" t="s">
        <v>317</v>
      </c>
      <c r="L46" s="42" t="s">
        <v>318</v>
      </c>
      <c r="M46" s="42" t="s">
        <v>327</v>
      </c>
      <c r="N46" s="68">
        <v>2.0</v>
      </c>
      <c r="O46" s="68">
        <v>1.0</v>
      </c>
      <c r="P46" s="42" t="s">
        <v>188</v>
      </c>
      <c r="Q46" s="42" t="s">
        <v>207</v>
      </c>
      <c r="R46" s="42" t="s">
        <v>190</v>
      </c>
      <c r="S46" s="42" t="s">
        <v>328</v>
      </c>
      <c r="T46" s="42" t="s">
        <v>321</v>
      </c>
      <c r="U46" s="64"/>
      <c r="V46" s="42" t="s">
        <v>220</v>
      </c>
      <c r="W46" s="64"/>
      <c r="X46" s="78" t="s">
        <v>322</v>
      </c>
      <c r="Y46" s="71" t="s">
        <v>197</v>
      </c>
      <c r="Z46" s="78" t="s">
        <v>244</v>
      </c>
      <c r="AA46" s="68" t="s">
        <v>190</v>
      </c>
      <c r="AB46" s="68" t="s">
        <v>245</v>
      </c>
      <c r="AC46" s="63">
        <v>100.0</v>
      </c>
      <c r="AD46" s="63">
        <v>90.0</v>
      </c>
      <c r="AE46" s="63">
        <v>90.0</v>
      </c>
      <c r="AF46" s="63">
        <v>95.0</v>
      </c>
      <c r="AG46" s="63">
        <v>92.0</v>
      </c>
      <c r="AH46" s="63">
        <v>0.67</v>
      </c>
      <c r="AI46" s="63">
        <v>0.0</v>
      </c>
      <c r="AJ46" s="63">
        <v>16.0</v>
      </c>
      <c r="AK46" s="63">
        <v>85.0</v>
      </c>
      <c r="AL46" s="69">
        <v>65.5</v>
      </c>
      <c r="AM46" s="70">
        <v>9.0</v>
      </c>
      <c r="AN46" s="70">
        <v>15.0</v>
      </c>
      <c r="AO46" s="69">
        <v>0.0</v>
      </c>
      <c r="AP46" s="68" t="s">
        <v>212</v>
      </c>
      <c r="AQ46" s="68" t="s">
        <v>213</v>
      </c>
      <c r="AR46" s="69">
        <v>0.0</v>
      </c>
      <c r="AS46" s="70">
        <v>0.0</v>
      </c>
      <c r="AT46" s="69">
        <v>0.0</v>
      </c>
      <c r="AU46" s="69">
        <v>65.5</v>
      </c>
      <c r="AV46" s="70">
        <v>6.0</v>
      </c>
      <c r="AW46" s="70">
        <v>10.0</v>
      </c>
      <c r="AX46" s="70" t="s">
        <v>214</v>
      </c>
      <c r="AY46" s="42" t="s">
        <v>215</v>
      </c>
    </row>
    <row r="47">
      <c r="A47" s="42" t="s">
        <v>329</v>
      </c>
      <c r="B47" s="63">
        <v>80.0</v>
      </c>
      <c r="C47" s="63">
        <v>0.0</v>
      </c>
      <c r="D47" s="63">
        <v>0.0</v>
      </c>
      <c r="E47" s="63">
        <v>2.0</v>
      </c>
      <c r="F47" s="63">
        <v>2.0</v>
      </c>
      <c r="G47" s="42" t="s">
        <v>188</v>
      </c>
      <c r="H47" s="63" t="s">
        <v>330</v>
      </c>
      <c r="I47" s="64"/>
      <c r="J47" s="42" t="s">
        <v>190</v>
      </c>
      <c r="K47" s="42" t="s">
        <v>331</v>
      </c>
      <c r="L47" s="65"/>
      <c r="M47" s="65"/>
      <c r="N47" s="65"/>
      <c r="O47" s="65"/>
      <c r="P47" s="42" t="s">
        <v>188</v>
      </c>
      <c r="Q47" s="42" t="s">
        <v>207</v>
      </c>
      <c r="R47" s="42" t="s">
        <v>188</v>
      </c>
      <c r="S47" s="42" t="s">
        <v>332</v>
      </c>
      <c r="T47" s="42" t="s">
        <v>333</v>
      </c>
      <c r="U47" s="64"/>
      <c r="V47" s="42" t="s">
        <v>292</v>
      </c>
      <c r="W47" s="64"/>
      <c r="X47" s="66" t="s">
        <v>196</v>
      </c>
      <c r="Y47" s="67" t="s">
        <v>197</v>
      </c>
      <c r="Z47" s="66" t="s">
        <v>198</v>
      </c>
      <c r="AA47" s="68" t="s">
        <v>190</v>
      </c>
      <c r="AB47" s="68" t="s">
        <v>245</v>
      </c>
      <c r="AC47" s="63">
        <v>100.0</v>
      </c>
      <c r="AD47" s="63">
        <v>0.0</v>
      </c>
      <c r="AE47" s="63">
        <v>70.0</v>
      </c>
      <c r="AF47" s="63">
        <v>100.0</v>
      </c>
      <c r="AG47" s="63">
        <v>82.0</v>
      </c>
      <c r="AH47" s="63">
        <v>11.2</v>
      </c>
      <c r="AI47" s="63">
        <v>0.0</v>
      </c>
      <c r="AJ47" s="63">
        <v>85.0</v>
      </c>
      <c r="AK47" s="63">
        <v>85.0</v>
      </c>
      <c r="AL47" s="69">
        <v>54.2</v>
      </c>
      <c r="AM47" s="70">
        <v>13.0</v>
      </c>
      <c r="AN47" s="70">
        <v>55.0</v>
      </c>
      <c r="AO47" s="69">
        <v>2.0</v>
      </c>
      <c r="AP47" s="68" t="s">
        <v>212</v>
      </c>
      <c r="AQ47" s="68" t="s">
        <v>213</v>
      </c>
      <c r="AR47" s="69">
        <v>4.0</v>
      </c>
      <c r="AS47" s="70">
        <v>7.0</v>
      </c>
      <c r="AT47" s="69">
        <v>18.0</v>
      </c>
      <c r="AU47" s="69">
        <v>36.2</v>
      </c>
      <c r="AV47" s="70">
        <v>13.0</v>
      </c>
      <c r="AW47" s="70">
        <v>65.0</v>
      </c>
      <c r="AX47" s="70" t="s">
        <v>334</v>
      </c>
      <c r="AY47" s="42" t="s">
        <v>215</v>
      </c>
    </row>
    <row r="48">
      <c r="A48" s="42" t="s">
        <v>335</v>
      </c>
      <c r="B48" s="63">
        <v>100.0</v>
      </c>
      <c r="C48" s="63">
        <v>0.0</v>
      </c>
      <c r="D48" s="63">
        <v>0.0</v>
      </c>
      <c r="E48" s="63">
        <v>1.0</v>
      </c>
      <c r="F48" s="63">
        <v>0.0</v>
      </c>
      <c r="G48" s="42" t="s">
        <v>188</v>
      </c>
      <c r="H48" s="63" t="s">
        <v>233</v>
      </c>
      <c r="I48" s="64"/>
      <c r="J48" s="42" t="s">
        <v>190</v>
      </c>
      <c r="K48" s="42" t="s">
        <v>336</v>
      </c>
      <c r="L48" s="65"/>
      <c r="M48" s="65"/>
      <c r="N48" s="65"/>
      <c r="O48" s="65"/>
      <c r="P48" s="42" t="s">
        <v>188</v>
      </c>
      <c r="Q48" s="42" t="s">
        <v>207</v>
      </c>
      <c r="R48" s="42" t="s">
        <v>188</v>
      </c>
      <c r="S48" s="42" t="s">
        <v>337</v>
      </c>
      <c r="T48" s="42" t="s">
        <v>338</v>
      </c>
      <c r="U48" s="64"/>
      <c r="V48" s="42" t="s">
        <v>220</v>
      </c>
      <c r="W48" s="64"/>
      <c r="X48" s="66" t="s">
        <v>196</v>
      </c>
      <c r="Y48" s="67" t="s">
        <v>197</v>
      </c>
      <c r="Z48" s="66" t="s">
        <v>198</v>
      </c>
      <c r="AA48" s="68" t="s">
        <v>190</v>
      </c>
      <c r="AB48" s="68" t="s">
        <v>199</v>
      </c>
      <c r="AC48" s="63">
        <v>25.0</v>
      </c>
      <c r="AD48" s="63">
        <v>80.0</v>
      </c>
      <c r="AE48" s="63">
        <v>70.0</v>
      </c>
      <c r="AF48" s="63">
        <v>95.0</v>
      </c>
      <c r="AG48" s="63">
        <v>80.0</v>
      </c>
      <c r="AH48" s="63">
        <v>14.0</v>
      </c>
      <c r="AI48" s="63">
        <v>17.5</v>
      </c>
      <c r="AJ48" s="63">
        <v>60.0</v>
      </c>
      <c r="AK48" s="63">
        <v>85.0</v>
      </c>
      <c r="AL48" s="69">
        <v>50.8</v>
      </c>
      <c r="AM48" s="70">
        <v>43.0</v>
      </c>
      <c r="AN48" s="70">
        <v>71.0</v>
      </c>
      <c r="AO48" s="69">
        <v>181.0</v>
      </c>
      <c r="AP48" s="68" t="s">
        <v>200</v>
      </c>
      <c r="AQ48" s="68" t="s">
        <v>201</v>
      </c>
      <c r="AR48" s="69">
        <v>1.0</v>
      </c>
      <c r="AS48" s="70">
        <v>1.0</v>
      </c>
      <c r="AT48" s="69">
        <v>7.0</v>
      </c>
      <c r="AU48" s="69">
        <v>43.8</v>
      </c>
      <c r="AV48" s="70">
        <v>26.0</v>
      </c>
      <c r="AW48" s="70">
        <v>51.0</v>
      </c>
      <c r="AX48" s="70" t="s">
        <v>334</v>
      </c>
      <c r="AY48" s="42" t="s">
        <v>203</v>
      </c>
    </row>
    <row r="49">
      <c r="A49" s="42" t="s">
        <v>339</v>
      </c>
      <c r="B49" s="63">
        <v>115.75</v>
      </c>
      <c r="C49" s="63">
        <v>0.0</v>
      </c>
      <c r="D49" s="63">
        <v>0.0</v>
      </c>
      <c r="E49" s="63">
        <v>365.0</v>
      </c>
      <c r="F49" s="63">
        <v>365.0</v>
      </c>
      <c r="G49" s="42" t="s">
        <v>188</v>
      </c>
      <c r="H49" s="63" t="s">
        <v>189</v>
      </c>
      <c r="I49" s="64"/>
      <c r="J49" s="42" t="s">
        <v>190</v>
      </c>
      <c r="K49" s="42" t="s">
        <v>340</v>
      </c>
      <c r="L49" s="65"/>
      <c r="M49" s="65"/>
      <c r="N49" s="65"/>
      <c r="O49" s="65"/>
      <c r="P49" s="42" t="s">
        <v>188</v>
      </c>
      <c r="Q49" s="42" t="s">
        <v>207</v>
      </c>
      <c r="R49" s="42" t="s">
        <v>188</v>
      </c>
      <c r="S49" s="42" t="s">
        <v>341</v>
      </c>
      <c r="T49" s="42" t="s">
        <v>342</v>
      </c>
      <c r="U49" s="64"/>
      <c r="V49" s="42" t="s">
        <v>195</v>
      </c>
      <c r="W49" s="64"/>
      <c r="X49" s="66" t="s">
        <v>196</v>
      </c>
      <c r="Y49" s="67" t="s">
        <v>197</v>
      </c>
      <c r="Z49" s="66" t="s">
        <v>198</v>
      </c>
      <c r="AA49" s="68" t="s">
        <v>190</v>
      </c>
      <c r="AB49" s="68" t="s">
        <v>199</v>
      </c>
      <c r="AC49" s="63">
        <v>25.0</v>
      </c>
      <c r="AD49" s="63">
        <v>100.0</v>
      </c>
      <c r="AE49" s="63">
        <v>70.0</v>
      </c>
      <c r="AF49" s="63">
        <v>60.0</v>
      </c>
      <c r="AG49" s="63">
        <v>66.0</v>
      </c>
      <c r="AH49" s="63">
        <v>16.2</v>
      </c>
      <c r="AI49" s="63">
        <v>31.9</v>
      </c>
      <c r="AJ49" s="63">
        <v>75.0</v>
      </c>
      <c r="AK49" s="63">
        <v>85.0</v>
      </c>
      <c r="AL49" s="69">
        <v>56.2</v>
      </c>
      <c r="AM49" s="70">
        <v>21.0</v>
      </c>
      <c r="AN49" s="70">
        <v>47.0</v>
      </c>
      <c r="AO49" s="69">
        <v>365.0</v>
      </c>
      <c r="AP49" s="68" t="s">
        <v>212</v>
      </c>
      <c r="AQ49" s="68" t="s">
        <v>213</v>
      </c>
      <c r="AR49" s="69">
        <v>1.0</v>
      </c>
      <c r="AS49" s="70">
        <v>0.0</v>
      </c>
      <c r="AT49" s="69">
        <v>7.0</v>
      </c>
      <c r="AU49" s="69">
        <v>49.2</v>
      </c>
      <c r="AV49" s="70">
        <v>24.0</v>
      </c>
      <c r="AW49" s="70">
        <v>46.0</v>
      </c>
      <c r="AX49" s="70" t="s">
        <v>214</v>
      </c>
      <c r="AY49" s="42" t="s">
        <v>215</v>
      </c>
    </row>
    <row r="50">
      <c r="A50" s="42" t="s">
        <v>343</v>
      </c>
      <c r="B50" s="63">
        <v>119.16</v>
      </c>
      <c r="C50" s="63">
        <v>0.0</v>
      </c>
      <c r="D50" s="63">
        <v>0.0</v>
      </c>
      <c r="E50" s="63">
        <v>730.0</v>
      </c>
      <c r="F50" s="63">
        <v>730.0</v>
      </c>
      <c r="G50" s="42" t="s">
        <v>188</v>
      </c>
      <c r="H50" s="63" t="s">
        <v>189</v>
      </c>
      <c r="I50" s="64"/>
      <c r="J50" s="42" t="s">
        <v>190</v>
      </c>
      <c r="K50" s="42" t="s">
        <v>340</v>
      </c>
      <c r="L50" s="65"/>
      <c r="M50" s="65"/>
      <c r="N50" s="65"/>
      <c r="O50" s="65"/>
      <c r="P50" s="42" t="s">
        <v>188</v>
      </c>
      <c r="Q50" s="42" t="s">
        <v>207</v>
      </c>
      <c r="R50" s="42" t="s">
        <v>188</v>
      </c>
      <c r="S50" s="42" t="s">
        <v>344</v>
      </c>
      <c r="T50" s="42" t="s">
        <v>342</v>
      </c>
      <c r="U50" s="64"/>
      <c r="V50" s="42" t="s">
        <v>195</v>
      </c>
      <c r="W50" s="64"/>
      <c r="X50" s="66" t="s">
        <v>196</v>
      </c>
      <c r="Y50" s="67" t="s">
        <v>197</v>
      </c>
      <c r="Z50" s="79"/>
      <c r="AA50" s="68" t="s">
        <v>190</v>
      </c>
      <c r="AB50" s="68" t="s">
        <v>199</v>
      </c>
      <c r="AC50" s="63">
        <v>10.0</v>
      </c>
      <c r="AD50" s="63">
        <v>100.0</v>
      </c>
      <c r="AE50" s="63">
        <v>70.0</v>
      </c>
      <c r="AF50" s="63">
        <v>60.0</v>
      </c>
      <c r="AG50" s="63">
        <v>66.0</v>
      </c>
      <c r="AH50" s="63">
        <v>16.68</v>
      </c>
      <c r="AI50" s="63">
        <v>35.0</v>
      </c>
      <c r="AJ50" s="63">
        <v>75.0</v>
      </c>
      <c r="AK50" s="63">
        <v>85.0</v>
      </c>
      <c r="AL50" s="69">
        <v>53.2</v>
      </c>
      <c r="AM50" s="70">
        <v>32.0</v>
      </c>
      <c r="AN50" s="70">
        <v>60.0</v>
      </c>
      <c r="AO50" s="69">
        <v>730.0</v>
      </c>
      <c r="AP50" s="68" t="s">
        <v>212</v>
      </c>
      <c r="AQ50" s="68" t="s">
        <v>213</v>
      </c>
      <c r="AR50" s="69">
        <v>0.0</v>
      </c>
      <c r="AS50" s="70">
        <v>0.0</v>
      </c>
      <c r="AT50" s="69">
        <v>0.0</v>
      </c>
      <c r="AU50" s="69">
        <v>53.2</v>
      </c>
      <c r="AV50" s="70">
        <v>10.0</v>
      </c>
      <c r="AW50" s="70">
        <v>30.0</v>
      </c>
      <c r="AX50" s="70" t="s">
        <v>214</v>
      </c>
      <c r="AY50" s="42" t="s">
        <v>215</v>
      </c>
    </row>
    <row r="51">
      <c r="A51" s="42" t="s">
        <v>345</v>
      </c>
      <c r="B51" s="63">
        <v>104.41</v>
      </c>
      <c r="C51" s="63">
        <v>0.0</v>
      </c>
      <c r="D51" s="63">
        <v>0.0</v>
      </c>
      <c r="E51" s="63">
        <v>90.0</v>
      </c>
      <c r="F51" s="63">
        <v>90.0</v>
      </c>
      <c r="G51" s="42" t="s">
        <v>188</v>
      </c>
      <c r="H51" s="63" t="s">
        <v>189</v>
      </c>
      <c r="I51" s="64"/>
      <c r="J51" s="42" t="s">
        <v>190</v>
      </c>
      <c r="K51" s="42" t="s">
        <v>340</v>
      </c>
      <c r="L51" s="65"/>
      <c r="M51" s="65"/>
      <c r="N51" s="65"/>
      <c r="O51" s="65"/>
      <c r="P51" s="42" t="s">
        <v>188</v>
      </c>
      <c r="Q51" s="42" t="s">
        <v>207</v>
      </c>
      <c r="R51" s="42" t="s">
        <v>188</v>
      </c>
      <c r="S51" s="42" t="s">
        <v>346</v>
      </c>
      <c r="T51" s="42" t="s">
        <v>342</v>
      </c>
      <c r="U51" s="64"/>
      <c r="V51" s="42" t="s">
        <v>195</v>
      </c>
      <c r="W51" s="64"/>
      <c r="X51" s="66" t="s">
        <v>196</v>
      </c>
      <c r="Y51" s="67" t="s">
        <v>197</v>
      </c>
      <c r="Z51" s="66" t="s">
        <v>198</v>
      </c>
      <c r="AA51" s="68" t="s">
        <v>190</v>
      </c>
      <c r="AB51" s="68" t="s">
        <v>211</v>
      </c>
      <c r="AC51" s="63">
        <v>45.0</v>
      </c>
      <c r="AD51" s="63">
        <v>100.0</v>
      </c>
      <c r="AE51" s="63">
        <v>70.0</v>
      </c>
      <c r="AF51" s="63">
        <v>60.0</v>
      </c>
      <c r="AG51" s="63">
        <v>66.0</v>
      </c>
      <c r="AH51" s="63">
        <v>14.62</v>
      </c>
      <c r="AI51" s="63">
        <v>21.5</v>
      </c>
      <c r="AJ51" s="63">
        <v>75.0</v>
      </c>
      <c r="AK51" s="63">
        <v>85.0</v>
      </c>
      <c r="AL51" s="69">
        <v>58.9</v>
      </c>
      <c r="AM51" s="70">
        <v>11.0</v>
      </c>
      <c r="AN51" s="70">
        <v>29.0</v>
      </c>
      <c r="AO51" s="69">
        <v>90.0</v>
      </c>
      <c r="AP51" s="68" t="s">
        <v>212</v>
      </c>
      <c r="AQ51" s="68" t="s">
        <v>213</v>
      </c>
      <c r="AR51" s="69">
        <v>3.0</v>
      </c>
      <c r="AS51" s="70">
        <v>2.0</v>
      </c>
      <c r="AT51" s="69">
        <v>18.0</v>
      </c>
      <c r="AU51" s="69">
        <v>40.9</v>
      </c>
      <c r="AV51" s="70">
        <v>11.0</v>
      </c>
      <c r="AW51" s="70">
        <v>56.0</v>
      </c>
      <c r="AX51" s="70" t="s">
        <v>214</v>
      </c>
      <c r="AY51" s="42" t="s">
        <v>215</v>
      </c>
    </row>
    <row r="52">
      <c r="A52" s="42" t="s">
        <v>347</v>
      </c>
      <c r="B52" s="63">
        <v>108.76</v>
      </c>
      <c r="C52" s="63">
        <v>0.0</v>
      </c>
      <c r="D52" s="63">
        <v>0.0</v>
      </c>
      <c r="E52" s="63">
        <v>180.0</v>
      </c>
      <c r="F52" s="63">
        <v>180.0</v>
      </c>
      <c r="G52" s="42" t="s">
        <v>188</v>
      </c>
      <c r="H52" s="63" t="s">
        <v>189</v>
      </c>
      <c r="I52" s="64"/>
      <c r="J52" s="42" t="s">
        <v>190</v>
      </c>
      <c r="K52" s="42" t="s">
        <v>340</v>
      </c>
      <c r="L52" s="65"/>
      <c r="M52" s="65"/>
      <c r="N52" s="65"/>
      <c r="O52" s="65"/>
      <c r="P52" s="42" t="s">
        <v>188</v>
      </c>
      <c r="Q52" s="42" t="s">
        <v>207</v>
      </c>
      <c r="R52" s="42" t="s">
        <v>188</v>
      </c>
      <c r="S52" s="42" t="s">
        <v>348</v>
      </c>
      <c r="T52" s="42" t="s">
        <v>342</v>
      </c>
      <c r="U52" s="64"/>
      <c r="V52" s="42" t="s">
        <v>195</v>
      </c>
      <c r="W52" s="64"/>
      <c r="X52" s="66" t="s">
        <v>196</v>
      </c>
      <c r="Y52" s="67" t="s">
        <v>197</v>
      </c>
      <c r="Z52" s="66" t="s">
        <v>198</v>
      </c>
      <c r="AA52" s="68" t="s">
        <v>190</v>
      </c>
      <c r="AB52" s="68" t="s">
        <v>211</v>
      </c>
      <c r="AC52" s="63">
        <v>45.0</v>
      </c>
      <c r="AD52" s="63">
        <v>100.0</v>
      </c>
      <c r="AE52" s="63">
        <v>70.0</v>
      </c>
      <c r="AF52" s="63">
        <v>60.0</v>
      </c>
      <c r="AG52" s="63">
        <v>66.0</v>
      </c>
      <c r="AH52" s="63">
        <v>15.23</v>
      </c>
      <c r="AI52" s="63">
        <v>25.5</v>
      </c>
      <c r="AJ52" s="63">
        <v>75.0</v>
      </c>
      <c r="AK52" s="63">
        <v>85.0</v>
      </c>
      <c r="AL52" s="69">
        <v>59.8</v>
      </c>
      <c r="AM52" s="70">
        <v>10.0</v>
      </c>
      <c r="AN52" s="70">
        <v>28.0</v>
      </c>
      <c r="AO52" s="69">
        <v>180.0</v>
      </c>
      <c r="AP52" s="68" t="s">
        <v>212</v>
      </c>
      <c r="AQ52" s="68" t="s">
        <v>213</v>
      </c>
      <c r="AR52" s="69">
        <v>2.0</v>
      </c>
      <c r="AS52" s="70">
        <v>1.0</v>
      </c>
      <c r="AT52" s="69">
        <v>14.0</v>
      </c>
      <c r="AU52" s="69">
        <v>45.8</v>
      </c>
      <c r="AV52" s="70">
        <v>10.0</v>
      </c>
      <c r="AW52" s="70">
        <v>50.0</v>
      </c>
      <c r="AX52" s="70" t="s">
        <v>214</v>
      </c>
      <c r="AY52" s="42" t="s">
        <v>215</v>
      </c>
    </row>
    <row r="53">
      <c r="A53" s="42" t="s">
        <v>349</v>
      </c>
      <c r="B53" s="63">
        <v>100.0</v>
      </c>
      <c r="C53" s="63">
        <v>0.0</v>
      </c>
      <c r="D53" s="63">
        <v>0.0</v>
      </c>
      <c r="E53" s="63">
        <v>1.0</v>
      </c>
      <c r="F53" s="63">
        <v>31.0</v>
      </c>
      <c r="G53" s="42" t="s">
        <v>188</v>
      </c>
      <c r="H53" s="63" t="s">
        <v>294</v>
      </c>
      <c r="I53" s="64"/>
      <c r="J53" s="42" t="s">
        <v>190</v>
      </c>
      <c r="K53" s="42" t="s">
        <v>191</v>
      </c>
      <c r="L53" s="65"/>
      <c r="M53" s="65"/>
      <c r="N53" s="65"/>
      <c r="O53" s="65"/>
      <c r="P53" s="42" t="s">
        <v>188</v>
      </c>
      <c r="Q53" s="42" t="s">
        <v>207</v>
      </c>
      <c r="R53" s="42" t="s">
        <v>188</v>
      </c>
      <c r="S53" s="42" t="s">
        <v>350</v>
      </c>
      <c r="T53" s="42" t="s">
        <v>351</v>
      </c>
      <c r="U53" s="64"/>
      <c r="V53" s="42" t="s">
        <v>195</v>
      </c>
      <c r="W53" s="64"/>
      <c r="X53" s="66" t="s">
        <v>196</v>
      </c>
      <c r="Y53" s="67" t="s">
        <v>197</v>
      </c>
      <c r="Z53" s="66" t="s">
        <v>244</v>
      </c>
      <c r="AA53" s="68" t="s">
        <v>190</v>
      </c>
      <c r="AB53" s="68" t="s">
        <v>276</v>
      </c>
      <c r="AC53" s="63">
        <v>65.0</v>
      </c>
      <c r="AD53" s="63">
        <v>90.0</v>
      </c>
      <c r="AE53" s="63">
        <v>70.0</v>
      </c>
      <c r="AF53" s="63">
        <v>60.0</v>
      </c>
      <c r="AG53" s="63">
        <v>66.0</v>
      </c>
      <c r="AH53" s="63">
        <v>14.0</v>
      </c>
      <c r="AI53" s="63">
        <v>17.5</v>
      </c>
      <c r="AJ53" s="63">
        <v>40.0</v>
      </c>
      <c r="AK53" s="63">
        <v>85.0</v>
      </c>
      <c r="AL53" s="69">
        <v>57.8</v>
      </c>
      <c r="AM53" s="70">
        <v>4.0</v>
      </c>
      <c r="AN53" s="70">
        <v>33.0</v>
      </c>
      <c r="AO53" s="69">
        <v>31.0</v>
      </c>
      <c r="AP53" s="68" t="s">
        <v>212</v>
      </c>
      <c r="AQ53" s="68" t="s">
        <v>213</v>
      </c>
      <c r="AR53" s="69">
        <v>1.0</v>
      </c>
      <c r="AS53" s="70">
        <v>1.0</v>
      </c>
      <c r="AT53" s="69">
        <v>7.0</v>
      </c>
      <c r="AU53" s="69">
        <v>50.8</v>
      </c>
      <c r="AV53" s="70">
        <v>4.0</v>
      </c>
      <c r="AW53" s="70">
        <v>37.0</v>
      </c>
      <c r="AX53" s="70" t="s">
        <v>214</v>
      </c>
      <c r="AY53" s="42" t="s">
        <v>352</v>
      </c>
    </row>
    <row r="54">
      <c r="A54" s="42" t="s">
        <v>353</v>
      </c>
      <c r="B54" s="63">
        <v>10.84</v>
      </c>
      <c r="C54" s="63">
        <v>0.0</v>
      </c>
      <c r="D54" s="63">
        <v>0.0</v>
      </c>
      <c r="E54" s="63">
        <v>1825.0</v>
      </c>
      <c r="F54" s="63">
        <v>1825.0</v>
      </c>
      <c r="G54" s="42" t="s">
        <v>190</v>
      </c>
      <c r="H54" s="68" t="s">
        <v>233</v>
      </c>
      <c r="I54" s="64"/>
      <c r="J54" s="42" t="s">
        <v>190</v>
      </c>
      <c r="K54" s="42" t="s">
        <v>354</v>
      </c>
      <c r="L54" s="65"/>
      <c r="M54" s="65"/>
      <c r="N54" s="65"/>
      <c r="O54" s="65"/>
      <c r="P54" s="42" t="s">
        <v>188</v>
      </c>
      <c r="Q54" s="42" t="s">
        <v>265</v>
      </c>
      <c r="R54" s="42" t="s">
        <v>190</v>
      </c>
      <c r="S54" s="42" t="s">
        <v>355</v>
      </c>
      <c r="T54" s="42" t="s">
        <v>267</v>
      </c>
      <c r="U54" s="64"/>
      <c r="V54" s="42" t="s">
        <v>220</v>
      </c>
      <c r="W54" s="64"/>
      <c r="X54" s="66" t="s">
        <v>196</v>
      </c>
      <c r="Y54" s="67" t="s">
        <v>197</v>
      </c>
      <c r="Z54" s="66" t="s">
        <v>198</v>
      </c>
      <c r="AA54" s="68" t="s">
        <v>190</v>
      </c>
      <c r="AB54" s="68" t="s">
        <v>199</v>
      </c>
      <c r="AC54" s="63">
        <v>10.0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10.84</v>
      </c>
      <c r="AI54" s="63">
        <v>0.0</v>
      </c>
      <c r="AJ54" s="63">
        <v>100.0</v>
      </c>
      <c r="AK54" s="63">
        <v>85.0</v>
      </c>
      <c r="AL54" s="69">
        <v>49.5</v>
      </c>
      <c r="AM54" s="70">
        <v>48.0</v>
      </c>
      <c r="AN54" s="70">
        <v>76.0</v>
      </c>
      <c r="AO54" s="69">
        <v>1825.0</v>
      </c>
      <c r="AP54" s="68" t="s">
        <v>212</v>
      </c>
      <c r="AQ54" s="68" t="s">
        <v>213</v>
      </c>
      <c r="AR54" s="69">
        <v>4.0</v>
      </c>
      <c r="AS54" s="70">
        <v>4.0</v>
      </c>
      <c r="AT54" s="69">
        <v>18.0</v>
      </c>
      <c r="AU54" s="69">
        <v>31.5</v>
      </c>
      <c r="AV54" s="70">
        <v>48.0</v>
      </c>
      <c r="AW54" s="70">
        <v>76.0</v>
      </c>
      <c r="AX54" s="70" t="s">
        <v>334</v>
      </c>
      <c r="AY54" s="42" t="s">
        <v>255</v>
      </c>
    </row>
    <row r="55">
      <c r="A55" s="42" t="s">
        <v>356</v>
      </c>
      <c r="B55" s="63">
        <v>88.0</v>
      </c>
      <c r="C55" s="63">
        <v>0.0</v>
      </c>
      <c r="D55" s="63">
        <v>0.0</v>
      </c>
      <c r="E55" s="63">
        <v>1080.0</v>
      </c>
      <c r="F55" s="63">
        <v>90.0</v>
      </c>
      <c r="G55" s="42" t="s">
        <v>190</v>
      </c>
      <c r="H55" s="63" t="s">
        <v>189</v>
      </c>
      <c r="I55" s="64"/>
      <c r="J55" s="42" t="s">
        <v>190</v>
      </c>
      <c r="K55" s="42" t="s">
        <v>354</v>
      </c>
      <c r="L55" s="65"/>
      <c r="M55" s="65"/>
      <c r="N55" s="65"/>
      <c r="O55" s="65"/>
      <c r="P55" s="42" t="s">
        <v>188</v>
      </c>
      <c r="Q55" s="42" t="s">
        <v>207</v>
      </c>
      <c r="R55" s="42" t="s">
        <v>190</v>
      </c>
      <c r="S55" s="42" t="s">
        <v>357</v>
      </c>
      <c r="T55" s="42" t="s">
        <v>358</v>
      </c>
      <c r="U55" s="64"/>
      <c r="V55" s="42" t="s">
        <v>220</v>
      </c>
      <c r="W55" s="64"/>
      <c r="X55" s="66" t="s">
        <v>196</v>
      </c>
      <c r="Y55" s="67" t="s">
        <v>197</v>
      </c>
      <c r="Z55" s="66" t="s">
        <v>244</v>
      </c>
      <c r="AA55" s="68" t="s">
        <v>190</v>
      </c>
      <c r="AB55" s="68" t="s">
        <v>211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12.32</v>
      </c>
      <c r="AI55" s="63">
        <v>6.5</v>
      </c>
      <c r="AJ55" s="63">
        <v>100.0</v>
      </c>
      <c r="AK55" s="63">
        <v>85.0</v>
      </c>
      <c r="AL55" s="69">
        <v>63.3</v>
      </c>
      <c r="AM55" s="70">
        <v>6.0</v>
      </c>
      <c r="AN55" s="70">
        <v>19.0</v>
      </c>
      <c r="AO55" s="69">
        <v>90.0</v>
      </c>
      <c r="AP55" s="68" t="s">
        <v>212</v>
      </c>
      <c r="AQ55" s="68" t="s">
        <v>213</v>
      </c>
      <c r="AR55" s="69">
        <v>0.0</v>
      </c>
      <c r="AS55" s="70">
        <v>0.0</v>
      </c>
      <c r="AT55" s="69">
        <v>0.0</v>
      </c>
      <c r="AU55" s="69">
        <v>63.3</v>
      </c>
      <c r="AV55" s="70">
        <v>3.0</v>
      </c>
      <c r="AW55" s="70">
        <v>11.0</v>
      </c>
      <c r="AX55" s="70" t="s">
        <v>334</v>
      </c>
      <c r="AY55" s="42" t="s">
        <v>215</v>
      </c>
    </row>
    <row r="56">
      <c r="A56" s="42" t="s">
        <v>359</v>
      </c>
      <c r="B56" s="63">
        <v>5.5</v>
      </c>
      <c r="C56" s="63">
        <v>0.0</v>
      </c>
      <c r="D56" s="63">
        <v>0.0</v>
      </c>
      <c r="E56" s="63">
        <v>1080.0</v>
      </c>
      <c r="F56" s="63">
        <v>1080.0</v>
      </c>
      <c r="G56" s="42" t="s">
        <v>190</v>
      </c>
      <c r="H56" s="63" t="s">
        <v>233</v>
      </c>
      <c r="I56" s="64"/>
      <c r="J56" s="42" t="s">
        <v>190</v>
      </c>
      <c r="K56" s="42" t="s">
        <v>354</v>
      </c>
      <c r="L56" s="65"/>
      <c r="M56" s="65"/>
      <c r="N56" s="65"/>
      <c r="O56" s="65"/>
      <c r="P56" s="42" t="s">
        <v>188</v>
      </c>
      <c r="Q56" s="42" t="s">
        <v>360</v>
      </c>
      <c r="R56" s="42" t="s">
        <v>190</v>
      </c>
      <c r="S56" s="42" t="s">
        <v>361</v>
      </c>
      <c r="T56" s="68" t="s">
        <v>267</v>
      </c>
      <c r="U56" s="64"/>
      <c r="V56" s="42" t="s">
        <v>195</v>
      </c>
      <c r="W56" s="64"/>
      <c r="X56" s="66" t="s">
        <v>196</v>
      </c>
      <c r="Y56" s="71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80.0</v>
      </c>
      <c r="AE56" s="63">
        <v>90.0</v>
      </c>
      <c r="AF56" s="63">
        <v>60.0</v>
      </c>
      <c r="AG56" s="63">
        <v>78.0</v>
      </c>
      <c r="AH56" s="63">
        <v>10.0</v>
      </c>
      <c r="AI56" s="63">
        <v>0.0</v>
      </c>
      <c r="AJ56" s="63">
        <v>100.0</v>
      </c>
      <c r="AK56" s="63">
        <v>85.0</v>
      </c>
      <c r="AL56" s="69">
        <v>46.8</v>
      </c>
      <c r="AM56" s="70">
        <v>49.0</v>
      </c>
      <c r="AN56" s="70">
        <v>77.0</v>
      </c>
      <c r="AO56" s="69">
        <v>1080.0</v>
      </c>
      <c r="AP56" s="68" t="s">
        <v>212</v>
      </c>
      <c r="AQ56" s="68" t="s">
        <v>213</v>
      </c>
      <c r="AR56" s="69">
        <v>7.0</v>
      </c>
      <c r="AS56" s="70">
        <v>6.0</v>
      </c>
      <c r="AT56" s="69">
        <v>18.0</v>
      </c>
      <c r="AU56" s="69">
        <v>28.8</v>
      </c>
      <c r="AV56" s="70">
        <v>49.0</v>
      </c>
      <c r="AW56" s="70">
        <v>77.0</v>
      </c>
      <c r="AX56" s="70" t="s">
        <v>334</v>
      </c>
      <c r="AY56" s="42" t="s">
        <v>249</v>
      </c>
    </row>
    <row r="57">
      <c r="A57" s="42" t="s">
        <v>362</v>
      </c>
      <c r="B57" s="63">
        <v>93.5</v>
      </c>
      <c r="C57" s="63">
        <v>0.0</v>
      </c>
      <c r="D57" s="63">
        <v>0.0</v>
      </c>
      <c r="E57" s="63">
        <v>730.0</v>
      </c>
      <c r="F57" s="63">
        <v>730.0</v>
      </c>
      <c r="G57" s="42" t="s">
        <v>190</v>
      </c>
      <c r="H57" s="68" t="s">
        <v>233</v>
      </c>
      <c r="I57" s="64"/>
      <c r="J57" s="42" t="s">
        <v>190</v>
      </c>
      <c r="K57" s="42" t="s">
        <v>354</v>
      </c>
      <c r="L57" s="65"/>
      <c r="M57" s="65"/>
      <c r="N57" s="65"/>
      <c r="O57" s="65"/>
      <c r="P57" s="42" t="s">
        <v>188</v>
      </c>
      <c r="Q57" s="42" t="s">
        <v>207</v>
      </c>
      <c r="R57" s="42" t="s">
        <v>190</v>
      </c>
      <c r="S57" s="42" t="s">
        <v>363</v>
      </c>
      <c r="T57" s="42" t="s">
        <v>364</v>
      </c>
      <c r="U57" s="64"/>
      <c r="V57" s="42" t="s">
        <v>220</v>
      </c>
      <c r="W57" s="64"/>
      <c r="X57" s="76" t="s">
        <v>275</v>
      </c>
      <c r="Y57" s="67" t="s">
        <v>197</v>
      </c>
      <c r="Z57" s="76" t="s">
        <v>198</v>
      </c>
      <c r="AA57" s="68" t="s">
        <v>190</v>
      </c>
      <c r="AB57" s="68" t="s">
        <v>199</v>
      </c>
      <c r="AC57" s="63">
        <v>10.0</v>
      </c>
      <c r="AD57" s="63">
        <v>80.0</v>
      </c>
      <c r="AE57" s="63">
        <v>90.0</v>
      </c>
      <c r="AF57" s="63">
        <v>95.0</v>
      </c>
      <c r="AG57" s="63">
        <v>92.0</v>
      </c>
      <c r="AH57" s="63">
        <v>13.09</v>
      </c>
      <c r="AI57" s="63">
        <v>11.5</v>
      </c>
      <c r="AJ57" s="63">
        <v>100.0</v>
      </c>
      <c r="AK57" s="63">
        <v>85.0</v>
      </c>
      <c r="AL57" s="69">
        <v>52.1</v>
      </c>
      <c r="AM57" s="70">
        <v>36.0</v>
      </c>
      <c r="AN57" s="70">
        <v>64.0</v>
      </c>
      <c r="AO57" s="69">
        <v>730.0</v>
      </c>
      <c r="AP57" s="68" t="s">
        <v>212</v>
      </c>
      <c r="AQ57" s="68" t="s">
        <v>213</v>
      </c>
      <c r="AR57" s="69">
        <v>0.0</v>
      </c>
      <c r="AS57" s="70">
        <v>0.0</v>
      </c>
      <c r="AT57" s="69">
        <v>0.0</v>
      </c>
      <c r="AU57" s="69">
        <v>52.1</v>
      </c>
      <c r="AV57" s="70">
        <v>11.0</v>
      </c>
      <c r="AW57" s="70">
        <v>31.0</v>
      </c>
      <c r="AX57" s="70" t="s">
        <v>334</v>
      </c>
      <c r="AY57" s="42" t="s">
        <v>215</v>
      </c>
    </row>
    <row r="58">
      <c r="A58" s="42" t="s">
        <v>365</v>
      </c>
      <c r="B58" s="63">
        <v>12.05</v>
      </c>
      <c r="C58" s="63">
        <v>0.0</v>
      </c>
      <c r="D58" s="63">
        <v>0.0</v>
      </c>
      <c r="E58" s="63">
        <v>365.0</v>
      </c>
      <c r="F58" s="63">
        <v>365.0</v>
      </c>
      <c r="G58" s="42" t="s">
        <v>190</v>
      </c>
      <c r="H58" s="68" t="s">
        <v>233</v>
      </c>
      <c r="I58" s="64"/>
      <c r="J58" s="42" t="s">
        <v>190</v>
      </c>
      <c r="K58" s="42" t="s">
        <v>354</v>
      </c>
      <c r="L58" s="65"/>
      <c r="M58" s="65"/>
      <c r="N58" s="65"/>
      <c r="O58" s="65"/>
      <c r="P58" s="42" t="s">
        <v>188</v>
      </c>
      <c r="Q58" s="42" t="s">
        <v>265</v>
      </c>
      <c r="R58" s="42" t="s">
        <v>190</v>
      </c>
      <c r="S58" s="42" t="s">
        <v>366</v>
      </c>
      <c r="T58" s="42" t="s">
        <v>364</v>
      </c>
      <c r="U58" s="64"/>
      <c r="V58" s="42" t="s">
        <v>220</v>
      </c>
      <c r="W58" s="64"/>
      <c r="X58" s="66" t="s">
        <v>196</v>
      </c>
      <c r="Y58" s="67" t="s">
        <v>197</v>
      </c>
      <c r="Z58" s="79"/>
      <c r="AA58" s="68" t="s">
        <v>190</v>
      </c>
      <c r="AB58" s="68" t="s">
        <v>199</v>
      </c>
      <c r="AC58" s="63">
        <v>25.0</v>
      </c>
      <c r="AD58" s="63">
        <v>80.0</v>
      </c>
      <c r="AE58" s="63">
        <v>90.0</v>
      </c>
      <c r="AF58" s="63">
        <v>95.0</v>
      </c>
      <c r="AG58" s="63">
        <v>92.0</v>
      </c>
      <c r="AH58" s="63">
        <v>12.05</v>
      </c>
      <c r="AI58" s="63">
        <v>4.7</v>
      </c>
      <c r="AJ58" s="63">
        <v>100.0</v>
      </c>
      <c r="AK58" s="63">
        <v>85.0</v>
      </c>
      <c r="AL58" s="69">
        <v>54.3</v>
      </c>
      <c r="AM58" s="70">
        <v>27.0</v>
      </c>
      <c r="AN58" s="70">
        <v>54.0</v>
      </c>
      <c r="AO58" s="69">
        <v>365.0</v>
      </c>
      <c r="AP58" s="68" t="s">
        <v>212</v>
      </c>
      <c r="AQ58" s="68" t="s">
        <v>213</v>
      </c>
      <c r="AR58" s="69">
        <v>0.0</v>
      </c>
      <c r="AS58" s="70">
        <v>0.0</v>
      </c>
      <c r="AT58" s="69">
        <v>0.0</v>
      </c>
      <c r="AU58" s="69">
        <v>54.3</v>
      </c>
      <c r="AV58" s="70">
        <v>8.0</v>
      </c>
      <c r="AW58" s="70">
        <v>26.0</v>
      </c>
      <c r="AX58" s="70" t="s">
        <v>334</v>
      </c>
      <c r="AY58" s="42" t="s">
        <v>255</v>
      </c>
    </row>
    <row r="59">
      <c r="A59" s="42" t="s">
        <v>367</v>
      </c>
      <c r="B59" s="63">
        <v>11.86</v>
      </c>
      <c r="C59" s="63">
        <v>0.0</v>
      </c>
      <c r="D59" s="63">
        <v>0.0</v>
      </c>
      <c r="E59" s="63">
        <v>730.0</v>
      </c>
      <c r="F59" s="63">
        <v>730.0</v>
      </c>
      <c r="G59" s="42" t="s">
        <v>190</v>
      </c>
      <c r="H59" s="68" t="s">
        <v>233</v>
      </c>
      <c r="I59" s="64"/>
      <c r="J59" s="42" t="s">
        <v>190</v>
      </c>
      <c r="K59" s="42" t="s">
        <v>354</v>
      </c>
      <c r="L59" s="65"/>
      <c r="M59" s="65"/>
      <c r="N59" s="65"/>
      <c r="O59" s="65"/>
      <c r="P59" s="42" t="s">
        <v>188</v>
      </c>
      <c r="Q59" s="42" t="s">
        <v>265</v>
      </c>
      <c r="R59" s="42" t="s">
        <v>190</v>
      </c>
      <c r="S59" s="42" t="s">
        <v>368</v>
      </c>
      <c r="T59" s="42" t="s">
        <v>364</v>
      </c>
      <c r="U59" s="64"/>
      <c r="V59" s="42" t="s">
        <v>220</v>
      </c>
      <c r="W59" s="64"/>
      <c r="X59" s="66" t="s">
        <v>196</v>
      </c>
      <c r="Y59" s="67" t="s">
        <v>197</v>
      </c>
      <c r="Z59" s="66" t="s">
        <v>198</v>
      </c>
      <c r="AA59" s="68" t="s">
        <v>190</v>
      </c>
      <c r="AB59" s="68" t="s">
        <v>199</v>
      </c>
      <c r="AC59" s="63">
        <v>10.0</v>
      </c>
      <c r="AD59" s="63">
        <v>80.0</v>
      </c>
      <c r="AE59" s="63">
        <v>90.0</v>
      </c>
      <c r="AF59" s="63">
        <v>95.0</v>
      </c>
      <c r="AG59" s="63">
        <v>92.0</v>
      </c>
      <c r="AH59" s="63">
        <v>11.86</v>
      </c>
      <c r="AI59" s="63">
        <v>3.5</v>
      </c>
      <c r="AJ59" s="63">
        <v>100.0</v>
      </c>
      <c r="AK59" s="63">
        <v>85.0</v>
      </c>
      <c r="AL59" s="69">
        <v>50.3</v>
      </c>
      <c r="AM59" s="70">
        <v>44.0</v>
      </c>
      <c r="AN59" s="70">
        <v>72.0</v>
      </c>
      <c r="AO59" s="69">
        <v>730.0</v>
      </c>
      <c r="AP59" s="68" t="s">
        <v>212</v>
      </c>
      <c r="AQ59" s="68" t="s">
        <v>213</v>
      </c>
      <c r="AR59" s="69">
        <v>1.0</v>
      </c>
      <c r="AS59" s="70">
        <v>1.0</v>
      </c>
      <c r="AT59" s="69">
        <v>7.0</v>
      </c>
      <c r="AU59" s="69">
        <v>43.3</v>
      </c>
      <c r="AV59" s="70">
        <v>27.0</v>
      </c>
      <c r="AW59" s="70">
        <v>52.0</v>
      </c>
      <c r="AX59" s="70" t="s">
        <v>334</v>
      </c>
      <c r="AY59" s="42" t="s">
        <v>255</v>
      </c>
    </row>
    <row r="60">
      <c r="A60" s="42" t="s">
        <v>369</v>
      </c>
      <c r="B60" s="63">
        <v>11.8</v>
      </c>
      <c r="C60" s="63">
        <v>0.0</v>
      </c>
      <c r="D60" s="63">
        <v>0.0</v>
      </c>
      <c r="E60" s="63">
        <v>1095.0</v>
      </c>
      <c r="F60" s="63">
        <v>1095.0</v>
      </c>
      <c r="G60" s="42" t="s">
        <v>190</v>
      </c>
      <c r="H60" s="68" t="s">
        <v>233</v>
      </c>
      <c r="I60" s="64"/>
      <c r="J60" s="42" t="s">
        <v>190</v>
      </c>
      <c r="K60" s="42" t="s">
        <v>354</v>
      </c>
      <c r="L60" s="65"/>
      <c r="M60" s="65"/>
      <c r="N60" s="65"/>
      <c r="O60" s="65"/>
      <c r="P60" s="42" t="s">
        <v>188</v>
      </c>
      <c r="Q60" s="42" t="s">
        <v>265</v>
      </c>
      <c r="R60" s="42" t="s">
        <v>190</v>
      </c>
      <c r="S60" s="42" t="s">
        <v>370</v>
      </c>
      <c r="T60" s="42" t="s">
        <v>364</v>
      </c>
      <c r="U60" s="64"/>
      <c r="V60" s="42" t="s">
        <v>220</v>
      </c>
      <c r="W60" s="64"/>
      <c r="X60" s="66" t="s">
        <v>196</v>
      </c>
      <c r="Y60" s="67" t="s">
        <v>197</v>
      </c>
      <c r="Z60" s="66" t="s">
        <v>198</v>
      </c>
      <c r="AA60" s="68" t="s">
        <v>190</v>
      </c>
      <c r="AB60" s="68" t="s">
        <v>199</v>
      </c>
      <c r="AC60" s="63">
        <v>10.0</v>
      </c>
      <c r="AD60" s="63">
        <v>80.0</v>
      </c>
      <c r="AE60" s="63">
        <v>90.0</v>
      </c>
      <c r="AF60" s="63">
        <v>95.0</v>
      </c>
      <c r="AG60" s="63">
        <v>92.0</v>
      </c>
      <c r="AH60" s="63">
        <v>11.8</v>
      </c>
      <c r="AI60" s="63">
        <v>3.1</v>
      </c>
      <c r="AJ60" s="63">
        <v>100.0</v>
      </c>
      <c r="AK60" s="63">
        <v>85.0</v>
      </c>
      <c r="AL60" s="69">
        <v>50.2</v>
      </c>
      <c r="AM60" s="70">
        <v>45.0</v>
      </c>
      <c r="AN60" s="70">
        <v>73.0</v>
      </c>
      <c r="AO60" s="69">
        <v>1095.0</v>
      </c>
      <c r="AP60" s="68" t="s">
        <v>212</v>
      </c>
      <c r="AQ60" s="68" t="s">
        <v>213</v>
      </c>
      <c r="AR60" s="69">
        <v>1.0</v>
      </c>
      <c r="AS60" s="70">
        <v>1.0</v>
      </c>
      <c r="AT60" s="69">
        <v>7.0</v>
      </c>
      <c r="AU60" s="69">
        <v>43.2</v>
      </c>
      <c r="AV60" s="70">
        <v>28.0</v>
      </c>
      <c r="AW60" s="70">
        <v>53.0</v>
      </c>
      <c r="AX60" s="70" t="s">
        <v>334</v>
      </c>
      <c r="AY60" s="42" t="s">
        <v>255</v>
      </c>
    </row>
    <row r="61">
      <c r="A61" s="42" t="s">
        <v>371</v>
      </c>
      <c r="B61" s="63">
        <v>92.0</v>
      </c>
      <c r="C61" s="63">
        <v>0.0</v>
      </c>
      <c r="D61" s="63">
        <v>0.0</v>
      </c>
      <c r="E61" s="63">
        <v>180.0</v>
      </c>
      <c r="F61" s="63">
        <v>180.0</v>
      </c>
      <c r="G61" s="42" t="s">
        <v>190</v>
      </c>
      <c r="H61" s="63" t="s">
        <v>233</v>
      </c>
      <c r="I61" s="64"/>
      <c r="J61" s="42" t="s">
        <v>190</v>
      </c>
      <c r="K61" s="42" t="s">
        <v>372</v>
      </c>
      <c r="L61" s="65"/>
      <c r="M61" s="65"/>
      <c r="N61" s="65"/>
      <c r="O61" s="65"/>
      <c r="P61" s="42" t="s">
        <v>188</v>
      </c>
      <c r="Q61" s="42" t="s">
        <v>207</v>
      </c>
      <c r="R61" s="42" t="s">
        <v>190</v>
      </c>
      <c r="S61" s="42" t="s">
        <v>373</v>
      </c>
      <c r="T61" s="42" t="s">
        <v>374</v>
      </c>
      <c r="U61" s="64"/>
      <c r="V61" s="42" t="s">
        <v>220</v>
      </c>
      <c r="W61" s="64"/>
      <c r="X61" s="74" t="s">
        <v>243</v>
      </c>
      <c r="Y61" s="71" t="s">
        <v>197</v>
      </c>
      <c r="Z61" s="74" t="s">
        <v>244</v>
      </c>
      <c r="AA61" s="68" t="s">
        <v>190</v>
      </c>
      <c r="AB61" s="68" t="s">
        <v>211</v>
      </c>
      <c r="AC61" s="63">
        <v>45.0</v>
      </c>
      <c r="AD61" s="63">
        <v>80.0</v>
      </c>
      <c r="AE61" s="63">
        <v>90.0</v>
      </c>
      <c r="AF61" s="63">
        <v>95.0</v>
      </c>
      <c r="AG61" s="63">
        <v>92.0</v>
      </c>
      <c r="AH61" s="63">
        <v>12.88</v>
      </c>
      <c r="AI61" s="63">
        <v>10.2</v>
      </c>
      <c r="AJ61" s="63">
        <v>100.0</v>
      </c>
      <c r="AK61" s="63">
        <v>85.0</v>
      </c>
      <c r="AL61" s="69">
        <v>60.5</v>
      </c>
      <c r="AM61" s="70">
        <v>9.0</v>
      </c>
      <c r="AN61" s="70">
        <v>25.0</v>
      </c>
      <c r="AO61" s="69">
        <v>180.0</v>
      </c>
      <c r="AP61" s="68" t="s">
        <v>212</v>
      </c>
      <c r="AQ61" s="68" t="s">
        <v>213</v>
      </c>
      <c r="AR61" s="69">
        <v>0.0</v>
      </c>
      <c r="AS61" s="70">
        <v>0.0</v>
      </c>
      <c r="AT61" s="69">
        <v>0.0</v>
      </c>
      <c r="AU61" s="69">
        <v>60.5</v>
      </c>
      <c r="AV61" s="70">
        <v>6.0</v>
      </c>
      <c r="AW61" s="70">
        <v>16.0</v>
      </c>
      <c r="AX61" s="70" t="s">
        <v>334</v>
      </c>
      <c r="AY61" s="42" t="s">
        <v>215</v>
      </c>
    </row>
    <row r="62">
      <c r="A62" s="42" t="s">
        <v>375</v>
      </c>
      <c r="B62" s="63">
        <v>100.0</v>
      </c>
      <c r="C62" s="63">
        <v>0.0</v>
      </c>
      <c r="D62" s="63">
        <v>0.0</v>
      </c>
      <c r="E62" s="63">
        <v>360.0</v>
      </c>
      <c r="F62" s="63">
        <v>360.0</v>
      </c>
      <c r="G62" s="42" t="s">
        <v>190</v>
      </c>
      <c r="H62" s="63" t="s">
        <v>233</v>
      </c>
      <c r="I62" s="64"/>
      <c r="J62" s="42" t="s">
        <v>190</v>
      </c>
      <c r="K62" s="42" t="s">
        <v>372</v>
      </c>
      <c r="L62" s="65"/>
      <c r="M62" s="65"/>
      <c r="N62" s="65"/>
      <c r="O62" s="65"/>
      <c r="P62" s="42" t="s">
        <v>188</v>
      </c>
      <c r="Q62" s="42" t="s">
        <v>207</v>
      </c>
      <c r="R62" s="42" t="s">
        <v>190</v>
      </c>
      <c r="S62" s="42" t="s">
        <v>376</v>
      </c>
      <c r="T62" s="68" t="s">
        <v>377</v>
      </c>
      <c r="U62" s="64"/>
      <c r="V62" s="42" t="s">
        <v>195</v>
      </c>
      <c r="W62" s="64"/>
      <c r="X62" s="74" t="s">
        <v>243</v>
      </c>
      <c r="Y62" s="71" t="s">
        <v>197</v>
      </c>
      <c r="Z62" s="74" t="s">
        <v>244</v>
      </c>
      <c r="AA62" s="68" t="s">
        <v>190</v>
      </c>
      <c r="AB62" s="68" t="s">
        <v>199</v>
      </c>
      <c r="AC62" s="63">
        <v>25.0</v>
      </c>
      <c r="AD62" s="63">
        <v>80.0</v>
      </c>
      <c r="AE62" s="63">
        <v>90.0</v>
      </c>
      <c r="AF62" s="63">
        <v>60.0</v>
      </c>
      <c r="AG62" s="63">
        <v>78.0</v>
      </c>
      <c r="AH62" s="63">
        <v>14.0</v>
      </c>
      <c r="AI62" s="63">
        <v>17.5</v>
      </c>
      <c r="AJ62" s="63">
        <v>100.0</v>
      </c>
      <c r="AK62" s="63">
        <v>85.0</v>
      </c>
      <c r="AL62" s="69">
        <v>54.4</v>
      </c>
      <c r="AM62" s="70">
        <v>26.0</v>
      </c>
      <c r="AN62" s="70">
        <v>53.0</v>
      </c>
      <c r="AO62" s="69">
        <v>360.0</v>
      </c>
      <c r="AP62" s="68" t="s">
        <v>212</v>
      </c>
      <c r="AQ62" s="68" t="s">
        <v>213</v>
      </c>
      <c r="AR62" s="69">
        <v>0.0</v>
      </c>
      <c r="AS62" s="70">
        <v>0.0</v>
      </c>
      <c r="AT62" s="69">
        <v>0.0</v>
      </c>
      <c r="AU62" s="69">
        <v>54.4</v>
      </c>
      <c r="AV62" s="70">
        <v>7.0</v>
      </c>
      <c r="AW62" s="70">
        <v>25.0</v>
      </c>
      <c r="AX62" s="70" t="s">
        <v>334</v>
      </c>
      <c r="AY62" s="42" t="s">
        <v>215</v>
      </c>
    </row>
    <row r="63">
      <c r="A63" s="42" t="s">
        <v>378</v>
      </c>
      <c r="B63" s="63">
        <v>104.21</v>
      </c>
      <c r="C63" s="63">
        <v>0.0</v>
      </c>
      <c r="D63" s="63">
        <v>0.0</v>
      </c>
      <c r="E63" s="63">
        <v>1.0</v>
      </c>
      <c r="F63" s="63">
        <v>0.0</v>
      </c>
      <c r="G63" s="42" t="s">
        <v>188</v>
      </c>
      <c r="H63" s="63" t="s">
        <v>233</v>
      </c>
      <c r="I63" s="64"/>
      <c r="J63" s="42" t="s">
        <v>190</v>
      </c>
      <c r="K63" s="42" t="s">
        <v>191</v>
      </c>
      <c r="L63" s="65"/>
      <c r="M63" s="65"/>
      <c r="N63" s="65"/>
      <c r="O63" s="65"/>
      <c r="P63" s="42" t="s">
        <v>188</v>
      </c>
      <c r="Q63" s="42" t="s">
        <v>207</v>
      </c>
      <c r="R63" s="42" t="s">
        <v>188</v>
      </c>
      <c r="S63" s="42" t="s">
        <v>379</v>
      </c>
      <c r="T63" s="42" t="s">
        <v>380</v>
      </c>
      <c r="U63" s="64"/>
      <c r="V63" s="42" t="s">
        <v>220</v>
      </c>
      <c r="W63" s="64"/>
      <c r="X63" s="76" t="s">
        <v>275</v>
      </c>
      <c r="Y63" s="67" t="s">
        <v>197</v>
      </c>
      <c r="Z63" s="76" t="s">
        <v>244</v>
      </c>
      <c r="AA63" s="68" t="s">
        <v>190</v>
      </c>
      <c r="AB63" s="68" t="s">
        <v>245</v>
      </c>
      <c r="AC63" s="63">
        <v>100.0</v>
      </c>
      <c r="AD63" s="63">
        <v>80.0</v>
      </c>
      <c r="AE63" s="63">
        <v>70.0</v>
      </c>
      <c r="AF63" s="63">
        <v>95.0</v>
      </c>
      <c r="AG63" s="63">
        <v>80.0</v>
      </c>
      <c r="AH63" s="63">
        <v>0.58</v>
      </c>
      <c r="AI63" s="63">
        <v>0.0</v>
      </c>
      <c r="AJ63" s="63">
        <v>16.0</v>
      </c>
      <c r="AK63" s="63">
        <v>85.0</v>
      </c>
      <c r="AL63" s="69">
        <v>61.2</v>
      </c>
      <c r="AM63" s="70">
        <v>11.0</v>
      </c>
      <c r="AN63" s="70">
        <v>23.0</v>
      </c>
      <c r="AO63" s="69">
        <v>0.0</v>
      </c>
      <c r="AP63" s="68" t="s">
        <v>212</v>
      </c>
      <c r="AQ63" s="68" t="s">
        <v>213</v>
      </c>
      <c r="AR63" s="69">
        <v>5.0</v>
      </c>
      <c r="AS63" s="70">
        <v>5.0</v>
      </c>
      <c r="AT63" s="69">
        <v>18.0</v>
      </c>
      <c r="AU63" s="69">
        <v>43.2</v>
      </c>
      <c r="AV63" s="70">
        <v>12.0</v>
      </c>
      <c r="AW63" s="70">
        <v>54.0</v>
      </c>
      <c r="AX63" s="70" t="s">
        <v>214</v>
      </c>
      <c r="AY63" s="42" t="s">
        <v>203</v>
      </c>
    </row>
    <row r="64">
      <c r="A64" s="42" t="s">
        <v>381</v>
      </c>
      <c r="B64" s="63">
        <v>115.0</v>
      </c>
      <c r="C64" s="63">
        <v>0.0</v>
      </c>
      <c r="D64" s="63">
        <v>0.0</v>
      </c>
      <c r="E64" s="63">
        <v>0.0</v>
      </c>
      <c r="F64" s="63">
        <v>0.0</v>
      </c>
      <c r="G64" s="42" t="s">
        <v>188</v>
      </c>
      <c r="H64" s="63" t="s">
        <v>272</v>
      </c>
      <c r="I64" s="68">
        <v>5000.0</v>
      </c>
      <c r="J64" s="42" t="s">
        <v>190</v>
      </c>
      <c r="K64" s="42" t="s">
        <v>340</v>
      </c>
      <c r="L64" s="65"/>
      <c r="M64" s="65"/>
      <c r="N64" s="65"/>
      <c r="O64" s="65"/>
      <c r="P64" s="42" t="s">
        <v>188</v>
      </c>
      <c r="Q64" s="42" t="s">
        <v>207</v>
      </c>
      <c r="R64" s="42" t="s">
        <v>188</v>
      </c>
      <c r="S64" s="42" t="s">
        <v>382</v>
      </c>
      <c r="T64" s="42" t="s">
        <v>383</v>
      </c>
      <c r="U64" s="64"/>
      <c r="V64" s="42" t="s">
        <v>220</v>
      </c>
      <c r="W64" s="64"/>
      <c r="X64" s="78" t="s">
        <v>322</v>
      </c>
      <c r="Y64" s="67" t="s">
        <v>262</v>
      </c>
      <c r="Z64" s="78" t="s">
        <v>244</v>
      </c>
      <c r="AA64" s="68" t="s">
        <v>190</v>
      </c>
      <c r="AB64" s="68" t="s">
        <v>245</v>
      </c>
      <c r="AC64" s="63">
        <v>100.0</v>
      </c>
      <c r="AD64" s="63">
        <v>100.0</v>
      </c>
      <c r="AE64" s="63">
        <v>70.0</v>
      </c>
      <c r="AF64" s="63">
        <v>95.0</v>
      </c>
      <c r="AG64" s="63">
        <v>80.0</v>
      </c>
      <c r="AH64" s="63">
        <v>16.1</v>
      </c>
      <c r="AI64" s="63">
        <v>31.2</v>
      </c>
      <c r="AJ64" s="63">
        <v>85.0</v>
      </c>
      <c r="AK64" s="63">
        <v>85.0</v>
      </c>
      <c r="AL64" s="69">
        <v>78.6</v>
      </c>
      <c r="AM64" s="70">
        <v>2.0</v>
      </c>
      <c r="AN64" s="70">
        <v>3.0</v>
      </c>
      <c r="AO64" s="69">
        <v>0.0</v>
      </c>
      <c r="AP64" s="68" t="s">
        <v>212</v>
      </c>
      <c r="AQ64" s="68" t="s">
        <v>213</v>
      </c>
      <c r="AR64" s="69">
        <v>1.0</v>
      </c>
      <c r="AS64" s="70">
        <v>0.0</v>
      </c>
      <c r="AT64" s="69">
        <v>7.0</v>
      </c>
      <c r="AU64" s="69">
        <v>71.6</v>
      </c>
      <c r="AV64" s="70">
        <v>2.0</v>
      </c>
      <c r="AW64" s="70">
        <v>5.0</v>
      </c>
      <c r="AX64" s="70" t="s">
        <v>334</v>
      </c>
      <c r="AY64" s="42" t="s">
        <v>215</v>
      </c>
    </row>
    <row r="65">
      <c r="A65" s="42" t="s">
        <v>87</v>
      </c>
      <c r="B65" s="63">
        <v>120.0</v>
      </c>
      <c r="C65" s="63">
        <v>0.0</v>
      </c>
      <c r="D65" s="63">
        <v>0.0</v>
      </c>
      <c r="E65" s="63">
        <v>0.0</v>
      </c>
      <c r="F65" s="63">
        <v>0.0</v>
      </c>
      <c r="G65" s="42" t="s">
        <v>188</v>
      </c>
      <c r="H65" s="63" t="s">
        <v>272</v>
      </c>
      <c r="I65" s="68">
        <v>10000.0</v>
      </c>
      <c r="J65" s="42" t="s">
        <v>190</v>
      </c>
      <c r="K65" s="42" t="s">
        <v>340</v>
      </c>
      <c r="L65" s="65"/>
      <c r="M65" s="65"/>
      <c r="N65" s="65"/>
      <c r="O65" s="65"/>
      <c r="P65" s="42" t="s">
        <v>188</v>
      </c>
      <c r="Q65" s="42" t="s">
        <v>207</v>
      </c>
      <c r="R65" s="42" t="s">
        <v>188</v>
      </c>
      <c r="S65" s="42" t="s">
        <v>384</v>
      </c>
      <c r="T65" s="42" t="s">
        <v>383</v>
      </c>
      <c r="U65" s="64"/>
      <c r="V65" s="42" t="s">
        <v>220</v>
      </c>
      <c r="W65" s="64"/>
      <c r="X65" s="78" t="s">
        <v>322</v>
      </c>
      <c r="Y65" s="67" t="s">
        <v>262</v>
      </c>
      <c r="Z65" s="78" t="s">
        <v>244</v>
      </c>
      <c r="AA65" s="68" t="s">
        <v>190</v>
      </c>
      <c r="AB65" s="68" t="s">
        <v>245</v>
      </c>
      <c r="AC65" s="63">
        <v>100.0</v>
      </c>
      <c r="AD65" s="63">
        <v>100.0</v>
      </c>
      <c r="AE65" s="63">
        <v>70.0</v>
      </c>
      <c r="AF65" s="63">
        <v>95.0</v>
      </c>
      <c r="AG65" s="63">
        <v>80.0</v>
      </c>
      <c r="AH65" s="63">
        <v>16.8</v>
      </c>
      <c r="AI65" s="63">
        <v>35.8</v>
      </c>
      <c r="AJ65" s="63">
        <v>85.0</v>
      </c>
      <c r="AK65" s="63">
        <v>85.0</v>
      </c>
      <c r="AL65" s="69">
        <v>79.6</v>
      </c>
      <c r="AM65" s="70">
        <v>1.0</v>
      </c>
      <c r="AN65" s="70">
        <v>2.0</v>
      </c>
      <c r="AO65" s="69">
        <v>0.0</v>
      </c>
      <c r="AP65" s="68" t="s">
        <v>212</v>
      </c>
      <c r="AQ65" s="68" t="s">
        <v>213</v>
      </c>
      <c r="AR65" s="69">
        <v>0.0</v>
      </c>
      <c r="AS65" s="70">
        <v>0.0</v>
      </c>
      <c r="AT65" s="69">
        <v>0.0</v>
      </c>
      <c r="AU65" s="69">
        <v>79.6</v>
      </c>
      <c r="AV65" s="70">
        <v>1.0</v>
      </c>
      <c r="AW65" s="70">
        <v>2.0</v>
      </c>
      <c r="AX65" s="70" t="s">
        <v>334</v>
      </c>
      <c r="AY65" s="42" t="s">
        <v>215</v>
      </c>
    </row>
    <row r="66">
      <c r="A66" s="42" t="s">
        <v>385</v>
      </c>
      <c r="B66" s="63">
        <v>110.37</v>
      </c>
      <c r="C66" s="63">
        <v>0.0</v>
      </c>
      <c r="D66" s="63">
        <v>0.0</v>
      </c>
      <c r="E66" s="63">
        <v>1.0</v>
      </c>
      <c r="F66" s="63">
        <v>0.0</v>
      </c>
      <c r="G66" s="42" t="s">
        <v>188</v>
      </c>
      <c r="H66" s="63" t="s">
        <v>189</v>
      </c>
      <c r="I66" s="64"/>
      <c r="J66" s="42" t="s">
        <v>190</v>
      </c>
      <c r="K66" s="42" t="s">
        <v>336</v>
      </c>
      <c r="L66" s="65"/>
      <c r="M66" s="65"/>
      <c r="N66" s="65"/>
      <c r="O66" s="65"/>
      <c r="P66" s="42" t="s">
        <v>188</v>
      </c>
      <c r="Q66" s="42" t="s">
        <v>207</v>
      </c>
      <c r="R66" s="42" t="s">
        <v>188</v>
      </c>
      <c r="S66" s="42" t="s">
        <v>386</v>
      </c>
      <c r="T66" s="42" t="s">
        <v>387</v>
      </c>
      <c r="U66" s="64"/>
      <c r="V66" s="42" t="s">
        <v>220</v>
      </c>
      <c r="W66" s="64"/>
      <c r="X66" s="78" t="s">
        <v>322</v>
      </c>
      <c r="Y66" s="67" t="s">
        <v>197</v>
      </c>
      <c r="Z66" s="78" t="s">
        <v>244</v>
      </c>
      <c r="AA66" s="68" t="s">
        <v>190</v>
      </c>
      <c r="AB66" s="68" t="s">
        <v>199</v>
      </c>
      <c r="AC66" s="63">
        <v>25.0</v>
      </c>
      <c r="AD66" s="63">
        <v>100.0</v>
      </c>
      <c r="AE66" s="63">
        <v>70.0</v>
      </c>
      <c r="AF66" s="63">
        <v>95.0</v>
      </c>
      <c r="AG66" s="63">
        <v>80.0</v>
      </c>
      <c r="AH66" s="63">
        <v>15.45</v>
      </c>
      <c r="AI66" s="63">
        <v>27.0</v>
      </c>
      <c r="AJ66" s="63">
        <v>60.0</v>
      </c>
      <c r="AK66" s="63">
        <v>85.0</v>
      </c>
      <c r="AL66" s="69">
        <v>56.4</v>
      </c>
      <c r="AM66" s="70">
        <v>17.0</v>
      </c>
      <c r="AN66" s="70">
        <v>43.0</v>
      </c>
      <c r="AO66" s="69">
        <v>181.0</v>
      </c>
      <c r="AP66" s="68" t="s">
        <v>200</v>
      </c>
      <c r="AQ66" s="68" t="s">
        <v>201</v>
      </c>
      <c r="AR66" s="69">
        <v>0.0</v>
      </c>
      <c r="AS66" s="70">
        <v>0.0</v>
      </c>
      <c r="AT66" s="69">
        <v>0.0</v>
      </c>
      <c r="AU66" s="69">
        <v>56.4</v>
      </c>
      <c r="AV66" s="70">
        <v>5.0</v>
      </c>
      <c r="AW66" s="70">
        <v>22.0</v>
      </c>
      <c r="AX66" s="70" t="s">
        <v>334</v>
      </c>
      <c r="AY66" s="42" t="s">
        <v>203</v>
      </c>
    </row>
    <row r="67">
      <c r="A67" s="42" t="s">
        <v>388</v>
      </c>
      <c r="B67" s="63">
        <v>7.67</v>
      </c>
      <c r="C67" s="63">
        <v>0.0</v>
      </c>
      <c r="D67" s="63">
        <v>0.0</v>
      </c>
      <c r="E67" s="63">
        <v>2074.0</v>
      </c>
      <c r="F67" s="63">
        <v>0.0</v>
      </c>
      <c r="G67" s="42" t="s">
        <v>188</v>
      </c>
      <c r="H67" s="63" t="s">
        <v>389</v>
      </c>
      <c r="I67" s="64"/>
      <c r="J67" s="42" t="s">
        <v>190</v>
      </c>
      <c r="K67" s="42" t="s">
        <v>390</v>
      </c>
      <c r="L67" s="65"/>
      <c r="M67" s="65"/>
      <c r="N67" s="65"/>
      <c r="O67" s="65"/>
      <c r="P67" s="42" t="s">
        <v>188</v>
      </c>
      <c r="Q67" s="42" t="s">
        <v>360</v>
      </c>
      <c r="R67" s="42" t="s">
        <v>188</v>
      </c>
      <c r="S67" s="42" t="s">
        <v>391</v>
      </c>
      <c r="T67" s="42" t="s">
        <v>390</v>
      </c>
      <c r="U67" s="64"/>
      <c r="V67" s="42" t="s">
        <v>220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199</v>
      </c>
      <c r="AC67" s="63">
        <v>25.0</v>
      </c>
      <c r="AD67" s="63">
        <v>100.0</v>
      </c>
      <c r="AE67" s="63">
        <v>100.0</v>
      </c>
      <c r="AF67" s="63">
        <v>95.0</v>
      </c>
      <c r="AG67" s="63">
        <v>98.0</v>
      </c>
      <c r="AH67" s="63">
        <v>12.17</v>
      </c>
      <c r="AI67" s="63">
        <v>5.5</v>
      </c>
      <c r="AJ67" s="63">
        <v>75.0</v>
      </c>
      <c r="AK67" s="63">
        <v>85.0</v>
      </c>
      <c r="AL67" s="69">
        <v>56.8</v>
      </c>
      <c r="AM67" s="70">
        <v>9.0</v>
      </c>
      <c r="AN67" s="70">
        <v>35.0</v>
      </c>
      <c r="AO67" s="69">
        <v>365.0</v>
      </c>
      <c r="AP67" s="68" t="s">
        <v>392</v>
      </c>
      <c r="AQ67" s="68" t="s">
        <v>201</v>
      </c>
      <c r="AR67" s="69">
        <v>1.0</v>
      </c>
      <c r="AS67" s="70">
        <v>1.0</v>
      </c>
      <c r="AT67" s="69">
        <v>7.0</v>
      </c>
      <c r="AU67" s="69">
        <v>49.8</v>
      </c>
      <c r="AV67" s="70">
        <v>16.0</v>
      </c>
      <c r="AW67" s="70">
        <v>38.0</v>
      </c>
      <c r="AX67" s="70" t="s">
        <v>214</v>
      </c>
      <c r="AY67" s="42" t="s">
        <v>249</v>
      </c>
    </row>
    <row r="68">
      <c r="A68" s="42" t="s">
        <v>393</v>
      </c>
      <c r="B68" s="63">
        <v>7.63</v>
      </c>
      <c r="C68" s="63">
        <v>0.0</v>
      </c>
      <c r="D68" s="63">
        <v>0.0</v>
      </c>
      <c r="E68" s="63">
        <v>2440.0</v>
      </c>
      <c r="F68" s="63">
        <v>0.0</v>
      </c>
      <c r="G68" s="42" t="s">
        <v>188</v>
      </c>
      <c r="H68" s="63" t="s">
        <v>394</v>
      </c>
      <c r="I68" s="64"/>
      <c r="J68" s="42" t="s">
        <v>190</v>
      </c>
      <c r="K68" s="42" t="s">
        <v>390</v>
      </c>
      <c r="L68" s="65"/>
      <c r="M68" s="65"/>
      <c r="N68" s="65"/>
      <c r="O68" s="65"/>
      <c r="P68" s="42" t="s">
        <v>188</v>
      </c>
      <c r="Q68" s="42" t="s">
        <v>360</v>
      </c>
      <c r="R68" s="42" t="s">
        <v>188</v>
      </c>
      <c r="S68" s="42" t="s">
        <v>395</v>
      </c>
      <c r="T68" s="42" t="s">
        <v>390</v>
      </c>
      <c r="U68" s="64"/>
      <c r="V68" s="42" t="s">
        <v>220</v>
      </c>
      <c r="W68" s="64"/>
      <c r="X68" s="66" t="s">
        <v>196</v>
      </c>
      <c r="Y68" s="67" t="s">
        <v>197</v>
      </c>
      <c r="Z68" s="66" t="s">
        <v>198</v>
      </c>
      <c r="AA68" s="68" t="s">
        <v>190</v>
      </c>
      <c r="AB68" s="68" t="s">
        <v>199</v>
      </c>
      <c r="AC68" s="63">
        <v>25.0</v>
      </c>
      <c r="AD68" s="63">
        <v>100.0</v>
      </c>
      <c r="AE68" s="63">
        <v>100.0</v>
      </c>
      <c r="AF68" s="63">
        <v>95.0</v>
      </c>
      <c r="AG68" s="63">
        <v>98.0</v>
      </c>
      <c r="AH68" s="63">
        <v>12.13</v>
      </c>
      <c r="AI68" s="63">
        <v>5.2</v>
      </c>
      <c r="AJ68" s="63">
        <v>75.0</v>
      </c>
      <c r="AK68" s="63">
        <v>85.0</v>
      </c>
      <c r="AL68" s="69">
        <v>56.7</v>
      </c>
      <c r="AM68" s="70">
        <v>11.0</v>
      </c>
      <c r="AN68" s="70">
        <v>37.0</v>
      </c>
      <c r="AO68" s="69">
        <v>365.0</v>
      </c>
      <c r="AP68" s="68" t="s">
        <v>392</v>
      </c>
      <c r="AQ68" s="68" t="s">
        <v>201</v>
      </c>
      <c r="AR68" s="69">
        <v>1.0</v>
      </c>
      <c r="AS68" s="70">
        <v>1.0</v>
      </c>
      <c r="AT68" s="69">
        <v>7.0</v>
      </c>
      <c r="AU68" s="69">
        <v>49.7</v>
      </c>
      <c r="AV68" s="70">
        <v>17.0</v>
      </c>
      <c r="AW68" s="70">
        <v>39.0</v>
      </c>
      <c r="AX68" s="70" t="s">
        <v>214</v>
      </c>
      <c r="AY68" s="42" t="s">
        <v>249</v>
      </c>
    </row>
    <row r="69">
      <c r="A69" s="42" t="s">
        <v>396</v>
      </c>
      <c r="B69" s="63">
        <v>7.6</v>
      </c>
      <c r="C69" s="63">
        <v>0.0</v>
      </c>
      <c r="D69" s="63">
        <v>0.0</v>
      </c>
      <c r="E69" s="63">
        <v>2805.0</v>
      </c>
      <c r="F69" s="63">
        <v>0.0</v>
      </c>
      <c r="G69" s="42" t="s">
        <v>188</v>
      </c>
      <c r="H69" s="63" t="s">
        <v>397</v>
      </c>
      <c r="I69" s="64"/>
      <c r="J69" s="42" t="s">
        <v>190</v>
      </c>
      <c r="K69" s="42" t="s">
        <v>390</v>
      </c>
      <c r="L69" s="65"/>
      <c r="M69" s="65"/>
      <c r="N69" s="65"/>
      <c r="O69" s="65"/>
      <c r="P69" s="42" t="s">
        <v>188</v>
      </c>
      <c r="Q69" s="42" t="s">
        <v>360</v>
      </c>
      <c r="R69" s="42" t="s">
        <v>188</v>
      </c>
      <c r="S69" s="42" t="s">
        <v>398</v>
      </c>
      <c r="T69" s="42" t="s">
        <v>390</v>
      </c>
      <c r="U69" s="64"/>
      <c r="V69" s="42" t="s">
        <v>220</v>
      </c>
      <c r="W69" s="64"/>
      <c r="X69" s="66" t="s">
        <v>196</v>
      </c>
      <c r="Y69" s="67" t="s">
        <v>197</v>
      </c>
      <c r="Z69" s="66" t="s">
        <v>198</v>
      </c>
      <c r="AA69" s="68" t="s">
        <v>190</v>
      </c>
      <c r="AB69" s="68" t="s">
        <v>199</v>
      </c>
      <c r="AC69" s="63">
        <v>25.0</v>
      </c>
      <c r="AD69" s="63">
        <v>100.0</v>
      </c>
      <c r="AE69" s="63">
        <v>100.0</v>
      </c>
      <c r="AF69" s="63">
        <v>95.0</v>
      </c>
      <c r="AG69" s="63">
        <v>98.0</v>
      </c>
      <c r="AH69" s="63">
        <v>12.1</v>
      </c>
      <c r="AI69" s="63">
        <v>5.0</v>
      </c>
      <c r="AJ69" s="63">
        <v>75.0</v>
      </c>
      <c r="AK69" s="63">
        <v>85.0</v>
      </c>
      <c r="AL69" s="69">
        <v>56.7</v>
      </c>
      <c r="AM69" s="70">
        <v>12.0</v>
      </c>
      <c r="AN69" s="70">
        <v>38.0</v>
      </c>
      <c r="AO69" s="69">
        <v>365.0</v>
      </c>
      <c r="AP69" s="68" t="s">
        <v>392</v>
      </c>
      <c r="AQ69" s="68" t="s">
        <v>201</v>
      </c>
      <c r="AR69" s="69">
        <v>1.0</v>
      </c>
      <c r="AS69" s="70">
        <v>1.0</v>
      </c>
      <c r="AT69" s="69">
        <v>7.0</v>
      </c>
      <c r="AU69" s="69">
        <v>49.7</v>
      </c>
      <c r="AV69" s="70">
        <v>18.0</v>
      </c>
      <c r="AW69" s="70">
        <v>40.0</v>
      </c>
      <c r="AX69" s="70" t="s">
        <v>214</v>
      </c>
      <c r="AY69" s="42" t="s">
        <v>249</v>
      </c>
    </row>
    <row r="70">
      <c r="A70" s="42" t="s">
        <v>399</v>
      </c>
      <c r="B70" s="63">
        <v>7.56</v>
      </c>
      <c r="C70" s="63">
        <v>0.0</v>
      </c>
      <c r="D70" s="63">
        <v>0.0</v>
      </c>
      <c r="E70" s="63">
        <v>3170.0</v>
      </c>
      <c r="F70" s="63">
        <v>0.0</v>
      </c>
      <c r="G70" s="42" t="s">
        <v>188</v>
      </c>
      <c r="H70" s="63" t="s">
        <v>400</v>
      </c>
      <c r="I70" s="64"/>
      <c r="J70" s="42" t="s">
        <v>190</v>
      </c>
      <c r="K70" s="42" t="s">
        <v>390</v>
      </c>
      <c r="L70" s="65"/>
      <c r="M70" s="65"/>
      <c r="N70" s="65"/>
      <c r="O70" s="65"/>
      <c r="P70" s="42" t="s">
        <v>188</v>
      </c>
      <c r="Q70" s="42" t="s">
        <v>360</v>
      </c>
      <c r="R70" s="42" t="s">
        <v>188</v>
      </c>
      <c r="S70" s="42" t="s">
        <v>401</v>
      </c>
      <c r="T70" s="42" t="s">
        <v>390</v>
      </c>
      <c r="U70" s="64"/>
      <c r="V70" s="42" t="s">
        <v>220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12.06</v>
      </c>
      <c r="AI70" s="63">
        <v>4.8</v>
      </c>
      <c r="AJ70" s="63">
        <v>75.0</v>
      </c>
      <c r="AK70" s="63">
        <v>85.0</v>
      </c>
      <c r="AL70" s="69">
        <v>56.7</v>
      </c>
      <c r="AM70" s="70">
        <v>13.0</v>
      </c>
      <c r="AN70" s="70">
        <v>39.0</v>
      </c>
      <c r="AO70" s="69">
        <v>365.0</v>
      </c>
      <c r="AP70" s="68" t="s">
        <v>392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49.7</v>
      </c>
      <c r="AV70" s="70">
        <v>19.0</v>
      </c>
      <c r="AW70" s="70">
        <v>41.0</v>
      </c>
      <c r="AX70" s="70" t="s">
        <v>214</v>
      </c>
      <c r="AY70" s="42" t="s">
        <v>249</v>
      </c>
    </row>
    <row r="71">
      <c r="A71" s="42" t="s">
        <v>402</v>
      </c>
      <c r="B71" s="63">
        <v>7.5</v>
      </c>
      <c r="C71" s="63">
        <v>0.0</v>
      </c>
      <c r="D71" s="63">
        <v>0.0</v>
      </c>
      <c r="E71" s="63">
        <v>3535.0</v>
      </c>
      <c r="F71" s="63">
        <v>0.0</v>
      </c>
      <c r="G71" s="42" t="s">
        <v>188</v>
      </c>
      <c r="H71" s="63" t="s">
        <v>403</v>
      </c>
      <c r="I71" s="64"/>
      <c r="J71" s="42" t="s">
        <v>190</v>
      </c>
      <c r="K71" s="42" t="s">
        <v>390</v>
      </c>
      <c r="L71" s="65"/>
      <c r="M71" s="65"/>
      <c r="N71" s="65"/>
      <c r="O71" s="65"/>
      <c r="P71" s="42" t="s">
        <v>188</v>
      </c>
      <c r="Q71" s="42" t="s">
        <v>360</v>
      </c>
      <c r="R71" s="42" t="s">
        <v>188</v>
      </c>
      <c r="S71" s="42" t="s">
        <v>404</v>
      </c>
      <c r="T71" s="42" t="s">
        <v>390</v>
      </c>
      <c r="U71" s="64"/>
      <c r="V71" s="42" t="s">
        <v>220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12.0</v>
      </c>
      <c r="AI71" s="63">
        <v>4.4</v>
      </c>
      <c r="AJ71" s="63">
        <v>75.0</v>
      </c>
      <c r="AK71" s="63">
        <v>85.0</v>
      </c>
      <c r="AL71" s="69">
        <v>56.6</v>
      </c>
      <c r="AM71" s="70">
        <v>15.0</v>
      </c>
      <c r="AN71" s="70">
        <v>41.0</v>
      </c>
      <c r="AO71" s="69">
        <v>365.0</v>
      </c>
      <c r="AP71" s="68" t="s">
        <v>392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49.6</v>
      </c>
      <c r="AV71" s="70">
        <v>21.0</v>
      </c>
      <c r="AW71" s="70">
        <v>43.0</v>
      </c>
      <c r="AX71" s="70" t="s">
        <v>214</v>
      </c>
      <c r="AY71" s="42" t="s">
        <v>249</v>
      </c>
    </row>
    <row r="72">
      <c r="A72" s="42" t="s">
        <v>405</v>
      </c>
      <c r="B72" s="63">
        <v>7.44</v>
      </c>
      <c r="C72" s="63">
        <v>0.0</v>
      </c>
      <c r="D72" s="63">
        <v>0.0</v>
      </c>
      <c r="E72" s="63">
        <v>3901.0</v>
      </c>
      <c r="F72" s="63">
        <v>0.0</v>
      </c>
      <c r="G72" s="42" t="s">
        <v>188</v>
      </c>
      <c r="H72" s="63" t="s">
        <v>406</v>
      </c>
      <c r="I72" s="64"/>
      <c r="J72" s="42" t="s">
        <v>190</v>
      </c>
      <c r="K72" s="42" t="s">
        <v>390</v>
      </c>
      <c r="L72" s="65"/>
      <c r="M72" s="65"/>
      <c r="N72" s="65"/>
      <c r="O72" s="65"/>
      <c r="P72" s="42" t="s">
        <v>188</v>
      </c>
      <c r="Q72" s="42" t="s">
        <v>360</v>
      </c>
      <c r="R72" s="42" t="s">
        <v>188</v>
      </c>
      <c r="S72" s="42" t="s">
        <v>407</v>
      </c>
      <c r="T72" s="42" t="s">
        <v>390</v>
      </c>
      <c r="U72" s="64"/>
      <c r="V72" s="42" t="s">
        <v>220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11.94</v>
      </c>
      <c r="AI72" s="63">
        <v>4.0</v>
      </c>
      <c r="AJ72" s="63">
        <v>75.0</v>
      </c>
      <c r="AK72" s="63">
        <v>85.0</v>
      </c>
      <c r="AL72" s="69">
        <v>56.5</v>
      </c>
      <c r="AM72" s="70">
        <v>16.0</v>
      </c>
      <c r="AN72" s="70">
        <v>42.0</v>
      </c>
      <c r="AO72" s="69">
        <v>365.0</v>
      </c>
      <c r="AP72" s="68" t="s">
        <v>392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49.5</v>
      </c>
      <c r="AV72" s="70">
        <v>22.0</v>
      </c>
      <c r="AW72" s="70">
        <v>44.0</v>
      </c>
      <c r="AX72" s="70" t="s">
        <v>214</v>
      </c>
      <c r="AY72" s="42" t="s">
        <v>249</v>
      </c>
    </row>
    <row r="73">
      <c r="A73" s="42" t="s">
        <v>408</v>
      </c>
      <c r="B73" s="63">
        <v>7.38</v>
      </c>
      <c r="C73" s="63">
        <v>0.0</v>
      </c>
      <c r="D73" s="63">
        <v>0.0</v>
      </c>
      <c r="E73" s="63">
        <v>4266.0</v>
      </c>
      <c r="F73" s="63">
        <v>0.0</v>
      </c>
      <c r="G73" s="42" t="s">
        <v>188</v>
      </c>
      <c r="H73" s="63" t="s">
        <v>409</v>
      </c>
      <c r="I73" s="64"/>
      <c r="J73" s="42" t="s">
        <v>190</v>
      </c>
      <c r="K73" s="42" t="s">
        <v>390</v>
      </c>
      <c r="L73" s="65"/>
      <c r="M73" s="65"/>
      <c r="N73" s="65"/>
      <c r="O73" s="65"/>
      <c r="P73" s="42" t="s">
        <v>188</v>
      </c>
      <c r="Q73" s="42" t="s">
        <v>360</v>
      </c>
      <c r="R73" s="42" t="s">
        <v>188</v>
      </c>
      <c r="S73" s="42" t="s">
        <v>410</v>
      </c>
      <c r="T73" s="42" t="s">
        <v>390</v>
      </c>
      <c r="U73" s="64"/>
      <c r="V73" s="42" t="s">
        <v>220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11.88</v>
      </c>
      <c r="AI73" s="63">
        <v>3.6</v>
      </c>
      <c r="AJ73" s="63">
        <v>75.0</v>
      </c>
      <c r="AK73" s="63">
        <v>85.0</v>
      </c>
      <c r="AL73" s="69">
        <v>56.4</v>
      </c>
      <c r="AM73" s="70">
        <v>18.0</v>
      </c>
      <c r="AN73" s="70">
        <v>44.0</v>
      </c>
      <c r="AO73" s="69">
        <v>365.0</v>
      </c>
      <c r="AP73" s="68" t="s">
        <v>392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49.4</v>
      </c>
      <c r="AV73" s="70">
        <v>23.0</v>
      </c>
      <c r="AW73" s="70">
        <v>45.0</v>
      </c>
      <c r="AX73" s="70" t="s">
        <v>214</v>
      </c>
      <c r="AY73" s="42" t="s">
        <v>249</v>
      </c>
    </row>
    <row r="74">
      <c r="A74" s="42" t="s">
        <v>411</v>
      </c>
      <c r="B74" s="63">
        <v>7.31</v>
      </c>
      <c r="C74" s="63">
        <v>0.0</v>
      </c>
      <c r="D74" s="63">
        <v>0.0</v>
      </c>
      <c r="E74" s="63">
        <v>4631.0</v>
      </c>
      <c r="F74" s="63">
        <v>0.0</v>
      </c>
      <c r="G74" s="42" t="s">
        <v>188</v>
      </c>
      <c r="H74" s="63" t="s">
        <v>412</v>
      </c>
      <c r="I74" s="64"/>
      <c r="J74" s="42" t="s">
        <v>190</v>
      </c>
      <c r="K74" s="42" t="s">
        <v>390</v>
      </c>
      <c r="L74" s="65"/>
      <c r="M74" s="65"/>
      <c r="N74" s="65"/>
      <c r="O74" s="65"/>
      <c r="P74" s="42" t="s">
        <v>188</v>
      </c>
      <c r="Q74" s="42" t="s">
        <v>360</v>
      </c>
      <c r="R74" s="42" t="s">
        <v>188</v>
      </c>
      <c r="S74" s="42" t="s">
        <v>413</v>
      </c>
      <c r="T74" s="42" t="s">
        <v>390</v>
      </c>
      <c r="U74" s="64"/>
      <c r="V74" s="42" t="s">
        <v>220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11.81</v>
      </c>
      <c r="AI74" s="63">
        <v>3.1</v>
      </c>
      <c r="AJ74" s="63">
        <v>75.0</v>
      </c>
      <c r="AK74" s="63">
        <v>85.0</v>
      </c>
      <c r="AL74" s="69">
        <v>56.3</v>
      </c>
      <c r="AM74" s="70">
        <v>19.0</v>
      </c>
      <c r="AN74" s="70">
        <v>45.0</v>
      </c>
      <c r="AO74" s="69">
        <v>365.0</v>
      </c>
      <c r="AP74" s="68" t="s">
        <v>392</v>
      </c>
      <c r="AQ74" s="68" t="s">
        <v>201</v>
      </c>
      <c r="AR74" s="69">
        <v>3.0</v>
      </c>
      <c r="AS74" s="70">
        <v>1.0</v>
      </c>
      <c r="AT74" s="69">
        <v>18.0</v>
      </c>
      <c r="AU74" s="69">
        <v>38.3</v>
      </c>
      <c r="AV74" s="70">
        <v>33.0</v>
      </c>
      <c r="AW74" s="70">
        <v>60.0</v>
      </c>
      <c r="AX74" s="70" t="s">
        <v>214</v>
      </c>
      <c r="AY74" s="42" t="s">
        <v>249</v>
      </c>
    </row>
    <row r="75">
      <c r="A75" s="42" t="s">
        <v>414</v>
      </c>
      <c r="B75" s="63">
        <v>7.57</v>
      </c>
      <c r="C75" s="63">
        <v>0.0</v>
      </c>
      <c r="D75" s="63">
        <v>0.0</v>
      </c>
      <c r="E75" s="63">
        <v>2318.0</v>
      </c>
      <c r="F75" s="63">
        <v>0.0</v>
      </c>
      <c r="G75" s="42" t="s">
        <v>188</v>
      </c>
      <c r="H75" s="63" t="s">
        <v>415</v>
      </c>
      <c r="I75" s="64"/>
      <c r="J75" s="42" t="s">
        <v>190</v>
      </c>
      <c r="K75" s="42" t="s">
        <v>390</v>
      </c>
      <c r="L75" s="65"/>
      <c r="M75" s="65"/>
      <c r="N75" s="65"/>
      <c r="O75" s="65"/>
      <c r="P75" s="42" t="s">
        <v>188</v>
      </c>
      <c r="Q75" s="42" t="s">
        <v>360</v>
      </c>
      <c r="R75" s="42" t="s">
        <v>188</v>
      </c>
      <c r="S75" s="42" t="s">
        <v>416</v>
      </c>
      <c r="T75" s="42" t="s">
        <v>390</v>
      </c>
      <c r="U75" s="64"/>
      <c r="V75" s="42" t="s">
        <v>220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12.07</v>
      </c>
      <c r="AI75" s="63">
        <v>4.8</v>
      </c>
      <c r="AJ75" s="63">
        <v>75.0</v>
      </c>
      <c r="AK75" s="63">
        <v>85.0</v>
      </c>
      <c r="AL75" s="69">
        <v>56.7</v>
      </c>
      <c r="AM75" s="70">
        <v>14.0</v>
      </c>
      <c r="AN75" s="70">
        <v>40.0</v>
      </c>
      <c r="AO75" s="69">
        <v>365.0</v>
      </c>
      <c r="AP75" s="68" t="s">
        <v>392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49.7</v>
      </c>
      <c r="AV75" s="70">
        <v>20.0</v>
      </c>
      <c r="AW75" s="70">
        <v>42.0</v>
      </c>
      <c r="AX75" s="70" t="s">
        <v>214</v>
      </c>
      <c r="AY75" s="42" t="s">
        <v>249</v>
      </c>
    </row>
    <row r="76">
      <c r="A76" s="42" t="s">
        <v>417</v>
      </c>
      <c r="B76" s="63">
        <v>5.8</v>
      </c>
      <c r="C76" s="63">
        <v>0.0</v>
      </c>
      <c r="D76" s="63">
        <v>0.0</v>
      </c>
      <c r="E76" s="63">
        <v>3285.0</v>
      </c>
      <c r="F76" s="63">
        <v>0.0</v>
      </c>
      <c r="G76" s="42" t="s">
        <v>188</v>
      </c>
      <c r="H76" s="63" t="s">
        <v>418</v>
      </c>
      <c r="I76" s="64"/>
      <c r="J76" s="42" t="s">
        <v>190</v>
      </c>
      <c r="K76" s="42" t="s">
        <v>390</v>
      </c>
      <c r="L76" s="65"/>
      <c r="M76" s="65"/>
      <c r="N76" s="65"/>
      <c r="O76" s="65"/>
      <c r="P76" s="42" t="s">
        <v>188</v>
      </c>
      <c r="Q76" s="42" t="s">
        <v>360</v>
      </c>
      <c r="R76" s="42" t="s">
        <v>188</v>
      </c>
      <c r="S76" s="42" t="s">
        <v>419</v>
      </c>
      <c r="T76" s="42" t="s">
        <v>390</v>
      </c>
      <c r="U76" s="64"/>
      <c r="V76" s="42" t="s">
        <v>220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10.3</v>
      </c>
      <c r="AI76" s="63">
        <v>0.0</v>
      </c>
      <c r="AJ76" s="63">
        <v>75.0</v>
      </c>
      <c r="AK76" s="63">
        <v>85.0</v>
      </c>
      <c r="AL76" s="69">
        <v>55.6</v>
      </c>
      <c r="AM76" s="70">
        <v>25.0</v>
      </c>
      <c r="AN76" s="70">
        <v>51.0</v>
      </c>
      <c r="AO76" s="69">
        <v>365.0</v>
      </c>
      <c r="AP76" s="68" t="s">
        <v>392</v>
      </c>
      <c r="AQ76" s="68" t="s">
        <v>201</v>
      </c>
      <c r="AR76" s="69">
        <v>11.0</v>
      </c>
      <c r="AS76" s="70">
        <v>11.0</v>
      </c>
      <c r="AT76" s="69">
        <v>18.0</v>
      </c>
      <c r="AU76" s="69">
        <v>37.6</v>
      </c>
      <c r="AV76" s="70">
        <v>37.0</v>
      </c>
      <c r="AW76" s="70">
        <v>64.0</v>
      </c>
      <c r="AX76" s="70" t="s">
        <v>214</v>
      </c>
      <c r="AY76" s="42" t="s">
        <v>249</v>
      </c>
    </row>
    <row r="77">
      <c r="A77" s="42" t="s">
        <v>420</v>
      </c>
      <c r="B77" s="63">
        <v>7.34</v>
      </c>
      <c r="C77" s="63">
        <v>0.0</v>
      </c>
      <c r="D77" s="63">
        <v>0.0</v>
      </c>
      <c r="E77" s="63">
        <v>4052.0</v>
      </c>
      <c r="F77" s="63">
        <v>0.0</v>
      </c>
      <c r="G77" s="42" t="s">
        <v>188</v>
      </c>
      <c r="H77" s="63" t="s">
        <v>421</v>
      </c>
      <c r="I77" s="64"/>
      <c r="J77" s="42" t="s">
        <v>190</v>
      </c>
      <c r="K77" s="42" t="s">
        <v>390</v>
      </c>
      <c r="L77" s="65"/>
      <c r="M77" s="65"/>
      <c r="N77" s="65"/>
      <c r="O77" s="65"/>
      <c r="P77" s="42" t="s">
        <v>188</v>
      </c>
      <c r="Q77" s="42" t="s">
        <v>360</v>
      </c>
      <c r="R77" s="42" t="s">
        <v>188</v>
      </c>
      <c r="S77" s="42" t="s">
        <v>422</v>
      </c>
      <c r="T77" s="42" t="s">
        <v>390</v>
      </c>
      <c r="U77" s="64"/>
      <c r="V77" s="42" t="s">
        <v>220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11.84</v>
      </c>
      <c r="AI77" s="63">
        <v>3.3</v>
      </c>
      <c r="AJ77" s="63">
        <v>75.0</v>
      </c>
      <c r="AK77" s="63">
        <v>85.0</v>
      </c>
      <c r="AL77" s="69">
        <v>56.3</v>
      </c>
      <c r="AM77" s="70">
        <v>20.0</v>
      </c>
      <c r="AN77" s="70">
        <v>46.0</v>
      </c>
      <c r="AO77" s="69">
        <v>365.0</v>
      </c>
      <c r="AP77" s="68" t="s">
        <v>392</v>
      </c>
      <c r="AQ77" s="68" t="s">
        <v>201</v>
      </c>
      <c r="AR77" s="69">
        <v>2.0</v>
      </c>
      <c r="AS77" s="70">
        <v>1.0</v>
      </c>
      <c r="AT77" s="69">
        <v>14.0</v>
      </c>
      <c r="AU77" s="69">
        <v>42.3</v>
      </c>
      <c r="AV77" s="70">
        <v>29.0</v>
      </c>
      <c r="AW77" s="70">
        <v>55.0</v>
      </c>
      <c r="AX77" s="70" t="s">
        <v>214</v>
      </c>
      <c r="AY77" s="42" t="s">
        <v>249</v>
      </c>
    </row>
    <row r="78">
      <c r="A78" s="42" t="s">
        <v>423</v>
      </c>
      <c r="B78" s="63">
        <v>13.39</v>
      </c>
      <c r="C78" s="63">
        <v>0.0</v>
      </c>
      <c r="D78" s="63">
        <v>0.0</v>
      </c>
      <c r="E78" s="63">
        <v>996.0</v>
      </c>
      <c r="F78" s="63">
        <v>0.0</v>
      </c>
      <c r="G78" s="42" t="s">
        <v>188</v>
      </c>
      <c r="H78" s="63" t="s">
        <v>424</v>
      </c>
      <c r="I78" s="64"/>
      <c r="J78" s="42" t="s">
        <v>190</v>
      </c>
      <c r="K78" s="42" t="s">
        <v>390</v>
      </c>
      <c r="L78" s="65"/>
      <c r="M78" s="65"/>
      <c r="N78" s="65"/>
      <c r="O78" s="65"/>
      <c r="P78" s="42" t="s">
        <v>188</v>
      </c>
      <c r="Q78" s="42" t="s">
        <v>265</v>
      </c>
      <c r="R78" s="42" t="s">
        <v>188</v>
      </c>
      <c r="S78" s="42" t="s">
        <v>425</v>
      </c>
      <c r="T78" s="42" t="s">
        <v>390</v>
      </c>
      <c r="U78" s="64"/>
      <c r="V78" s="42" t="s">
        <v>220</v>
      </c>
      <c r="W78" s="64"/>
      <c r="X78" s="66" t="s">
        <v>196</v>
      </c>
      <c r="Y78" s="67" t="s">
        <v>197</v>
      </c>
      <c r="Z78" s="66" t="s">
        <v>244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13.39</v>
      </c>
      <c r="AI78" s="63">
        <v>13.5</v>
      </c>
      <c r="AJ78" s="63">
        <v>75.0</v>
      </c>
      <c r="AK78" s="63">
        <v>85.0</v>
      </c>
      <c r="AL78" s="69">
        <v>58.6</v>
      </c>
      <c r="AM78" s="70">
        <v>5.0</v>
      </c>
      <c r="AN78" s="70">
        <v>30.0</v>
      </c>
      <c r="AO78" s="69">
        <v>199.0</v>
      </c>
      <c r="AP78" s="68" t="s">
        <v>392</v>
      </c>
      <c r="AQ78" s="68" t="s">
        <v>201</v>
      </c>
      <c r="AR78" s="69">
        <v>0.0</v>
      </c>
      <c r="AS78" s="70">
        <v>0.0</v>
      </c>
      <c r="AT78" s="69">
        <v>0.0</v>
      </c>
      <c r="AU78" s="69">
        <v>58.6</v>
      </c>
      <c r="AV78" s="70">
        <v>3.0</v>
      </c>
      <c r="AW78" s="70">
        <v>19.0</v>
      </c>
      <c r="AX78" s="70" t="s">
        <v>214</v>
      </c>
      <c r="AY78" s="42" t="s">
        <v>255</v>
      </c>
    </row>
    <row r="79">
      <c r="A79" s="42" t="s">
        <v>426</v>
      </c>
      <c r="B79" s="63">
        <v>1.0</v>
      </c>
      <c r="C79" s="63">
        <v>0.0</v>
      </c>
      <c r="D79" s="63">
        <v>0.0</v>
      </c>
      <c r="E79" s="63">
        <v>1095.0</v>
      </c>
      <c r="F79" s="63">
        <v>0.0</v>
      </c>
      <c r="G79" s="42" t="s">
        <v>188</v>
      </c>
      <c r="H79" s="63" t="s">
        <v>418</v>
      </c>
      <c r="I79" s="64"/>
      <c r="J79" s="42" t="s">
        <v>190</v>
      </c>
      <c r="K79" s="42" t="s">
        <v>390</v>
      </c>
      <c r="L79" s="65"/>
      <c r="M79" s="65"/>
      <c r="N79" s="65"/>
      <c r="O79" s="65"/>
      <c r="P79" s="42" t="s">
        <v>188</v>
      </c>
      <c r="Q79" s="42" t="s">
        <v>260</v>
      </c>
      <c r="R79" s="42" t="s">
        <v>188</v>
      </c>
      <c r="S79" s="42" t="s">
        <v>427</v>
      </c>
      <c r="T79" s="42" t="s">
        <v>390</v>
      </c>
      <c r="U79" s="64"/>
      <c r="V79" s="42" t="s">
        <v>292</v>
      </c>
      <c r="W79" s="64"/>
      <c r="X79" s="66" t="s">
        <v>196</v>
      </c>
      <c r="Y79" s="67" t="s">
        <v>197</v>
      </c>
      <c r="Z79" s="66" t="s">
        <v>244</v>
      </c>
      <c r="AA79" s="68" t="s">
        <v>190</v>
      </c>
      <c r="AB79" s="68" t="s">
        <v>276</v>
      </c>
      <c r="AC79" s="63">
        <v>85.0</v>
      </c>
      <c r="AD79" s="63">
        <v>100.0</v>
      </c>
      <c r="AE79" s="63">
        <v>100.0</v>
      </c>
      <c r="AF79" s="63">
        <v>100.0</v>
      </c>
      <c r="AG79" s="63">
        <v>100.0</v>
      </c>
      <c r="AH79" s="63">
        <v>13.5</v>
      </c>
      <c r="AI79" s="63">
        <v>14.2</v>
      </c>
      <c r="AJ79" s="63">
        <v>72.5</v>
      </c>
      <c r="AK79" s="63">
        <v>85.0</v>
      </c>
      <c r="AL79" s="69">
        <v>73.9</v>
      </c>
      <c r="AM79" s="70">
        <v>1.0</v>
      </c>
      <c r="AN79" s="70">
        <v>5.0</v>
      </c>
      <c r="AO79" s="69">
        <v>27.0</v>
      </c>
      <c r="AP79" s="68" t="s">
        <v>428</v>
      </c>
      <c r="AQ79" s="68" t="s">
        <v>201</v>
      </c>
      <c r="AR79" s="69">
        <v>0.0</v>
      </c>
      <c r="AS79" s="70">
        <v>0.0</v>
      </c>
      <c r="AT79" s="69">
        <v>0.0</v>
      </c>
      <c r="AU79" s="69">
        <v>73.9</v>
      </c>
      <c r="AV79" s="70">
        <v>1.0</v>
      </c>
      <c r="AW79" s="70">
        <v>4.0</v>
      </c>
      <c r="AX79" s="70" t="s">
        <v>214</v>
      </c>
      <c r="AY79" s="42" t="s">
        <v>263</v>
      </c>
    </row>
    <row r="80">
      <c r="A80" s="42" t="s">
        <v>429</v>
      </c>
      <c r="B80" s="63">
        <v>0.09</v>
      </c>
      <c r="C80" s="63">
        <v>0.0</v>
      </c>
      <c r="D80" s="63">
        <v>0.0</v>
      </c>
      <c r="E80" s="63">
        <v>1785.0</v>
      </c>
      <c r="F80" s="63">
        <v>0.0</v>
      </c>
      <c r="G80" s="42" t="s">
        <v>188</v>
      </c>
      <c r="H80" s="63" t="s">
        <v>430</v>
      </c>
      <c r="I80" s="64"/>
      <c r="J80" s="42" t="s">
        <v>190</v>
      </c>
      <c r="K80" s="42" t="s">
        <v>390</v>
      </c>
      <c r="L80" s="65"/>
      <c r="M80" s="65"/>
      <c r="N80" s="65"/>
      <c r="O80" s="65"/>
      <c r="P80" s="42" t="s">
        <v>188</v>
      </c>
      <c r="Q80" s="42" t="s">
        <v>260</v>
      </c>
      <c r="R80" s="42" t="s">
        <v>188</v>
      </c>
      <c r="S80" s="42" t="s">
        <v>431</v>
      </c>
      <c r="T80" s="42" t="s">
        <v>390</v>
      </c>
      <c r="U80" s="64"/>
      <c r="V80" s="42" t="s">
        <v>220</v>
      </c>
      <c r="W80" s="64"/>
      <c r="X80" s="66" t="s">
        <v>196</v>
      </c>
      <c r="Y80" s="67" t="s">
        <v>197</v>
      </c>
      <c r="Z80" s="66" t="s">
        <v>244</v>
      </c>
      <c r="AA80" s="68" t="s">
        <v>190</v>
      </c>
      <c r="AB80" s="68" t="s">
        <v>276</v>
      </c>
      <c r="AC80" s="63">
        <v>65.0</v>
      </c>
      <c r="AD80" s="63">
        <v>90.0</v>
      </c>
      <c r="AE80" s="63">
        <v>100.0</v>
      </c>
      <c r="AF80" s="63">
        <v>95.0</v>
      </c>
      <c r="AG80" s="63">
        <v>98.0</v>
      </c>
      <c r="AH80" s="63">
        <v>14.09</v>
      </c>
      <c r="AI80" s="63">
        <v>18.1</v>
      </c>
      <c r="AJ80" s="63">
        <v>75.0</v>
      </c>
      <c r="AK80" s="63">
        <v>85.0</v>
      </c>
      <c r="AL80" s="69">
        <v>67.8</v>
      </c>
      <c r="AM80" s="70">
        <v>2.0</v>
      </c>
      <c r="AN80" s="70">
        <v>10.0</v>
      </c>
      <c r="AO80" s="69">
        <v>35.0</v>
      </c>
      <c r="AP80" s="68" t="s">
        <v>428</v>
      </c>
      <c r="AQ80" s="68" t="s">
        <v>201</v>
      </c>
      <c r="AR80" s="69">
        <v>1.0</v>
      </c>
      <c r="AS80" s="70">
        <v>1.0</v>
      </c>
      <c r="AT80" s="69">
        <v>7.0</v>
      </c>
      <c r="AU80" s="69">
        <v>60.8</v>
      </c>
      <c r="AV80" s="70">
        <v>3.0</v>
      </c>
      <c r="AW80" s="70">
        <v>14.0</v>
      </c>
      <c r="AX80" s="70" t="s">
        <v>214</v>
      </c>
      <c r="AY80" s="42" t="s">
        <v>432</v>
      </c>
    </row>
    <row r="81">
      <c r="A81" s="42" t="s">
        <v>433</v>
      </c>
      <c r="B81" s="63">
        <v>267.89</v>
      </c>
      <c r="C81" s="63">
        <v>0.0</v>
      </c>
      <c r="D81" s="63">
        <v>0.0</v>
      </c>
      <c r="E81" s="63">
        <v>1.0</v>
      </c>
      <c r="F81" s="63">
        <v>6.0</v>
      </c>
      <c r="G81" s="42" t="s">
        <v>188</v>
      </c>
      <c r="H81" s="63" t="s">
        <v>189</v>
      </c>
      <c r="I81" s="64"/>
      <c r="J81" s="42" t="s">
        <v>190</v>
      </c>
      <c r="K81" s="42" t="s">
        <v>191</v>
      </c>
      <c r="L81" s="65"/>
      <c r="M81" s="65"/>
      <c r="N81" s="65"/>
      <c r="O81" s="65"/>
      <c r="P81" s="42" t="s">
        <v>188</v>
      </c>
      <c r="Q81" s="42" t="s">
        <v>192</v>
      </c>
      <c r="R81" s="42" t="s">
        <v>188</v>
      </c>
      <c r="S81" s="42" t="s">
        <v>434</v>
      </c>
      <c r="T81" s="42" t="s">
        <v>435</v>
      </c>
      <c r="U81" s="64"/>
      <c r="V81" s="42" t="s">
        <v>195</v>
      </c>
      <c r="W81" s="64"/>
      <c r="X81" s="78" t="s">
        <v>322</v>
      </c>
      <c r="Y81" s="67" t="s">
        <v>197</v>
      </c>
      <c r="Z81" s="78" t="s">
        <v>198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35.0</v>
      </c>
      <c r="AF81" s="63">
        <v>60.0</v>
      </c>
      <c r="AG81" s="63">
        <v>45.0</v>
      </c>
      <c r="AH81" s="63">
        <v>18.0</v>
      </c>
      <c r="AI81" s="63">
        <v>43.7</v>
      </c>
      <c r="AJ81" s="63">
        <v>40.0</v>
      </c>
      <c r="AK81" s="63">
        <v>85.0</v>
      </c>
      <c r="AL81" s="69">
        <v>51.1</v>
      </c>
      <c r="AM81" s="70">
        <v>38.0</v>
      </c>
      <c r="AN81" s="70">
        <v>66.0</v>
      </c>
      <c r="AO81" s="69">
        <v>181.0</v>
      </c>
      <c r="AP81" s="68" t="s">
        <v>200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51.1</v>
      </c>
      <c r="AV81" s="70">
        <v>13.0</v>
      </c>
      <c r="AW81" s="70">
        <v>34.0</v>
      </c>
      <c r="AX81" s="70" t="s">
        <v>202</v>
      </c>
      <c r="AY81" s="42" t="s">
        <v>203</v>
      </c>
    </row>
    <row r="82">
      <c r="A82" s="42" t="s">
        <v>436</v>
      </c>
      <c r="B82" s="63">
        <v>338.42</v>
      </c>
      <c r="C82" s="63">
        <v>0.0</v>
      </c>
      <c r="D82" s="63">
        <v>0.0</v>
      </c>
      <c r="E82" s="63">
        <v>1.0</v>
      </c>
      <c r="F82" s="63">
        <v>6.0</v>
      </c>
      <c r="G82" s="42" t="s">
        <v>188</v>
      </c>
      <c r="H82" s="63" t="s">
        <v>189</v>
      </c>
      <c r="I82" s="64"/>
      <c r="J82" s="42" t="s">
        <v>190</v>
      </c>
      <c r="K82" s="42" t="s">
        <v>191</v>
      </c>
      <c r="L82" s="65"/>
      <c r="M82" s="65"/>
      <c r="N82" s="65"/>
      <c r="O82" s="65"/>
      <c r="P82" s="42" t="s">
        <v>188</v>
      </c>
      <c r="Q82" s="42" t="s">
        <v>192</v>
      </c>
      <c r="R82" s="42" t="s">
        <v>188</v>
      </c>
      <c r="S82" s="42" t="s">
        <v>437</v>
      </c>
      <c r="T82" s="42" t="s">
        <v>435</v>
      </c>
      <c r="U82" s="64"/>
      <c r="V82" s="42" t="s">
        <v>195</v>
      </c>
      <c r="W82" s="64"/>
      <c r="X82" s="78" t="s">
        <v>322</v>
      </c>
      <c r="Y82" s="67" t="s">
        <v>197</v>
      </c>
      <c r="Z82" s="78" t="s">
        <v>198</v>
      </c>
      <c r="AA82" s="68" t="s">
        <v>190</v>
      </c>
      <c r="AB82" s="68" t="s">
        <v>199</v>
      </c>
      <c r="AC82" s="63">
        <v>25.0</v>
      </c>
      <c r="AD82" s="63">
        <v>100.0</v>
      </c>
      <c r="AE82" s="63">
        <v>35.0</v>
      </c>
      <c r="AF82" s="63">
        <v>60.0</v>
      </c>
      <c r="AG82" s="63">
        <v>45.0</v>
      </c>
      <c r="AH82" s="63">
        <v>18.0</v>
      </c>
      <c r="AI82" s="63">
        <v>43.7</v>
      </c>
      <c r="AJ82" s="63">
        <v>40.0</v>
      </c>
      <c r="AK82" s="63">
        <v>85.0</v>
      </c>
      <c r="AL82" s="69">
        <v>51.1</v>
      </c>
      <c r="AM82" s="70">
        <v>39.0</v>
      </c>
      <c r="AN82" s="70">
        <v>67.0</v>
      </c>
      <c r="AO82" s="69">
        <v>181.0</v>
      </c>
      <c r="AP82" s="68" t="s">
        <v>200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51.1</v>
      </c>
      <c r="AV82" s="70">
        <v>14.0</v>
      </c>
      <c r="AW82" s="70">
        <v>35.0</v>
      </c>
      <c r="AX82" s="70" t="s">
        <v>202</v>
      </c>
      <c r="AY82" s="42" t="s">
        <v>203</v>
      </c>
    </row>
    <row r="83">
      <c r="A83" s="42" t="s">
        <v>438</v>
      </c>
      <c r="B83" s="63">
        <v>100.47</v>
      </c>
      <c r="C83" s="63">
        <v>0.0</v>
      </c>
      <c r="D83" s="63">
        <v>0.0</v>
      </c>
      <c r="E83" s="63">
        <v>1.0</v>
      </c>
      <c r="F83" s="63">
        <v>0.0</v>
      </c>
      <c r="G83" s="42" t="s">
        <v>188</v>
      </c>
      <c r="H83" s="63" t="s">
        <v>189</v>
      </c>
      <c r="I83" s="64"/>
      <c r="J83" s="42" t="s">
        <v>190</v>
      </c>
      <c r="K83" s="42" t="s">
        <v>191</v>
      </c>
      <c r="L83" s="65"/>
      <c r="M83" s="65"/>
      <c r="N83" s="65"/>
      <c r="O83" s="65"/>
      <c r="P83" s="42" t="s">
        <v>188</v>
      </c>
      <c r="Q83" s="42" t="s">
        <v>207</v>
      </c>
      <c r="R83" s="42" t="s">
        <v>188</v>
      </c>
      <c r="S83" s="42" t="s">
        <v>439</v>
      </c>
      <c r="T83" s="42" t="s">
        <v>435</v>
      </c>
      <c r="U83" s="64"/>
      <c r="V83" s="42" t="s">
        <v>220</v>
      </c>
      <c r="W83" s="64"/>
      <c r="X83" s="66" t="s">
        <v>196</v>
      </c>
      <c r="Y83" s="67" t="s">
        <v>197</v>
      </c>
      <c r="Z83" s="66" t="s">
        <v>244</v>
      </c>
      <c r="AA83" s="68" t="s">
        <v>190</v>
      </c>
      <c r="AB83" s="68" t="s">
        <v>245</v>
      </c>
      <c r="AC83" s="63">
        <v>100.0</v>
      </c>
      <c r="AD83" s="63">
        <v>100.0</v>
      </c>
      <c r="AE83" s="63">
        <v>70.0</v>
      </c>
      <c r="AF83" s="63">
        <v>95.0</v>
      </c>
      <c r="AG83" s="63">
        <v>80.0</v>
      </c>
      <c r="AH83" s="63">
        <v>0.56</v>
      </c>
      <c r="AI83" s="63">
        <v>0.0</v>
      </c>
      <c r="AJ83" s="63">
        <v>16.0</v>
      </c>
      <c r="AK83" s="63">
        <v>85.0</v>
      </c>
      <c r="AL83" s="69">
        <v>64.8</v>
      </c>
      <c r="AM83" s="70">
        <v>10.0</v>
      </c>
      <c r="AN83" s="70">
        <v>16.0</v>
      </c>
      <c r="AO83" s="69">
        <v>0.0</v>
      </c>
      <c r="AP83" s="68" t="s">
        <v>212</v>
      </c>
      <c r="AQ83" s="68" t="s">
        <v>213</v>
      </c>
      <c r="AR83" s="69">
        <v>4.0</v>
      </c>
      <c r="AS83" s="70">
        <v>6.0</v>
      </c>
      <c r="AT83" s="69">
        <v>18.0</v>
      </c>
      <c r="AU83" s="69">
        <v>46.8</v>
      </c>
      <c r="AV83" s="70">
        <v>11.0</v>
      </c>
      <c r="AW83" s="70">
        <v>48.0</v>
      </c>
      <c r="AX83" s="70" t="s">
        <v>214</v>
      </c>
      <c r="AY83" s="42" t="s">
        <v>203</v>
      </c>
    </row>
    <row r="84">
      <c r="A84" s="42" t="s">
        <v>440</v>
      </c>
      <c r="B84" s="63">
        <v>441.89</v>
      </c>
      <c r="C84" s="63">
        <v>0.0</v>
      </c>
      <c r="D84" s="63">
        <v>0.0</v>
      </c>
      <c r="E84" s="63">
        <v>1.0</v>
      </c>
      <c r="F84" s="63">
        <v>6.0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192</v>
      </c>
      <c r="R84" s="42" t="s">
        <v>188</v>
      </c>
      <c r="S84" s="42" t="s">
        <v>441</v>
      </c>
      <c r="T84" s="42" t="s">
        <v>435</v>
      </c>
      <c r="U84" s="64"/>
      <c r="V84" s="42" t="s">
        <v>195</v>
      </c>
      <c r="W84" s="64"/>
      <c r="X84" s="78" t="s">
        <v>322</v>
      </c>
      <c r="Y84" s="67" t="s">
        <v>197</v>
      </c>
      <c r="Z84" s="78" t="s">
        <v>198</v>
      </c>
      <c r="AA84" s="68" t="s">
        <v>190</v>
      </c>
      <c r="AB84" s="68" t="s">
        <v>199</v>
      </c>
      <c r="AC84" s="63">
        <v>25.0</v>
      </c>
      <c r="AD84" s="63">
        <v>100.0</v>
      </c>
      <c r="AE84" s="63">
        <v>35.0</v>
      </c>
      <c r="AF84" s="63">
        <v>60.0</v>
      </c>
      <c r="AG84" s="63">
        <v>45.0</v>
      </c>
      <c r="AH84" s="63">
        <v>18.0</v>
      </c>
      <c r="AI84" s="63">
        <v>43.7</v>
      </c>
      <c r="AJ84" s="63">
        <v>40.0</v>
      </c>
      <c r="AK84" s="63">
        <v>85.0</v>
      </c>
      <c r="AL84" s="69">
        <v>51.1</v>
      </c>
      <c r="AM84" s="70">
        <v>40.0</v>
      </c>
      <c r="AN84" s="70">
        <v>68.0</v>
      </c>
      <c r="AO84" s="69">
        <v>181.0</v>
      </c>
      <c r="AP84" s="68" t="s">
        <v>200</v>
      </c>
      <c r="AQ84" s="68" t="s">
        <v>201</v>
      </c>
      <c r="AR84" s="69">
        <v>0.0</v>
      </c>
      <c r="AS84" s="70">
        <v>0.0</v>
      </c>
      <c r="AT84" s="69">
        <v>0.0</v>
      </c>
      <c r="AU84" s="69">
        <v>51.1</v>
      </c>
      <c r="AV84" s="70">
        <v>15.0</v>
      </c>
      <c r="AW84" s="70">
        <v>36.0</v>
      </c>
      <c r="AX84" s="70" t="s">
        <v>202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206</v>
      </c>
      <c r="L85" s="65"/>
      <c r="M85" s="65"/>
      <c r="N85" s="65"/>
      <c r="O85" s="65"/>
      <c r="P85" s="42" t="s">
        <v>188</v>
      </c>
      <c r="Q85" s="42" t="s">
        <v>207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4" t="s">
        <v>322</v>
      </c>
      <c r="Y85" s="75" t="s">
        <v>262</v>
      </c>
      <c r="Z85" s="74" t="s">
        <v>244</v>
      </c>
      <c r="AA85" s="68" t="s">
        <v>190</v>
      </c>
      <c r="AB85" s="68" t="s">
        <v>211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212</v>
      </c>
      <c r="AQ85" s="68" t="s">
        <v>213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214</v>
      </c>
      <c r="AY85" s="42" t="s">
        <v>215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