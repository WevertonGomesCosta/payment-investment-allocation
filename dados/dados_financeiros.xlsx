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dos os Gastos" sheetId="1" r:id="rId4"/>
    <sheet state="visible" name="Inventário de Lotes" sheetId="2" r:id="rId5"/>
    <sheet state="visible" name="Resumo Mensal" sheetId="3" r:id="rId6"/>
    <sheet state="visible" name="Carteira" sheetId="4" r:id="rId7"/>
  </sheets>
  <definedNames>
    <definedName hidden="1" localSheetId="0" name="_xlnm._FilterDatabase">'Todos os Gastos'!$A$1:$E$215</definedName>
    <definedName hidden="1" localSheetId="1" name="_xlnm._FilterDatabase">'Inventário de Lotes'!$A$1:$E$40</definedName>
    <definedName hidden="1" localSheetId="2" name="_xlnm._FilterDatabase">'Resumo Mensal'!$A$3:$G$123</definedName>
  </definedNames>
  <calcPr/>
  <pivotCaches>
    <pivotCache cacheId="0" r:id="rId8"/>
  </pivotCaches>
  <extLst>
    <ext uri="GoogleSheetsCustomDataVersion2">
      <go:sheetsCustomData xmlns:go="http://customooxmlschemas.google.com/" r:id="rId9" roundtripDataChecksum="fQACDy/44e+hY5smQu6RtP1opOd4sqsnMxPojlYqi6U="/>
    </ext>
  </extLst>
</workbook>
</file>

<file path=xl/sharedStrings.xml><?xml version="1.0" encoding="utf-8"?>
<sst xmlns="http://schemas.openxmlformats.org/spreadsheetml/2006/main" count="2062" uniqueCount="417">
  <si>
    <t>Data</t>
  </si>
  <si>
    <t>Descrição</t>
  </si>
  <si>
    <t>Valor</t>
  </si>
  <si>
    <t>Pago</t>
  </si>
  <si>
    <t>Lote usado</t>
  </si>
  <si>
    <t>SUM de Valor</t>
  </si>
  <si>
    <t>Claro Biola</t>
  </si>
  <si>
    <t>OK</t>
  </si>
  <si>
    <t>Lote 1000 mar.</t>
  </si>
  <si>
    <t>Entrada Hotel</t>
  </si>
  <si>
    <t>Lote 10342 fev.</t>
  </si>
  <si>
    <t>Presente Gi</t>
  </si>
  <si>
    <t>Lote 2063,11 fev.</t>
  </si>
  <si>
    <t>Presente Negs</t>
  </si>
  <si>
    <t>Lote 35 abr.</t>
  </si>
  <si>
    <t>Roupa Academia</t>
  </si>
  <si>
    <t>Lote 3600 abr.</t>
  </si>
  <si>
    <t>Roupa biola</t>
  </si>
  <si>
    <t>Lote 4000 fev.</t>
  </si>
  <si>
    <t>Sapatos</t>
  </si>
  <si>
    <t>Lote 4124,75 fev.</t>
  </si>
  <si>
    <t>Spotify</t>
  </si>
  <si>
    <t>Lote 5400 fev.</t>
  </si>
  <si>
    <t>Cartão Azul</t>
  </si>
  <si>
    <t>Lote 5680 abr.</t>
  </si>
  <si>
    <t>Aluguel</t>
  </si>
  <si>
    <t>Lote 6630,64 fev.</t>
  </si>
  <si>
    <t>IPVA</t>
  </si>
  <si>
    <t>Lote 7800 abr.</t>
  </si>
  <si>
    <t>Internet</t>
  </si>
  <si>
    <t>Lote 900 mar.</t>
  </si>
  <si>
    <t>Material</t>
  </si>
  <si>
    <t>Total geral</t>
  </si>
  <si>
    <t>Escola</t>
  </si>
  <si>
    <t>Licenciamento</t>
  </si>
  <si>
    <t>Fran</t>
  </si>
  <si>
    <t>Ginástica Biola</t>
  </si>
  <si>
    <t>Cartão PS</t>
  </si>
  <si>
    <t>Condomínio</t>
  </si>
  <si>
    <t>Cartão NU</t>
  </si>
  <si>
    <t>Claro Velti</t>
  </si>
  <si>
    <t>Cemig</t>
  </si>
  <si>
    <t>Pelada</t>
  </si>
  <si>
    <t>Pelada e churrasco</t>
  </si>
  <si>
    <t xml:space="preserve">Concerto Carro </t>
  </si>
  <si>
    <t>Calça biola</t>
  </si>
  <si>
    <t>Velt</t>
  </si>
  <si>
    <t>Cleitim</t>
  </si>
  <si>
    <t>Consulta Maite</t>
  </si>
  <si>
    <t>Cemig SIM</t>
  </si>
  <si>
    <t>Claro</t>
  </si>
  <si>
    <t>Ana Paula</t>
  </si>
  <si>
    <t>Cida</t>
  </si>
  <si>
    <t>Embreagem</t>
  </si>
  <si>
    <t>Pircing</t>
  </si>
  <si>
    <t>Poupança Lara</t>
  </si>
  <si>
    <t>Thayrine</t>
  </si>
  <si>
    <t>Unha</t>
  </si>
  <si>
    <t>Faxina Rosa</t>
  </si>
  <si>
    <t>Tratamento Lara</t>
  </si>
  <si>
    <t>IPTU</t>
  </si>
  <si>
    <t>Onedrive</t>
  </si>
  <si>
    <t>Rematricula</t>
  </si>
  <si>
    <t>Spotify e presente Gi</t>
  </si>
  <si>
    <t>Lote (ID)</t>
  </si>
  <si>
    <t>Data Recebimento</t>
  </si>
  <si>
    <t>Data Aplicação</t>
  </si>
  <si>
    <t>Valor Original</t>
  </si>
  <si>
    <t>Investimento</t>
  </si>
  <si>
    <t>CDB Turbinado</t>
  </si>
  <si>
    <t>Lote 3000 mar. V</t>
  </si>
  <si>
    <t>CDB XP 230%</t>
  </si>
  <si>
    <t>Lote 3000 mar. B</t>
  </si>
  <si>
    <t>-</t>
  </si>
  <si>
    <t>Lote 8500 mar.</t>
  </si>
  <si>
    <t>CDB Sofisa 105%</t>
  </si>
  <si>
    <t>CDB Neon Planejado 150% CDI - 60 dias</t>
  </si>
  <si>
    <t>Lote 7000 mai.</t>
  </si>
  <si>
    <t>Lote 3600 mai.</t>
  </si>
  <si>
    <t>Lote 5680 mai.</t>
  </si>
  <si>
    <t>Lote 7000 jun.</t>
  </si>
  <si>
    <t>Lote 1800 jun.</t>
  </si>
  <si>
    <t>Lote 5680 jun.</t>
  </si>
  <si>
    <t>Lote 7000 jul.</t>
  </si>
  <si>
    <t>Lote 5680 jul.</t>
  </si>
  <si>
    <t>Lote 7000 ago.</t>
  </si>
  <si>
    <t>Lote 5680 ago.</t>
  </si>
  <si>
    <t>Lote 7000 set.</t>
  </si>
  <si>
    <t>Lote 5680 set.</t>
  </si>
  <si>
    <t>Lote 7000 out.</t>
  </si>
  <si>
    <t>Lote 5680 out.</t>
  </si>
  <si>
    <t>Lote 7000 nov.</t>
  </si>
  <si>
    <t>Lote 5680 nov.</t>
  </si>
  <si>
    <t>Lote 7000 dez.</t>
  </si>
  <si>
    <t>Lote 5680 dez.</t>
  </si>
  <si>
    <t>Lote 7000 jan.</t>
  </si>
  <si>
    <t>Lote 5680 jan.</t>
  </si>
  <si>
    <t>Lote 7000 fev.</t>
  </si>
  <si>
    <t>Lote 5680 fev.</t>
  </si>
  <si>
    <t>Lote 7000 mar.</t>
  </si>
  <si>
    <t>Lote 5680 mar.</t>
  </si>
  <si>
    <t>Resumo mensal automático</t>
  </si>
  <si>
    <t>Último mês com dados</t>
  </si>
  <si>
    <t>Painel executivo mensal</t>
  </si>
  <si>
    <t>Mês</t>
  </si>
  <si>
    <t>Gastos totais</t>
  </si>
  <si>
    <t>Recebidos totais</t>
  </si>
  <si>
    <t>Saldo mensal</t>
  </si>
  <si>
    <t>Qtd. gastos</t>
  </si>
  <si>
    <t>Qtd. recebimentos</t>
  </si>
  <si>
    <t>Saldo acumulado</t>
  </si>
  <si>
    <t>Total de gastos</t>
  </si>
  <si>
    <t>Primeiro mês</t>
  </si>
  <si>
    <t>Total recebido</t>
  </si>
  <si>
    <t>Saldo acumulado até mês atual</t>
  </si>
  <si>
    <t>Saldo acumulado final</t>
  </si>
  <si>
    <t>Saldo do mês atual</t>
  </si>
  <si>
    <t>Média mensal do saldo</t>
  </si>
  <si>
    <t>Maior gasto mensal</t>
  </si>
  <si>
    <t>Maior recebido mensal</t>
  </si>
  <si>
    <t>Período coberto</t>
  </si>
  <si>
    <t>Mês atual</t>
  </si>
  <si>
    <t>Nome</t>
  </si>
  <si>
    <t>Taxa_Base_CDI</t>
  </si>
  <si>
    <t>Taxa_Bonus_CDI</t>
  </si>
  <si>
    <t>Dias_Bonus</t>
  </si>
  <si>
    <t>Prazo_Dias</t>
  </si>
  <si>
    <t>Carência_Dias</t>
  </si>
  <si>
    <t>Isento_IR</t>
  </si>
  <si>
    <t>Aplicação_Mínima</t>
  </si>
  <si>
    <t>Aplicação_Máxima</t>
  </si>
  <si>
    <t>Ativo</t>
  </si>
  <si>
    <t>Tipo</t>
  </si>
  <si>
    <t>Produto_Base</t>
  </si>
  <si>
    <t>Produto_Bonus</t>
  </si>
  <si>
    <t>Ratio_Base</t>
  </si>
  <si>
    <t>Ratio_Bonus</t>
  </si>
  <si>
    <t>Somente_Combo</t>
  </si>
  <si>
    <t>Indexador</t>
  </si>
  <si>
    <t>FGC</t>
  </si>
  <si>
    <t>Observações</t>
  </si>
  <si>
    <t>Banco_Emissor</t>
  </si>
  <si>
    <t>Score_Banco</t>
  </si>
  <si>
    <t>Risco_Real</t>
  </si>
  <si>
    <t>Max_Usos</t>
  </si>
  <si>
    <t>Camada</t>
  </si>
  <si>
    <t>Status_Confirmação</t>
  </si>
  <si>
    <t>Campos_Pendentes</t>
  </si>
  <si>
    <t>Elegível_SAOF</t>
  </si>
  <si>
    <t>Bucket_SAOF</t>
  </si>
  <si>
    <t>Fit_Liquidez</t>
  </si>
  <si>
    <t>Fit_Ticket</t>
  </si>
  <si>
    <t>Proteção_Estrutural</t>
  </si>
  <si>
    <t>Risco_Real_Score</t>
  </si>
  <si>
    <t>Risco_Proteção</t>
  </si>
  <si>
    <t>Retorno_Proxy_aa</t>
  </si>
  <si>
    <t>Score_Retorno_Proxy</t>
  </si>
  <si>
    <t>Eficiência_Fiscal</t>
  </si>
  <si>
    <t>Robustez_Operacional</t>
  </si>
  <si>
    <t>SAOF</t>
  </si>
  <si>
    <t>Rank_Bucket_Ativos</t>
  </si>
  <si>
    <t>Rank_Consolidado_Ativos</t>
  </si>
  <si>
    <t>Horizonte_Efetivo_Dias</t>
  </si>
  <si>
    <t>Classe_Operacional_SAOF</t>
  </si>
  <si>
    <t>Driver_Horizonte</t>
  </si>
  <si>
    <t>Dominância_Forte_Qtd</t>
  </si>
  <si>
    <t>Dominância_Fraca_Qtd</t>
  </si>
  <si>
    <t>Penalidade_Dominância</t>
  </si>
  <si>
    <t>SAOF_Final</t>
  </si>
  <si>
    <t>Rank_Bucket_Final_Ativos</t>
  </si>
  <si>
    <t>Rank_Consolidado_Final_Ativos</t>
  </si>
  <si>
    <t>ACE Capital Multicenários FC FIF MULT - RL</t>
  </si>
  <si>
    <t>Não</t>
  </si>
  <si>
    <t>R$ 100,00</t>
  </si>
  <si>
    <t>Sim</t>
  </si>
  <si>
    <t>Fundo</t>
  </si>
  <si>
    <t>Variável</t>
  </si>
  <si>
    <t>Rentab, bruta 12M 39,31%; Comparativo 266,87% do CDI; Aplicação D+0; Resgate D+15 corridos + liquidação D+2 úteis; Mov, mínima e saldo mínimo R$ 100; Horário 15h; Risco médio 16</t>
  </si>
  <si>
    <t>ACE Capital</t>
  </si>
  <si>
    <t>Médio</t>
  </si>
  <si>
    <t>Fora da Carteira</t>
  </si>
  <si>
    <t>Fortemente sustentado</t>
  </si>
  <si>
    <t>Aplicação_Máxima, Score_Banco, Max_Usos</t>
  </si>
  <si>
    <t>Bucket D - alocação estrutural</t>
  </si>
  <si>
    <t>Alocação estrutural de risco</t>
  </si>
  <si>
    <t>Ajuste estrutural de prazo</t>
  </si>
  <si>
    <t>CDB 3 Meses 100% CDI</t>
  </si>
  <si>
    <t>R$ 200,00</t>
  </si>
  <si>
    <t>CDB</t>
  </si>
  <si>
    <t>CDI</t>
  </si>
  <si>
    <t>Perna base do combo</t>
  </si>
  <si>
    <t>PicPay Bank</t>
  </si>
  <si>
    <t>Pendente de confirmação</t>
  </si>
  <si>
    <t>Bucket C - alocação intermediária</t>
  </si>
  <si>
    <t>Liquidez operacional</t>
  </si>
  <si>
    <t>Carência contratual</t>
  </si>
  <si>
    <t>CDB 6 Meses 100% CDI</t>
  </si>
  <si>
    <t>CDB BMG DI 109% CDI - 1 ano</t>
  </si>
  <si>
    <t>Resgate no vencimento; IR 17,5%; Perfil conservador; Risco baixo</t>
  </si>
  <si>
    <t>BMG</t>
  </si>
  <si>
    <t>Baixo</t>
  </si>
  <si>
    <t>CDB BMG DI 110% CDI - 6 anos</t>
  </si>
  <si>
    <t>Resgate no vencimento; IR 15%; Perfil moderado; Risco moderado</t>
  </si>
  <si>
    <t>Moderado</t>
  </si>
  <si>
    <t>CDB BMG DI 111% CDI - 2 anos</t>
  </si>
  <si>
    <t>Resgate no vencimento; IR 15%; Perfil conservador; Risco baixo</t>
  </si>
  <si>
    <t>CDB BMG DI 112% CDI - 3 anos</t>
  </si>
  <si>
    <t>CDB BMG DI 113% CDI - 4 anos</t>
  </si>
  <si>
    <t>CDB BMG DI 114% CDI - 5 anos</t>
  </si>
  <si>
    <t>CDB BMG DI Renda Mensal 108% CDI - 3 anos</t>
  </si>
  <si>
    <t>R$ 20,000,00</t>
  </si>
  <si>
    <t>Pagamento de juros mensal; Resgate no vencimento; Perfil conservador; Risco baixo</t>
  </si>
  <si>
    <t>CDB BMG Duplo Indexado - 2 anos</t>
  </si>
  <si>
    <t>R$ 1,000,00</t>
  </si>
  <si>
    <t>CDI ou Pré</t>
  </si>
  <si>
    <t>Alternativa: 100% do CDI ou prefixado 13,16% a,a,; Resgate no vencimento; IR 15%; Perfil conservador; Risco baixo</t>
  </si>
  <si>
    <t>CDB BMG Duplo Indexado - 3 anos</t>
  </si>
  <si>
    <t>Alternativa: 100% do CDI ou prefixado 13,12% a,a,; Resgate no vencimento; IR 15%; Perfil conservador; Risco baixo</t>
  </si>
  <si>
    <t>CDB BMG Escalonado - até 109% CDI - 5 anos</t>
  </si>
  <si>
    <t>R$ 50,00</t>
  </si>
  <si>
    <t>não informado na base</t>
  </si>
  <si>
    <t>CDI Escalonado</t>
  </si>
  <si>
    <t>Escalonamento: 1-360d 105% CDI; 361-720d 106%; 721-1080d 107%; 1081-1440d 108%; 1441-1825d 109%; Resgate diário; Perfil conservador; Risco baixo</t>
  </si>
  <si>
    <t>N/A (fora do modelo atual)</t>
  </si>
  <si>
    <t>Prioritária</t>
  </si>
  <si>
    <t>Sem pendências operacionais bloqueantes</t>
  </si>
  <si>
    <t>Bucket A - caixa operacional</t>
  </si>
  <si>
    <t>CDB BMG IPCA+ 8,65% - 5 anos</t>
  </si>
  <si>
    <t>IPCA+</t>
  </si>
  <si>
    <t>CDB BMG IPCA+ 8,68% - 3 anos</t>
  </si>
  <si>
    <t>CDB BMG IPCA+ 8,69% - 4 anos</t>
  </si>
  <si>
    <t>CDB BMG IPCA+ 9,01% - 2 anos</t>
  </si>
  <si>
    <t>CDB BMG Pré 14,84% - 3 anos</t>
  </si>
  <si>
    <t>Pré</t>
  </si>
  <si>
    <t>CDB BMG Pré 14,88% - 2 anos</t>
  </si>
  <si>
    <t>CDB BMG Pré 14,90% - 4 anos</t>
  </si>
  <si>
    <t>CDB BMG Pré 14,96% - 5 anos</t>
  </si>
  <si>
    <t>CDB BMG Super Poupança</t>
  </si>
  <si>
    <t>Selic</t>
  </si>
  <si>
    <t>Emissor: BMG | 107,00% da Selic | prazo 1096 dias | carência 0 dias | aplicação mínima R$ 50,00 | aplicação máxima R$ 500,000,000,00 | FGC</t>
  </si>
  <si>
    <t>Confirmado</t>
  </si>
  <si>
    <t>CDB BTG 15,00% Prefixado</t>
  </si>
  <si>
    <t>Prefixado</t>
  </si>
  <si>
    <t>Oportunidade BTG</t>
  </si>
  <si>
    <t>BTG</t>
  </si>
  <si>
    <t>CDB Digimais 140%</t>
  </si>
  <si>
    <t>Taxa fixa alta</t>
  </si>
  <si>
    <t>Digimais</t>
  </si>
  <si>
    <t>CDB InfinitePay 106%</t>
  </si>
  <si>
    <t>R$ 1,00</t>
  </si>
  <si>
    <t>Emissor: InfinitePay | 106,00% do CDI | prazo 91 dias | carência 31 dias | aplicação mínima R$ 1,00 | FGC</t>
  </si>
  <si>
    <t>InfinitePay</t>
  </si>
  <si>
    <t>Secundária</t>
  </si>
  <si>
    <t>Bucket B - caixa tático curto</t>
  </si>
  <si>
    <t>CDB Neon Cofrinho Escalonado - 100% a 113% CDI</t>
  </si>
  <si>
    <t>Resgate 24h por dia; Rende a partir do 31º dia; Escalonamento: 0-30d 0,01% CDI; 1-6m 100%; 6-12m 103%; 12-18m 106%; 18-24m 109%; acima de 24m 113%; Rentabilidade máxima a partir de 2 anos; Risco baixo</t>
  </si>
  <si>
    <t>Neon</t>
  </si>
  <si>
    <t>CDB Neon Planejado 112% CDI - 90 dias</t>
  </si>
  <si>
    <t>Vencimento 11/07/2026; Rendimento desde o 1º dia útil; Após o vencimento rende 100% CDI com resgate 24h; Risco baixo</t>
  </si>
  <si>
    <t>CDB Neon Planejado 116% CDI - 181 dias</t>
  </si>
  <si>
    <t>Vencimento 10/10/2026; Rendimento desde o 1º dia útil; Após o vencimento rende 100% CDI com resgate 24h; Risco baixo</t>
  </si>
  <si>
    <t>CDB Neon Planejado 119% CDI - 361 dias</t>
  </si>
  <si>
    <t>Vencimento 08/04/2027; Rendimento desde o 1º dia útil; Após o vencimento rende 100% CDI com resgate 24h; Risco baixo</t>
  </si>
  <si>
    <t>CDB Neon Planejado 120% CDI - 721 dias</t>
  </si>
  <si>
    <t>Vencimento 02/04/2028; Rendimento desde o 1º dia útil; Após o vencimento rende 100% CDI com resgate 24h; Risco baixo</t>
  </si>
  <si>
    <t>Vencimento 11/06/2026; Rendimento desde o 1º dia útil; Após o vencimento rende 100% CDI com resgate 24h; Risco baixo</t>
  </si>
  <si>
    <t>CDB PagBank 104%</t>
  </si>
  <si>
    <t>PagBank 11/04/2026 | BancoSeguro | 104,00% do CDI | vencimento 10/07/2026 | resgate no vencimento | carência até 10/07/2026 | vencimento antecipado opcional pelo PagBank | aplicação mínima R$ 1,00 | aplicação máxima R$ 10,000,000,00</t>
  </si>
  <si>
    <t>BancoSeguro</t>
  </si>
  <si>
    <t>Muito Baixo</t>
  </si>
  <si>
    <t>CDB PagBank 105%</t>
  </si>
  <si>
    <t>R$ 500,00</t>
  </si>
  <si>
    <t>PagBank 11/04/2026 | BancoSeguro | 105,00% do CDI | vencimento 09/10/2026 | resgate no vencimento | carência até 09/10/2026 | vencimento antecipado opcional pelo PagBank | aplicação mínima R$ 500,00 | aplicação máxima R$ 10,000,000,00</t>
  </si>
  <si>
    <t>CDB PagBank 14,90%</t>
  </si>
  <si>
    <t>PagBank 11/04/2026 | BancoSeguro | 14,90% a,a, prefixado | vencimento 11/04/2027 | resgate no vencimento | carência até 11/04/2027 | vencimento antecipado opcional pelo PagBank | aplicação mínima R$ 500,00 | aplicação máxima R$ 10,000,000,00</t>
  </si>
  <si>
    <t>CDB PagBank 15,00%</t>
  </si>
  <si>
    <t>PagBank 11/04/2026 | BancoSeguro | 15,00% a,a, prefixado | vencimento 09/10/2026 | resgate no vencimento | carência até 09/10/2026 | vencimento antecipado opcional pelo PagBank | aplicação mínima R$ 500,00 | aplicação máxima R$ 10,000,000,00</t>
  </si>
  <si>
    <t>CDB PicPay 120% 3 Meses</t>
  </si>
  <si>
    <t>PicPay 11/04/2026 | oferta condicional/indisponível no momento | 120% do CDI | vencimento 13/07/2026 | botão orienta investir no CDB 3 meses 100% do CDI para acessar a oferta</t>
  </si>
  <si>
    <t>CDB PicPay 120% 6 Meses</t>
  </si>
  <si>
    <t>PicPay 11/04/2026 | oferta condicional/indisponível no momento | 120% do CDI | vencimento 13/10/2026 | botão orienta investir no CDB 6 meses 100% do CDI para acessar a oferta</t>
  </si>
  <si>
    <t>CDB PicPay Bank 18 Meses</t>
  </si>
  <si>
    <t>PicPay 11/04/2026 | 107,25% do CDI | vencimento 13/10/2027 | resgate no vencimento | aplicação mínima R$ 100,00</t>
  </si>
  <si>
    <t>Sofisa | CDB Liquidez Diária | 105,00% do CDI | prazo 1086 dias | resgate antecipado ativo | liquidez diária | aplicação mínima R$ 1,00 | IR não isento | grau de risco baixo</t>
  </si>
  <si>
    <t>Sofisa</t>
  </si>
  <si>
    <t>Desativado</t>
  </si>
  <si>
    <t>CDB XP 150%</t>
  </si>
  <si>
    <t>R$ 10,000,00</t>
  </si>
  <si>
    <t>Emissor: XP | 150,00% do CDI | prazo 60 dias | carência 0 dias | aplicação mínima R$ 10,000,00 | aplicação máxima R$ 60,000,00 | FGC</t>
  </si>
  <si>
    <t>XP</t>
  </si>
  <si>
    <t>Emissor: XP | 230,00% do CDI | prazo 60 dias | carência 0 dias | aplicação mínima R$ 100,00 | aplicação máxima R$ 3,000,00 | FGC</t>
  </si>
  <si>
    <t>Score_Banco, Max_Usos</t>
  </si>
  <si>
    <t>Combo PicPay 100-115</t>
  </si>
  <si>
    <t>R$ 300,00</t>
  </si>
  <si>
    <t>Combo</t>
  </si>
  <si>
    <t>CDB Picpay 100%</t>
  </si>
  <si>
    <t>CDB Picpay 115%</t>
  </si>
  <si>
    <t>PicPay 11/04/2026 | combo atual visto no app: investir no CDB base 100% do CDI para desbloquear oferta de 115% do CDI | proporção 2:1 confirmada (cada R$ 200,00 no base libera R$ 100,00 no bônus) | aplicação mínima confirmada: R$ 200,00 no base + R$ 100,00 no bônus = R$ 300,00 no combo</t>
  </si>
  <si>
    <t>PicPay</t>
  </si>
  <si>
    <t>Observação/Oportunidade</t>
  </si>
  <si>
    <t>Combo PicPay 100-120 3m</t>
  </si>
  <si>
    <t>CDB Picpay 120% 3m</t>
  </si>
  <si>
    <t>PicPay 11/04/2026 | oferta condicional de 120% do CDI associada ao CDB base de 3 meses 100% do CDI | proporção 2:1 confirmada (cada R$ 200,00 no base libera R$ 100,00 no bônus) | aplicação mínima confirmada: R$ 200,00 no base + R$ 100,00 no bônus = R$ 300,00 no combo</t>
  </si>
  <si>
    <t>Combo PicPay 100-120 6m</t>
  </si>
  <si>
    <t>CDB Picpay 120% 6m</t>
  </si>
  <si>
    <t>PicPay 11/04/2026 | oferta condicional de 120% do CDI associada ao CDB base de 6 meses 100% do CDI | proporção 2:1 confirmada (cada R$ 200,00 no base libera R$ 100,00 no bônus) | aplicação mínima confirmada: R$ 200,00 no base + R$ 100,00 no bônus = R$ 300,00 no combo</t>
  </si>
  <si>
    <t>Compromissada ABC 80% CDI</t>
  </si>
  <si>
    <t>R$ 50,000,00</t>
  </si>
  <si>
    <t>Compromissada</t>
  </si>
  <si>
    <t>PagBank 11/04/2026 | Banco ABC Brasil S,A, | 80,00% do CDI | vencimento 13/04/2026 | resgate no vencimento | preço unitário R$ 50,000,00 | quantidade mínima 1 | IOF isento | IR sobre rendimento | rating BRAAA pela S&amp;P</t>
  </si>
  <si>
    <t>ABC</t>
  </si>
  <si>
    <t>ICATU VANGUARDA ABSOLUTO II FI RF CP PREV</t>
  </si>
  <si>
    <t>Fundo Prev</t>
  </si>
  <si>
    <t>PicPay 11/04/2026 | Previdência | rentab, 12M 14,52% | 1M 0,24% | ano 3,09% | taxa proxy 100% CDI | prazo proxy 1 dia</t>
  </si>
  <si>
    <t>Icatu Vanguarda</t>
  </si>
  <si>
    <t>J&amp;F Investimentos 1 ano</t>
  </si>
  <si>
    <t>Renda Fixa</t>
  </si>
  <si>
    <t>PicPay 11/04/2026 | CDI + 2,15% a,a, | equivalente a 115,75% do CDI | vencimento 05/05/2027 | tipo/FGC/risco não visíveis no screenshot; classificação conservadora</t>
  </si>
  <si>
    <t>J&amp;F Investimentos</t>
  </si>
  <si>
    <t>J&amp;F Investimentos 2 anos</t>
  </si>
  <si>
    <t>PicPay 11/04/2026 | CDI + 2,50% a,a, | equivalente a 119,16% do CDI | vencimento 05/05/2028 | tipo/FGC/risco não visíveis no screenshot; classificação conservadora</t>
  </si>
  <si>
    <t>J&amp;F Investimentos 3 meses</t>
  </si>
  <si>
    <t>PicPay 11/04/2026 | 15,40% a,a, | equivalente a 104,41% do CDI | vencimento 05/08/2026 | tipo/FGC/risco não visíveis no screenshot; classificação conservadora</t>
  </si>
  <si>
    <t>J&amp;F Investimentos 6 meses</t>
  </si>
  <si>
    <t>PicPay 11/04/2026 | 15,65% a,a, | equivalente a 108,76% do CDI | vencimento 05/11/2026 | tipo/FGC/risco não visíveis no screenshot; classificação conservadora</t>
  </si>
  <si>
    <t>Kapitalo Kappa Fin FIC FIF Multim - Resp, Limitada - Classe Única</t>
  </si>
  <si>
    <t>Taxa adm, 1,48% a,a,; Cota de fechamento; Aplicação D+0; Resgate D+30 + liquidação D+1 útil; IR longo prazo; Risco médio</t>
  </si>
  <si>
    <t>Kapitalo</t>
  </si>
  <si>
    <t>LCA BTG Prefixado 5 anos</t>
  </si>
  <si>
    <t>LCA</t>
  </si>
  <si>
    <t>PicPay 11/04/2026 | 10,84% a,a, | vencimento 10/04/2031 | resgate no vencimento | ativo garantido pelo FGC | aplicação mínima não visível no screenshot</t>
  </si>
  <si>
    <t>LCA Inter 90 dias</t>
  </si>
  <si>
    <t>Liquidez após 90 dias</t>
  </si>
  <si>
    <t>Inter</t>
  </si>
  <si>
    <t>LCA IPCA+ 5,50% 3 anos</t>
  </si>
  <si>
    <t>IPCA</t>
  </si>
  <si>
    <t>Emissor: Genérico FGC | IPCA + 5,50% | prazo 1080 dias | carência 1080 dias | aplicação mínima R$ 1,000,00 | FGC | isento de IR</t>
  </si>
  <si>
    <t>LCA Original Pós-Fixado 2 anos</t>
  </si>
  <si>
    <t>PicPay 11/04/2026 | 93,50% do CDI | vencimento 10/04/2028 | resgate no vencimento | ativo garantido pelo FGC | aplicação mínima não visível no screenshot</t>
  </si>
  <si>
    <t>Original</t>
  </si>
  <si>
    <t>LCA Original Prefixado 1 ano</t>
  </si>
  <si>
    <t>PicPay 11/04/2026 | 12,05% a,a, | vencimento 12/04/2027 | resgate no vencimento | ativo garantido pelo FGC | aplicação mínima não visível no screenshot</t>
  </si>
  <si>
    <t>LCA Original Prefixado 2 anos</t>
  </si>
  <si>
    <t>PicPay 11/04/2026 | 11,86% a,a, | vencimento 10/04/2028 | resgate no vencimento | ativo garantido pelo FGC | aplicação mínima não visível no screenshot</t>
  </si>
  <si>
    <t>LCA Original Prefixado 3 anos</t>
  </si>
  <si>
    <t>PicPay 11/04/2026 | 11,80% a,a, | vencimento 09/04/2029 | resgate no vencimento | ativo garantido pelo FGC | aplicação mínima não visível no screenshot</t>
  </si>
  <si>
    <t>LCI Daycoval Merge</t>
  </si>
  <si>
    <t>LCI</t>
  </si>
  <si>
    <t>Emissor: Daycoval | 92,00% do CDI | prazo 180 dias | carência 180 dias | aplicação mínima R$ 1,000,00 | FGC | isento de IR</t>
  </si>
  <si>
    <t>Daycoval</t>
  </si>
  <si>
    <t>LCI Pós 100% CDI 12m</t>
  </si>
  <si>
    <t>Emissor: Genérico FGC | 100,00% do CDI | prazo 360 dias | carência 360 dias | aplicação mínima R$ 1,000,00 | FGC | isento de IR</t>
  </si>
  <si>
    <t>Genérico FGC</t>
  </si>
  <si>
    <t>Mapfre Confianza FIF RF Referenciado DI CP RL</t>
  </si>
  <si>
    <t>Rentab, bruta 12M 15,36%; 104,21% do CDI; Aplicação D+0; Resgate D+0 + liquidação D+0; Mov, mínima R$ 500; Saldo mínimo R$ 1,000; Outra captura mostrou aplicação mínima de R$ 1; Risco baixo</t>
  </si>
  <si>
    <t>Mapfre</t>
  </si>
  <si>
    <t>Mercado Pago Cofrinho 115% CDI</t>
  </si>
  <si>
    <t>Cofrinhos do Mercado Pago | até 115% do CDI | liquidez diária com resgate a qualquer momento | requer entrada de pelo menos R$ 1,000,00 por mês na conta | teto promocional de R$ 5,000,00; excedente rende 100% do CDI,</t>
  </si>
  <si>
    <t>Mercado Pago</t>
  </si>
  <si>
    <t>Mercado Pago Cofrinho 120% CDI (Meli+)</t>
  </si>
  <si>
    <t>Cofrinhos do Mercado Pago com assinatura Meli+ ativa | até 120% do CDI | liquidez diária com resgate a qualquer momento | teto promocional de R$ 10,000,00; excedente rende 100% do CDI | opção complementar e condicional ao plano Meli+,</t>
  </si>
  <si>
    <t>Riza Lotus Prev XP Seg FIC FIM CP</t>
  </si>
  <si>
    <t>Rentab, desde o início 68,35%; 110,37% do CDI; Classificação Anbima: Multimercado; Início 25/04/2022; PL R$ 1,031,107,633,56; Taxa adm, 0,8%; Sem taxa de performance; Contribuição mínima R$ 100; Risco baixo 3</t>
  </si>
  <si>
    <t>Riza / XP Seg</t>
  </si>
  <si>
    <t>Tesouro Educa+ 2027</t>
  </si>
  <si>
    <t>R$ 37,09</t>
  </si>
  <si>
    <t>Tesouro</t>
  </si>
  <si>
    <t>Tesouro Direto via Sofisa | Tesouro Educa+ 2027 | IPCA + 7,67% a,a, | vencimento 15/12/2031 | valor unitário R$ 3,709,89 | aplicação mínima R$ 37,09 | liquidez diária no ambiente Tesouro Direto</t>
  </si>
  <si>
    <t>Tesouro estrutural / MTM</t>
  </si>
  <si>
    <t>Tesouro Educa+ 2028</t>
  </si>
  <si>
    <t>R$ 34,52</t>
  </si>
  <si>
    <t>Tesouro Direto via Sofisa | Tesouro Educa+ 2028 | IPCA + 7,63% a,a, | vencimento 15/12/2032 | valor unitário R$ 3,452,25 | aplicação mínima R$ 34,52 | liquidez diária no ambiente Tesouro Direto</t>
  </si>
  <si>
    <t>Tesouro Educa+ 2029</t>
  </si>
  <si>
    <t>R$ 32,13</t>
  </si>
  <si>
    <t>Tesouro Direto via Sofisa | Tesouro Educa+ 2029 | IPCA + 7,60% a,a, | vencimento 15/12/2033 | valor unitário R$ 3,213,44 | aplicação mínima R$ 32,13 | liquidez diária no ambiente Tesouro Direto</t>
  </si>
  <si>
    <t>Tesouro Educa+ 2030</t>
  </si>
  <si>
    <t>R$ 29,93</t>
  </si>
  <si>
    <t>Tesouro Direto via Sofisa | Tesouro Educa+ 2030 | IPCA + 7,56% a,a, | vencimento 15/12/2034 | valor unitário R$ 2,993,94 | aplicação mínima R$ 29,93 | liquidez diária no ambiente Tesouro Direto</t>
  </si>
  <si>
    <t>Tesouro Educa+ 2031</t>
  </si>
  <si>
    <t>R$ 27,95</t>
  </si>
  <si>
    <t>Tesouro Direto via Sofisa | Tesouro Educa+ 2031 | IPCA + 7,50% a,a, | vencimento 15/12/2035 | valor unitário R$ 2,795,28 | aplicação mínima R$ 27,95 | liquidez diária no ambiente Tesouro Direto</t>
  </si>
  <si>
    <t>Tesouro Educa+ 2032</t>
  </si>
  <si>
    <t>R$ 26,12</t>
  </si>
  <si>
    <t>Tesouro Direto via Sofisa | Tesouro Educa+ 2032 | IPCA + 7,44% a,a, | vencimento 15/12/2036 | valor unitário R$ 2,612,91 | aplicação mínima R$ 26,12 | liquidez diária no ambiente Tesouro Direto</t>
  </si>
  <si>
    <t>Tesouro Educa+ 2033</t>
  </si>
  <si>
    <t>R$ 24,45</t>
  </si>
  <si>
    <t>Tesouro Direto via Sofisa | Tesouro Educa+ 2033 | IPCA + 7,38% a,a, | vencimento 15/12/2037 | valor unitário R$ 2,445,33 | aplicação mínima R$ 24,45 | liquidez diária no ambiente Tesouro Direto</t>
  </si>
  <si>
    <t>Tesouro Educa+ 2034</t>
  </si>
  <si>
    <t>R$ 22,93</t>
  </si>
  <si>
    <t>Tesouro Direto via Sofisa | Tesouro Educa+ 2034 | IPCA + 7,31% a,a, | vencimento 15/12/2038 | valor unitário R$ 2,293,59 | aplicação mínima R$ 22,93 | liquidez diária no ambiente Tesouro Direto</t>
  </si>
  <si>
    <t>Tesouro IPCA+ 2032</t>
  </si>
  <si>
    <t>R$ 29,48</t>
  </si>
  <si>
    <t>Tesouro Direto via Sofisa | Tesouro IPCA+ 2032 | IPCA + 7,57% a,a, | vencimento 15/08/2032 | valor unitário R$ 2,948,10 | aplicação mínima R$ 29,48 | liquidez diária no ambiente Tesouro Direto</t>
  </si>
  <si>
    <t>Tesouro IPCA+ 2035</t>
  </si>
  <si>
    <t>R$ 30,00</t>
  </si>
  <si>
    <t>Emissor: Tesouro | IPCA + 5,80% | prazo 3285 dias | carência 0 dias | aplicação mínima R$ 30,00</t>
  </si>
  <si>
    <t>Tesouro IPCA+ com Juros Semestrais 2037</t>
  </si>
  <si>
    <t>R$ 43,42</t>
  </si>
  <si>
    <t>Tesouro Direto via Sofisa | Tesouro IPCA+ com Juros Semestrais 2037 | IPCA + 7,34% a,a, | vencimento 15/05/2037 | valor unitário R$ 4,342,17 | aplicação mínima R$ 43,42 | liquidez diária no ambiente Tesouro Direto</t>
  </si>
  <si>
    <t>Tesouro Prefixado 2029</t>
  </si>
  <si>
    <t>R$ 7,12</t>
  </si>
  <si>
    <t>Tesouro Direto via Sofisa | Tesouro Prefixado 2029 | 13,39% a,a, | vencimento 01/01/2029 | valor unitário R$ 712,41 | aplicação mínima R$ 7,12 | liquidez diária no ambiente Tesouro Direto</t>
  </si>
  <si>
    <t>Tesouro Selic 2029</t>
  </si>
  <si>
    <t>Emissor: Tesouro | 1,00% da Selic | prazo 1095 dias | carência 0 dias | aplicação mínima R$ 30,00</t>
  </si>
  <si>
    <t>Reserva tática em Selic</t>
  </si>
  <si>
    <t>Tesouro Selic 2031</t>
  </si>
  <si>
    <t>R$ 187,06</t>
  </si>
  <si>
    <t>Tesouro Direto via Sofisa | Tesouro Selic 2031 | Selic + 0,09% a,a, | vencimento 01/03/2031 | valor unitário R$ 18,706,17 | aplicação mínima R$ 187,06 | liquidez diária no ambiente Tesouro Direto</t>
  </si>
  <si>
    <t>Trend Bolsas Globais FIA RL</t>
  </si>
  <si>
    <t>Rentab, bruta 12M 39,46%; Comparativo 267,89% do CDI; Aplicação D+1; Resgate D+4 corridos + liquidação D+2 úteis; Mov, mínima e saldo mínimo R$ 100; Horário 15h; Risco médio 14</t>
  </si>
  <si>
    <t>Trend</t>
  </si>
  <si>
    <t>Trend Commodities FIM RL</t>
  </si>
  <si>
    <t>Rentab, bruta 12M 49,85%; Comparativo 338,42% do CDI; Aplicação D+1; Resgate D+4 corridos + liquidação D+2 úteis; Mov, mínima e saldo mínimo R$ 100; Horário 15h; Risco médio 19</t>
  </si>
  <si>
    <t>Trend DI FIC RF Simples RL</t>
  </si>
  <si>
    <t>Rentab, bruta 12M 14,81%; 100,47% do CDI; Aplicação D+0; Resgate D+0 + liquidação D+0; Mov, mínima e saldo mínimo R$ 100; Risco 1/baixo</t>
  </si>
  <si>
    <t>Trend Ouro FIF Multi RL</t>
  </si>
  <si>
    <t>Rentab, bruta 12M 65,09%; Comparativo 441,89% do CDI; Aplicação D+0; Resgate D+4 corridos + liquidação D+2 úteis; Mov, mínima e saldo mínimo R$ 100; Horário 15h; Risco médio 14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</si>
</sst>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m/d/yyyy"/>
    <numFmt numFmtId="165" formatCode="0.000"/>
    <numFmt numFmtId="166" formatCode="dd/mm"/>
    <numFmt numFmtId="167" formatCode="&quot;R$ &quot;#,##0.00;[Red]&quot;-R$ &quot;#,##0.00"/>
  </numFmts>
  <fonts count="17">
    <font>
      <sz val="11.0"/>
      <color theme="1"/>
      <name val="Calibri"/>
      <scheme val="minor"/>
    </font>
    <font>
      <sz val="11.0"/>
      <color rgb="FF1F1F1F"/>
      <name val="Calibri"/>
    </font>
    <font>
      <b/>
      <sz val="11.0"/>
      <color rgb="FF1F1F1F"/>
      <name val="Calibri"/>
    </font>
    <font>
      <sz val="11.0"/>
      <color rgb="FF1F1F1F"/>
      <name val="Arial"/>
    </font>
    <font>
      <color theme="1"/>
      <name val="Calibri"/>
      <scheme val="minor"/>
    </font>
    <font>
      <sz val="11.0"/>
      <color theme="1"/>
      <name val="Calibri"/>
    </font>
    <font>
      <sz val="11.0"/>
      <color rgb="FF444746"/>
      <name val="Calibri"/>
    </font>
    <font>
      <sz val="11.0"/>
      <color rgb="FF444746"/>
      <name val="Arial"/>
    </font>
    <font>
      <sz val="11.0"/>
      <color rgb="FF000000"/>
      <name val="Calibri"/>
    </font>
    <font>
      <sz val="11.0"/>
      <color theme="1"/>
      <name val="Arial"/>
    </font>
    <font>
      <b/>
      <sz val="16.0"/>
      <color rgb="FFFFFFFF"/>
      <name val="Cambria"/>
    </font>
    <font/>
    <font>
      <b/>
      <sz val="13.0"/>
      <color rgb="FFFFFFFF"/>
      <name val="Cambria"/>
    </font>
    <font>
      <b/>
      <sz val="11.0"/>
      <color theme="1"/>
      <name val="Cambria"/>
    </font>
    <font>
      <i/>
      <sz val="10.0"/>
      <color rgb="FF666666"/>
      <name val="Calibri"/>
    </font>
    <font>
      <b/>
      <sz val="11.0"/>
      <color rgb="FFFFFFFF"/>
      <name val="Calibri"/>
    </font>
    <font>
      <b/>
      <sz val="11.0"/>
      <color rgb="FFFFFFFF"/>
      <name val="Cambria"/>
    </font>
  </fonts>
  <fills count="15">
    <fill>
      <patternFill patternType="none"/>
    </fill>
    <fill>
      <patternFill patternType="lightGray"/>
    </fill>
    <fill>
      <patternFill patternType="solid">
        <fgColor rgb="FF4F81BD"/>
        <bgColor rgb="FF4F81BD"/>
      </patternFill>
    </fill>
    <fill>
      <patternFill patternType="solid">
        <fgColor rgb="FFEEF3F8"/>
        <bgColor rgb="FFEEF3F8"/>
      </patternFill>
    </fill>
    <fill>
      <patternFill patternType="solid">
        <fgColor rgb="FFD9EAD3"/>
        <bgColor rgb="FFD9EAD3"/>
      </patternFill>
    </fill>
    <fill>
      <patternFill patternType="solid">
        <fgColor rgb="FFFAFAFA"/>
        <bgColor rgb="FFFAFAFA"/>
      </patternFill>
    </fill>
    <fill>
      <patternFill patternType="solid">
        <fgColor rgb="FF1F4E78"/>
        <bgColor rgb="FF1F4E78"/>
      </patternFill>
    </fill>
    <fill>
      <patternFill patternType="solid">
        <fgColor rgb="FFF2F2F2"/>
        <bgColor rgb="FFF2F2F2"/>
      </patternFill>
    </fill>
    <fill>
      <patternFill patternType="solid">
        <fgColor rgb="FFFFEB9C"/>
        <bgColor rgb="FFFFEB9C"/>
      </patternFill>
    </fill>
    <fill>
      <patternFill patternType="solid">
        <fgColor rgb="FFD9EAF7"/>
        <bgColor rgb="FFD9EAF7"/>
      </patternFill>
    </fill>
    <fill>
      <patternFill patternType="solid">
        <fgColor rgb="FFEAF4EA"/>
        <bgColor rgb="FFEAF4EA"/>
      </patternFill>
    </fill>
    <fill>
      <patternFill patternType="solid">
        <fgColor rgb="FFF4B084"/>
        <bgColor rgb="FFF4B084"/>
      </patternFill>
    </fill>
    <fill>
      <patternFill patternType="solid">
        <fgColor rgb="FFE2F0D9"/>
        <bgColor rgb="FFE2F0D9"/>
      </patternFill>
    </fill>
    <fill>
      <patternFill patternType="solid">
        <fgColor rgb="FFC6EFCE"/>
        <bgColor rgb="FFC6EFCE"/>
      </patternFill>
    </fill>
    <fill>
      <patternFill patternType="solid">
        <fgColor rgb="FFFFF2CC"/>
        <bgColor rgb="FFFFF2CC"/>
      </patternFill>
    </fill>
  </fills>
  <borders count="7">
    <border/>
    <border>
      <left/>
      <top/>
      <bottom/>
    </border>
    <border>
      <top/>
      <bottom/>
    </border>
    <border>
      <right/>
      <top/>
      <bottom/>
    </border>
    <border>
      <left/>
      <right/>
      <top/>
      <bottom/>
    </border>
    <border>
      <left/>
      <right/>
      <top/>
      <bottom style="thin">
        <color rgb="FFD9D9D9"/>
      </bottom>
    </border>
    <border>
      <bottom style="thin">
        <color rgb="FFD9D9D9"/>
      </bottom>
    </border>
  </borders>
  <cellStyleXfs count="1">
    <xf borderId="0" fillId="0" fontId="0" numFmtId="0" applyAlignment="1" applyFont="1"/>
  </cellStyleXfs>
  <cellXfs count="83">
    <xf borderId="0" fillId="0" fontId="0" numFmtId="0" xfId="0" applyAlignment="1" applyFont="1">
      <alignment readingOrder="0" shrinkToFit="0" vertical="bottom" wrapText="0"/>
    </xf>
    <xf borderId="0" fillId="0" fontId="1" numFmtId="164" xfId="0" applyFont="1" applyNumberFormat="1"/>
    <xf borderId="0" fillId="0" fontId="1" numFmtId="0" xfId="0" applyFont="1"/>
    <xf borderId="0" fillId="0" fontId="1" numFmtId="2" xfId="0" applyFont="1" applyNumberFormat="1"/>
    <xf borderId="0" fillId="0" fontId="2" numFmtId="0" xfId="0" applyFont="1"/>
    <xf borderId="0" fillId="0" fontId="3" numFmtId="0" xfId="0" applyFont="1"/>
    <xf borderId="0" fillId="0" fontId="3" numFmtId="2" xfId="0" applyFont="1" applyNumberFormat="1"/>
    <xf borderId="0" fillId="0" fontId="3" numFmtId="165" xfId="0" applyFont="1" applyNumberFormat="1"/>
    <xf borderId="0" fillId="0" fontId="4" numFmtId="0" xfId="0" applyFont="1"/>
    <xf borderId="0" fillId="0" fontId="5" numFmtId="2" xfId="0" applyFont="1" applyNumberFormat="1"/>
    <xf borderId="0" fillId="0" fontId="6" numFmtId="0" xfId="0" applyFont="1"/>
    <xf borderId="0" fillId="0" fontId="7" numFmtId="164" xfId="0" applyFont="1" applyNumberFormat="1"/>
    <xf borderId="0" fillId="0" fontId="7" numFmtId="2" xfId="0" applyFont="1" applyNumberFormat="1"/>
    <xf borderId="0" fillId="0" fontId="7" numFmtId="4" xfId="0" applyFont="1" applyNumberFormat="1"/>
    <xf borderId="0" fillId="0" fontId="7" numFmtId="0" xfId="0" applyFont="1"/>
    <xf borderId="0" fillId="0" fontId="5" numFmtId="4" xfId="0" applyAlignment="1" applyFont="1" applyNumberFormat="1">
      <alignment horizontal="right"/>
    </xf>
    <xf borderId="0" fillId="0" fontId="5" numFmtId="2" xfId="0" applyAlignment="1" applyFont="1" applyNumberFormat="1">
      <alignment horizontal="right"/>
    </xf>
    <xf borderId="0" fillId="0" fontId="7" numFmtId="166" xfId="0" applyFont="1" applyNumberFormat="1"/>
    <xf borderId="0" fillId="0" fontId="1" numFmtId="2" xfId="0" applyAlignment="1" applyFont="1" applyNumberFormat="1">
      <alignment readingOrder="0"/>
    </xf>
    <xf borderId="0" fillId="0" fontId="5" numFmtId="2" xfId="0" applyAlignment="1" applyFont="1" applyNumberFormat="1">
      <alignment readingOrder="0"/>
    </xf>
    <xf borderId="0" fillId="0" fontId="8" numFmtId="2" xfId="0" applyAlignment="1" applyFont="1" applyNumberFormat="1">
      <alignment horizontal="right"/>
    </xf>
    <xf borderId="0" fillId="0" fontId="7" numFmtId="165" xfId="0" applyFont="1" applyNumberFormat="1"/>
    <xf borderId="0" fillId="0" fontId="5" numFmtId="2" xfId="0" applyAlignment="1" applyFont="1" applyNumberFormat="1">
      <alignment horizontal="right" shrinkToFit="0" wrapText="1"/>
    </xf>
    <xf borderId="0" fillId="0" fontId="5" numFmtId="164" xfId="0" applyFont="1" applyNumberFormat="1"/>
    <xf borderId="0" fillId="0" fontId="4" numFmtId="0" xfId="0" applyAlignment="1" applyFont="1">
      <alignment readingOrder="0"/>
    </xf>
    <xf borderId="0" fillId="0" fontId="5" numFmtId="164" xfId="0" applyAlignment="1" applyFont="1" applyNumberFormat="1">
      <alignment readingOrder="0"/>
    </xf>
    <xf borderId="0" fillId="0" fontId="7" numFmtId="164" xfId="0" applyAlignment="1" applyFont="1" applyNumberFormat="1">
      <alignment horizontal="right"/>
    </xf>
    <xf borderId="0" fillId="0" fontId="1" numFmtId="0" xfId="0" applyAlignment="1" applyFont="1">
      <alignment readingOrder="0"/>
    </xf>
    <xf borderId="0" fillId="0" fontId="5" numFmtId="165" xfId="0" applyFont="1" applyNumberFormat="1"/>
    <xf borderId="0" fillId="0" fontId="9" numFmtId="164" xfId="0" applyFont="1" applyNumberFormat="1"/>
    <xf borderId="0" fillId="0" fontId="9" numFmtId="2" xfId="0" applyFont="1" applyNumberFormat="1"/>
    <xf borderId="0" fillId="0" fontId="1" numFmtId="0" xfId="0" applyAlignment="1" applyFont="1">
      <alignment horizontal="center"/>
    </xf>
    <xf borderId="0" fillId="0" fontId="1" numFmtId="0" xfId="0" applyAlignment="1" applyFont="1">
      <alignment horizontal="center" readingOrder="0"/>
    </xf>
    <xf borderId="0" fillId="0" fontId="1" numFmtId="164" xfId="0" applyAlignment="1" applyFont="1" applyNumberFormat="1">
      <alignment horizontal="center"/>
    </xf>
    <xf borderId="0" fillId="0" fontId="1" numFmtId="2" xfId="0" applyAlignment="1" applyFont="1" applyNumberFormat="1">
      <alignment horizontal="center"/>
    </xf>
    <xf borderId="0" fillId="0" fontId="5" numFmtId="164" xfId="0" applyAlignment="1" applyFont="1" applyNumberFormat="1">
      <alignment horizontal="right" shrinkToFit="0" wrapText="1"/>
    </xf>
    <xf borderId="0" fillId="0" fontId="5" numFmtId="0" xfId="0" applyAlignment="1" applyFont="1">
      <alignment horizontal="center"/>
    </xf>
    <xf borderId="0" fillId="0" fontId="5" numFmtId="2" xfId="0" applyAlignment="1" applyFont="1" applyNumberFormat="1">
      <alignment horizontal="center" shrinkToFit="0" wrapText="1"/>
    </xf>
    <xf borderId="0" fillId="0" fontId="5" numFmtId="2" xfId="0" applyAlignment="1" applyFont="1" applyNumberFormat="1">
      <alignment horizontal="center"/>
    </xf>
    <xf borderId="0" fillId="0" fontId="5" numFmtId="2" xfId="0" applyAlignment="1" applyFont="1" applyNumberFormat="1">
      <alignment horizontal="right" readingOrder="0" shrinkToFit="0" wrapText="1"/>
    </xf>
    <xf borderId="0" fillId="0" fontId="5" numFmtId="2" xfId="0" applyAlignment="1" applyFont="1" applyNumberFormat="1">
      <alignment horizontal="center" readingOrder="0"/>
    </xf>
    <xf borderId="0" fillId="0" fontId="5" numFmtId="164" xfId="0" applyAlignment="1" applyFont="1" applyNumberFormat="1">
      <alignment horizontal="right" readingOrder="0" shrinkToFit="0" wrapText="1"/>
    </xf>
    <xf borderId="0" fillId="0" fontId="8" numFmtId="0" xfId="0" applyAlignment="1" applyFont="1">
      <alignment readingOrder="0" shrinkToFit="0" vertical="bottom" wrapText="0"/>
    </xf>
    <xf borderId="1" fillId="2" fontId="10" numFmtId="0" xfId="0" applyAlignment="1" applyBorder="1" applyFill="1" applyFont="1">
      <alignment horizontal="center" shrinkToFit="0" wrapText="0"/>
    </xf>
    <xf borderId="2" fillId="0" fontId="11" numFmtId="0" xfId="0" applyBorder="1" applyFont="1"/>
    <xf borderId="3" fillId="0" fontId="11" numFmtId="0" xfId="0" applyBorder="1" applyFont="1"/>
    <xf borderId="4" fillId="2" fontId="10" numFmtId="0" xfId="0" applyAlignment="1" applyBorder="1" applyFont="1">
      <alignment horizontal="center"/>
    </xf>
    <xf borderId="4" fillId="2" fontId="12" numFmtId="0" xfId="0" applyAlignment="1" applyBorder="1" applyFont="1">
      <alignment horizontal="center"/>
    </xf>
    <xf borderId="0" fillId="0" fontId="4" numFmtId="14" xfId="0" applyFont="1" applyNumberFormat="1"/>
    <xf borderId="5" fillId="3" fontId="13" numFmtId="0" xfId="0" applyAlignment="1" applyBorder="1" applyFill="1" applyFont="1">
      <alignment horizontal="center"/>
    </xf>
    <xf borderId="5" fillId="4" fontId="13" numFmtId="0" xfId="0" applyBorder="1" applyFill="1" applyFont="1"/>
    <xf borderId="6" fillId="0" fontId="13" numFmtId="167" xfId="0" applyBorder="1" applyFont="1" applyNumberFormat="1"/>
    <xf borderId="0" fillId="0" fontId="5" numFmtId="17" xfId="0" applyFont="1" applyNumberFormat="1"/>
    <xf borderId="0" fillId="0" fontId="5" numFmtId="167" xfId="0" applyAlignment="1" applyFont="1" applyNumberFormat="1">
      <alignment horizontal="right"/>
    </xf>
    <xf borderId="0" fillId="0" fontId="5" numFmtId="1" xfId="0" applyAlignment="1" applyFont="1" applyNumberFormat="1">
      <alignment horizontal="right"/>
    </xf>
    <xf borderId="4" fillId="5" fontId="5" numFmtId="17" xfId="0" applyBorder="1" applyFill="1" applyFont="1" applyNumberFormat="1"/>
    <xf borderId="4" fillId="5" fontId="5" numFmtId="167" xfId="0" applyAlignment="1" applyBorder="1" applyFont="1" applyNumberFormat="1">
      <alignment horizontal="right"/>
    </xf>
    <xf borderId="4" fillId="5" fontId="5" numFmtId="1" xfId="0" applyAlignment="1" applyBorder="1" applyFont="1" applyNumberFormat="1">
      <alignment horizontal="right"/>
    </xf>
    <xf borderId="6" fillId="0" fontId="13" numFmtId="49" xfId="0" applyAlignment="1" applyBorder="1" applyFont="1" applyNumberFormat="1">
      <alignment horizontal="left"/>
    </xf>
    <xf borderId="0" fillId="0" fontId="14" numFmtId="0" xfId="0" applyAlignment="1" applyFont="1">
      <alignment horizontal="left"/>
    </xf>
    <xf borderId="0" fillId="6" fontId="15" numFmtId="0" xfId="0" applyAlignment="1" applyFill="1" applyFont="1">
      <alignment horizontal="center" readingOrder="0" shrinkToFit="0" vertical="bottom" wrapText="0"/>
    </xf>
    <xf borderId="0" fillId="6" fontId="15" numFmtId="0" xfId="0" applyAlignment="1" applyFont="1">
      <alignment horizontal="center" readingOrder="0"/>
    </xf>
    <xf borderId="0" fillId="6" fontId="16" numFmtId="0" xfId="0" applyAlignment="1" applyFont="1">
      <alignment horizontal="center" readingOrder="0"/>
    </xf>
    <xf borderId="0" fillId="0" fontId="8" numFmtId="0" xfId="0" applyAlignment="1" applyFont="1">
      <alignment horizontal="right" readingOrder="0" shrinkToFit="0" vertical="bottom" wrapText="0"/>
    </xf>
    <xf borderId="0" fillId="7" fontId="8" numFmtId="0" xfId="0" applyAlignment="1" applyFill="1" applyFont="1">
      <alignment horizontal="left" shrinkToFit="0" vertical="bottom" wrapText="0"/>
    </xf>
    <xf borderId="0" fillId="0" fontId="8" numFmtId="0" xfId="0" applyAlignment="1" applyFont="1">
      <alignment shrinkToFit="0" vertical="bottom" wrapText="0"/>
    </xf>
    <xf borderId="0" fillId="7" fontId="8" numFmtId="0" xfId="0" applyAlignment="1" applyFont="1">
      <alignment horizontal="left" readingOrder="0" shrinkToFit="0" vertical="bottom" wrapText="0"/>
    </xf>
    <xf borderId="0" fillId="8" fontId="8" numFmtId="0" xfId="0" applyAlignment="1" applyFill="1" applyFont="1">
      <alignment horizontal="left" readingOrder="0" shrinkToFit="0" vertical="bottom" wrapText="0"/>
    </xf>
    <xf borderId="0" fillId="0" fontId="8" numFmtId="0" xfId="0" applyAlignment="1" applyFont="1">
      <alignment horizontal="left" readingOrder="0" shrinkToFit="0" wrapText="0"/>
    </xf>
    <xf borderId="0" fillId="0" fontId="8" numFmtId="0" xfId="0" applyAlignment="1" applyFont="1">
      <alignment horizontal="right" readingOrder="0" shrinkToFit="0" wrapText="0"/>
    </xf>
    <xf borderId="0" fillId="9" fontId="8" numFmtId="0" xfId="0" applyAlignment="1" applyFill="1" applyFont="1">
      <alignment horizontal="right" readingOrder="0" shrinkToFit="0" wrapText="0"/>
    </xf>
    <xf borderId="0" fillId="10" fontId="8" numFmtId="0" xfId="0" applyAlignment="1" applyFill="1" applyFont="1">
      <alignment horizontal="right" readingOrder="0" shrinkToFit="0" wrapText="0"/>
    </xf>
    <xf borderId="0" fillId="11" fontId="8" numFmtId="0" xfId="0" applyAlignment="1" applyFill="1" applyFont="1">
      <alignment horizontal="left" readingOrder="0" shrinkToFit="0" vertical="bottom" wrapText="0"/>
    </xf>
    <xf borderId="0" fillId="10" fontId="8" numFmtId="0" xfId="0" applyAlignment="1" applyFont="1">
      <alignment horizontal="right" shrinkToFit="0" wrapText="0"/>
    </xf>
    <xf borderId="0" fillId="9" fontId="8" numFmtId="0" xfId="0" applyAlignment="1" applyFont="1">
      <alignment horizontal="right" shrinkToFit="0" wrapText="0"/>
    </xf>
    <xf borderId="0" fillId="12" fontId="8" numFmtId="0" xfId="0" applyAlignment="1" applyFill="1" applyFont="1">
      <alignment horizontal="left" readingOrder="0" shrinkToFit="0" vertical="bottom" wrapText="0"/>
    </xf>
    <xf borderId="0" fillId="12" fontId="8" numFmtId="0" xfId="0" applyAlignment="1" applyFont="1">
      <alignment horizontal="left" shrinkToFit="0" vertical="bottom" wrapText="0"/>
    </xf>
    <xf borderId="0" fillId="13" fontId="8" numFmtId="0" xfId="0" applyAlignment="1" applyFill="1" applyFont="1">
      <alignment horizontal="left" readingOrder="0" shrinkToFit="0" vertical="bottom" wrapText="0"/>
    </xf>
    <xf borderId="0" fillId="14" fontId="8" numFmtId="0" xfId="0" applyAlignment="1" applyFill="1" applyFont="1">
      <alignment horizontal="left" readingOrder="0" shrinkToFit="0" vertical="bottom" wrapText="0"/>
    </xf>
    <xf borderId="0" fillId="14" fontId="8" numFmtId="0" xfId="0" applyAlignment="1" applyFont="1">
      <alignment horizontal="left" shrinkToFit="0" vertical="bottom" wrapText="0"/>
    </xf>
    <xf borderId="0" fillId="4" fontId="8" numFmtId="0" xfId="0" applyAlignment="1" applyFont="1">
      <alignment horizontal="left" readingOrder="0" shrinkToFit="0" vertical="bottom" wrapText="0"/>
    </xf>
    <xf borderId="0" fillId="4" fontId="8" numFmtId="0" xfId="0" applyAlignment="1" applyFont="1">
      <alignment horizontal="left" shrinkToFit="0" vertical="bottom" wrapText="0"/>
    </xf>
    <xf borderId="0" fillId="0" fontId="4" numFmtId="4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pivotCacheDefinition" Target="pivotCache/pivotCacheDefinition1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 i="0" sz="1400">
                <a:solidFill>
                  <a:srgbClr val="757575"/>
                </a:solidFill>
                <a:latin typeface="Calibri"/>
              </a:defRPr>
            </a:pPr>
            <a:r>
              <a:rPr b="0" i="0" sz="1400">
                <a:solidFill>
                  <a:srgbClr val="757575"/>
                </a:solidFill>
                <a:latin typeface="Calibri"/>
              </a:rPr>
              <a:t>Gastos x Recebidos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v>Gastos totais</c:v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cat>
            <c:strRef>
              <c:f>'Resumo Mensal'!$A$4:$A$17</c:f>
            </c:strRef>
          </c:cat>
          <c:val>
            <c:numRef>
              <c:f>'Resumo Mensal'!$B$4:$B$17</c:f>
              <c:numCache/>
            </c:numRef>
          </c:val>
        </c:ser>
        <c:ser>
          <c:idx val="1"/>
          <c:order val="1"/>
          <c:tx>
            <c:v>Recebidos totais</c:v>
          </c:tx>
          <c:spPr>
            <a:solidFill>
              <a:schemeClr val="accent2"/>
            </a:solidFill>
            <a:ln cmpd="sng">
              <a:solidFill>
                <a:srgbClr val="000000"/>
              </a:solidFill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cat>
            <c:strRef>
              <c:f>'Resumo Mensal'!$A$4:$A$17</c:f>
            </c:strRef>
          </c:cat>
          <c:val>
            <c:numRef>
              <c:f>'Resumo Mensal'!$C$4:$C$17</c:f>
              <c:numCache/>
            </c:numRef>
          </c:val>
        </c:ser>
        <c:axId val="680183844"/>
        <c:axId val="1744807699"/>
      </c:barChart>
      <c:catAx>
        <c:axId val="68018384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spPr/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Calibri"/>
              </a:defRPr>
            </a:pPr>
          </a:p>
        </c:txPr>
        <c:crossAx val="1744807699"/>
      </c:catAx>
      <c:valAx>
        <c:axId val="174480769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[$R$ -416]#,##0" sourceLinked="0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Calibri"/>
              </a:defRPr>
            </a:pPr>
          </a:p>
        </c:txPr>
        <c:crossAx val="680183844"/>
      </c:valAx>
    </c:plotArea>
    <c:legend>
      <c:legendPos val="b"/>
      <c:overlay val="0"/>
      <c:txPr>
        <a:bodyPr/>
        <a:lstStyle/>
        <a:p>
          <a:pPr lvl="0">
            <a:defRPr b="0" i="0" sz="900">
              <a:solidFill>
                <a:srgbClr val="1A1A1A"/>
              </a:solidFill>
              <a:latin typeface="Calibri"/>
            </a:defRPr>
          </a:pPr>
        </a:p>
      </c:txPr>
    </c:legend>
    <c:plotVisOnly val="1"/>
  </c:chart>
</c:chartSpace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image" Target="../media/Chart2.png"/><Relationship Id="rId3" Type="http://schemas.openxmlformats.org/officeDocument/2006/relationships/image" Target="../media/Chart3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57150</xdr:colOff>
      <xdr:row>18</xdr:row>
      <xdr:rowOff>85725</xdr:rowOff>
    </xdr:from>
    <xdr:ext cx="4676775" cy="2771775"/>
    <xdr:graphicFrame>
      <xdr:nvGraphicFramePr>
        <xdr:cNvPr id="1576544744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4</xdr:col>
      <xdr:colOff>533400</xdr:colOff>
      <xdr:row>18</xdr:row>
      <xdr:rowOff>104775</xdr:rowOff>
    </xdr:from>
    <xdr:ext cx="4381500" cy="2743200"/>
    <xdr:pic>
      <xdr:nvPicPr>
        <xdr:cNvPr id="907597653" name="Chart2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9</xdr:col>
      <xdr:colOff>647700</xdr:colOff>
      <xdr:row>18</xdr:row>
      <xdr:rowOff>95250</xdr:rowOff>
    </xdr:from>
    <xdr:ext cx="4638675" cy="2743200"/>
    <xdr:pic>
      <xdr:nvPicPr>
        <xdr:cNvPr id="508762348" name="Chart3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C1:E1004" sheet="Todos os Gastos"/>
  </cacheSource>
  <cacheFields>
    <cacheField name="Valor" numFmtId="2">
      <sharedItems containsString="0" containsBlank="1" containsNumber="1">
        <n v="64.89"/>
        <n v="520.0"/>
        <n v="60.0"/>
        <n v="58.0"/>
        <n v="138.69"/>
        <n v="40.0"/>
        <n v="81.8"/>
        <n v="6014.06"/>
        <n v="981.95"/>
        <n v="1407.63"/>
        <n v="131.4"/>
        <n v="460.0"/>
        <n v="1368.12"/>
        <n v="2063.23"/>
        <n v="36.02"/>
        <n v="70.0"/>
        <n v="65.0"/>
        <n v="981.22"/>
        <n v="2472.89"/>
        <n v="123.44"/>
        <n v="74.18"/>
        <n v="1771.95"/>
        <n v="57.89"/>
        <n v="1336.73"/>
        <n v="86.15"/>
        <n v="50.0"/>
        <n v="473.73"/>
        <n v="95.12"/>
        <n v="2831.4"/>
        <n v="508.07"/>
        <n v="660.99"/>
        <n v="807.2"/>
        <n v="132.4"/>
        <n v="4540.55"/>
        <n v="434.75"/>
        <n v="151.71"/>
        <n v="206.8"/>
        <n v="45.0"/>
        <n v="18.75"/>
        <n v="2894.0"/>
        <n v="35.0"/>
        <n v="87.84"/>
        <n v="450.0"/>
        <n v="75.0"/>
        <n v="182.8"/>
        <n v="65.6"/>
        <n v="150.0"/>
        <n v="5310.25"/>
        <n v="170.0"/>
        <n v="900.0"/>
        <n v="52.0"/>
        <n v="120.0"/>
        <n v="950.0"/>
        <n v="136.15"/>
        <n v="800.0"/>
        <n v="6350.01"/>
        <n v="98.98"/>
        <n v="113.31"/>
        <n v="530.0"/>
        <n v="1500.0"/>
        <n v="195.0"/>
        <n v="95.05"/>
        <n v="7200.0"/>
        <n v="580.0"/>
        <n v="930.0"/>
        <n v="6800.0"/>
        <n v="5800.0"/>
        <n v="2000.0"/>
        <n v="90.0"/>
        <n v="6850.0"/>
        <n v="1800.0"/>
        <n v="119.8"/>
        <n v="6000.0"/>
        <n v="2200.0"/>
        <n v="5750.0"/>
        <n v="1880.0"/>
        <n v="2900.0"/>
        <n v="6250.0"/>
        <n v="281.1"/>
        <n v="105.37"/>
        <n v="983.13"/>
        <n v="135.89"/>
        <n v="7796.0"/>
        <n v="102.36"/>
        <n v="195.05"/>
        <n v="1407.65"/>
        <n v="6004.07"/>
        <n v="141.8"/>
        <n v="7494.55"/>
        <n v="35.62"/>
        <m/>
      </sharedItems>
    </cacheField>
    <cacheField name="Pago" numFmtId="0">
      <sharedItems containsBlank="1">
        <s v="OK"/>
        <m/>
      </sharedItems>
    </cacheField>
    <cacheField name="Lote usado" numFmtId="0">
      <sharedItems containsBlank="1">
        <s v="Lote 1000 mar."/>
        <s v="Lote 10342 fev."/>
        <s v="Lote 2063,11 fev."/>
        <s v="Lote 35 abr."/>
        <s v="Lote 3600 abr."/>
        <s v="Lote 4000 fev."/>
        <s v="Lote 4124,75 fev."/>
        <s v="Lote 5400 fev."/>
        <s v="Lote 5680 abr."/>
        <s v="Lote 6630,64 fev."/>
        <s v="Lote 7800 abr."/>
        <s v="Lote 900 mar.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odos os Gastos" cacheId="0" dataCaption="" compact="0" compactData="0">
  <location ref="G1:H14" firstHeaderRow="0" firstDataRow="1" firstDataCol="0"/>
  <pivotFields>
    <pivotField name="Valor" dataField="1" compact="0" numFmtId="2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Pago" compact="0" outline="0" multipleItemSelectionAllowed="1" showAll="0">
      <items>
        <item x="0"/>
        <item x="1"/>
        <item t="default"/>
      </items>
    </pivotField>
    <pivotField name="Lote usado" axis="axisRow" compact="0" outline="0" multipleItemSelectionAllowed="1" showAll="0" sortType="ascending">
      <items>
        <item h="1" x="12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</pivotFields>
  <rowFields>
    <field x="2"/>
  </rowFields>
  <dataFields>
    <dataField name="SUM of Valor" fld="0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5.57"/>
    <col customWidth="1" min="2" max="2" width="18.86"/>
    <col customWidth="1" min="3" max="3" width="10.71"/>
    <col customWidth="1" min="4" max="4" width="8.29"/>
    <col customWidth="1" min="5" max="5" width="17.29"/>
    <col customWidth="1" min="6" max="6" width="20.14"/>
    <col customWidth="1" min="7" max="7" width="20.57"/>
    <col customWidth="1" min="8" max="8" width="23.71"/>
    <col customWidth="1" min="9" max="9" width="18.71"/>
    <col customWidth="1" min="10" max="10" width="8.43"/>
    <col customWidth="1" min="11" max="11" width="14.57"/>
    <col customWidth="1" min="12" max="12" width="14.29"/>
    <col customWidth="1" min="13" max="13" width="11.29"/>
    <col customWidth="1" min="14" max="18" width="8.71"/>
  </cols>
  <sheetData>
    <row r="1" ht="14.25" customHeight="1">
      <c r="A1" s="1" t="s">
        <v>0</v>
      </c>
      <c r="B1" s="2" t="s">
        <v>1</v>
      </c>
      <c r="C1" s="3" t="s">
        <v>2</v>
      </c>
      <c r="D1" s="2" t="s">
        <v>3</v>
      </c>
      <c r="E1" s="4" t="s">
        <v>4</v>
      </c>
      <c r="F1" s="5"/>
      <c r="I1" s="5"/>
      <c r="J1" s="5"/>
      <c r="K1" s="5"/>
      <c r="L1" s="5"/>
    </row>
    <row r="2" ht="14.25" customHeight="1">
      <c r="A2" s="1">
        <v>46086.0</v>
      </c>
      <c r="B2" s="8" t="s">
        <v>6</v>
      </c>
      <c r="C2" s="9">
        <v>64.89</v>
      </c>
      <c r="D2" s="10" t="s">
        <v>7</v>
      </c>
      <c r="E2" s="2" t="s">
        <v>8</v>
      </c>
      <c r="F2" s="11"/>
      <c r="I2" s="14"/>
      <c r="J2" s="14"/>
    </row>
    <row r="3" ht="14.25" customHeight="1">
      <c r="A3" s="1">
        <v>46086.0</v>
      </c>
      <c r="B3" s="8" t="s">
        <v>9</v>
      </c>
      <c r="C3" s="9">
        <v>520.0</v>
      </c>
      <c r="D3" s="10" t="s">
        <v>7</v>
      </c>
      <c r="E3" s="2" t="s">
        <v>8</v>
      </c>
      <c r="F3" s="11"/>
      <c r="I3" s="14"/>
      <c r="J3" s="14"/>
      <c r="O3" s="15"/>
      <c r="P3" s="16"/>
      <c r="Q3" s="15"/>
      <c r="R3" s="16"/>
    </row>
    <row r="4" ht="14.25" customHeight="1">
      <c r="A4" s="1">
        <v>46086.0</v>
      </c>
      <c r="B4" s="8" t="s">
        <v>11</v>
      </c>
      <c r="C4" s="9">
        <v>60.0</v>
      </c>
      <c r="D4" s="10" t="s">
        <v>7</v>
      </c>
      <c r="E4" s="2" t="s">
        <v>8</v>
      </c>
      <c r="F4" s="11"/>
      <c r="I4" s="14"/>
      <c r="J4" s="14"/>
      <c r="O4" s="15"/>
      <c r="P4" s="16"/>
      <c r="Q4" s="15"/>
      <c r="R4" s="16"/>
    </row>
    <row r="5" ht="14.25" customHeight="1">
      <c r="A5" s="1">
        <v>46086.0</v>
      </c>
      <c r="B5" s="8" t="s">
        <v>13</v>
      </c>
      <c r="C5" s="9">
        <v>58.0</v>
      </c>
      <c r="D5" s="10" t="s">
        <v>7</v>
      </c>
      <c r="E5" s="2" t="s">
        <v>8</v>
      </c>
      <c r="F5" s="11"/>
      <c r="I5" s="14"/>
      <c r="J5" s="14"/>
    </row>
    <row r="6" ht="14.25" customHeight="1">
      <c r="A6" s="1">
        <v>46086.0</v>
      </c>
      <c r="B6" s="8" t="s">
        <v>15</v>
      </c>
      <c r="C6" s="9">
        <v>138.69</v>
      </c>
      <c r="D6" s="10" t="s">
        <v>7</v>
      </c>
      <c r="E6" s="2" t="s">
        <v>8</v>
      </c>
      <c r="F6" s="11"/>
      <c r="I6" s="14"/>
      <c r="J6" s="14"/>
    </row>
    <row r="7" ht="14.25" customHeight="1">
      <c r="A7" s="1">
        <v>46086.0</v>
      </c>
      <c r="B7" s="8" t="s">
        <v>17</v>
      </c>
      <c r="C7" s="9">
        <v>40.0</v>
      </c>
      <c r="D7" s="10" t="s">
        <v>7</v>
      </c>
      <c r="E7" s="2" t="s">
        <v>8</v>
      </c>
      <c r="F7" s="11"/>
      <c r="I7" s="14"/>
      <c r="J7" s="14"/>
    </row>
    <row r="8" ht="14.25" customHeight="1">
      <c r="A8" s="1">
        <v>46086.0</v>
      </c>
      <c r="B8" s="8" t="s">
        <v>19</v>
      </c>
      <c r="C8" s="9">
        <v>40.0</v>
      </c>
      <c r="D8" s="10" t="s">
        <v>7</v>
      </c>
      <c r="E8" s="2" t="s">
        <v>8</v>
      </c>
      <c r="F8" s="11"/>
      <c r="I8" s="14"/>
      <c r="J8" s="14"/>
    </row>
    <row r="9" ht="14.25" customHeight="1">
      <c r="A9" s="1">
        <v>46086.0</v>
      </c>
      <c r="B9" s="8" t="s">
        <v>21</v>
      </c>
      <c r="C9" s="9">
        <v>81.8</v>
      </c>
      <c r="D9" s="10" t="s">
        <v>7</v>
      </c>
      <c r="E9" s="2" t="s">
        <v>8</v>
      </c>
      <c r="F9" s="17"/>
      <c r="I9" s="14"/>
      <c r="J9" s="14"/>
    </row>
    <row r="10" ht="14.25" customHeight="1">
      <c r="A10" s="1">
        <v>46062.0</v>
      </c>
      <c r="B10" s="2" t="s">
        <v>23</v>
      </c>
      <c r="C10" s="18">
        <v>6014.06</v>
      </c>
      <c r="D10" s="10" t="s">
        <v>7</v>
      </c>
      <c r="E10" s="10" t="s">
        <v>10</v>
      </c>
      <c r="F10" s="11"/>
      <c r="I10" s="14"/>
      <c r="J10" s="14"/>
    </row>
    <row r="11" ht="14.25" customHeight="1">
      <c r="A11" s="1">
        <v>46065.0</v>
      </c>
      <c r="B11" s="8" t="s">
        <v>25</v>
      </c>
      <c r="C11" s="9">
        <v>981.95</v>
      </c>
      <c r="D11" s="10" t="s">
        <v>7</v>
      </c>
      <c r="E11" s="10" t="s">
        <v>10</v>
      </c>
      <c r="F11" s="17"/>
      <c r="I11" s="14"/>
      <c r="J11" s="14"/>
    </row>
    <row r="12" ht="14.25" customHeight="1">
      <c r="A12" s="1">
        <v>46065.0</v>
      </c>
      <c r="B12" s="8" t="s">
        <v>27</v>
      </c>
      <c r="C12" s="19">
        <v>1407.63</v>
      </c>
      <c r="D12" s="10" t="s">
        <v>7</v>
      </c>
      <c r="E12" s="10" t="s">
        <v>10</v>
      </c>
      <c r="F12" s="17"/>
      <c r="I12" s="14"/>
      <c r="J12" s="14"/>
    </row>
    <row r="13" ht="14.25" customHeight="1">
      <c r="A13" s="1">
        <v>46069.0</v>
      </c>
      <c r="B13" s="8" t="s">
        <v>29</v>
      </c>
      <c r="C13" s="18">
        <v>131.4</v>
      </c>
      <c r="D13" s="10" t="s">
        <v>7</v>
      </c>
      <c r="E13" s="10" t="s">
        <v>10</v>
      </c>
      <c r="F13" s="17"/>
      <c r="I13" s="14"/>
      <c r="J13" s="14"/>
    </row>
    <row r="14" ht="14.25" customHeight="1">
      <c r="A14" s="1">
        <v>46072.0</v>
      </c>
      <c r="B14" s="8" t="s">
        <v>31</v>
      </c>
      <c r="C14" s="3">
        <v>460.0</v>
      </c>
      <c r="D14" s="10" t="s">
        <v>7</v>
      </c>
      <c r="E14" s="10" t="s">
        <v>10</v>
      </c>
      <c r="F14" s="17"/>
      <c r="I14" s="14"/>
      <c r="J14" s="14"/>
    </row>
    <row r="15" ht="14.25" customHeight="1">
      <c r="A15" s="1">
        <v>46094.0</v>
      </c>
      <c r="B15" s="8" t="s">
        <v>33</v>
      </c>
      <c r="C15" s="20">
        <v>1368.12</v>
      </c>
      <c r="D15" s="10" t="s">
        <v>7</v>
      </c>
      <c r="E15" s="10" t="s">
        <v>10</v>
      </c>
      <c r="F15" s="17"/>
      <c r="G15" s="12"/>
      <c r="H15" s="21"/>
      <c r="I15" s="14"/>
      <c r="J15" s="14"/>
    </row>
    <row r="16" ht="14.25" customHeight="1">
      <c r="A16" s="1">
        <v>46062.0</v>
      </c>
      <c r="B16" s="2" t="s">
        <v>23</v>
      </c>
      <c r="C16" s="3">
        <v>2063.23</v>
      </c>
      <c r="D16" s="10" t="s">
        <v>7</v>
      </c>
      <c r="E16" s="10" t="s">
        <v>12</v>
      </c>
      <c r="F16" s="17"/>
      <c r="G16" s="12"/>
      <c r="H16" s="21"/>
      <c r="I16" s="14"/>
      <c r="J16" s="14"/>
    </row>
    <row r="17" ht="14.25" customHeight="1">
      <c r="A17" s="1">
        <v>46113.0</v>
      </c>
      <c r="B17" s="8" t="s">
        <v>34</v>
      </c>
      <c r="C17" s="22">
        <v>36.02</v>
      </c>
      <c r="D17" s="10" t="s">
        <v>7</v>
      </c>
      <c r="E17" s="2" t="s">
        <v>14</v>
      </c>
      <c r="F17" s="17"/>
      <c r="G17" s="12"/>
      <c r="H17" s="21"/>
      <c r="I17" s="14"/>
      <c r="J17" s="14"/>
    </row>
    <row r="18" ht="14.25" customHeight="1">
      <c r="A18" s="1">
        <v>46122.0</v>
      </c>
      <c r="B18" s="8" t="s">
        <v>35</v>
      </c>
      <c r="C18" s="9">
        <v>70.0</v>
      </c>
      <c r="D18" s="8" t="s">
        <v>7</v>
      </c>
      <c r="E18" s="2" t="s">
        <v>16</v>
      </c>
      <c r="F18" s="17"/>
      <c r="G18" s="12"/>
      <c r="H18" s="21"/>
      <c r="I18" s="14"/>
      <c r="J18" s="14"/>
    </row>
    <row r="19" ht="14.25" customHeight="1">
      <c r="A19" s="1">
        <v>46122.0</v>
      </c>
      <c r="B19" s="2" t="s">
        <v>36</v>
      </c>
      <c r="C19" s="9">
        <v>65.0</v>
      </c>
      <c r="D19" s="8" t="s">
        <v>7</v>
      </c>
      <c r="E19" s="2" t="s">
        <v>16</v>
      </c>
      <c r="F19" s="17"/>
      <c r="G19" s="12"/>
      <c r="H19" s="21"/>
      <c r="I19" s="14"/>
      <c r="J19" s="14"/>
    </row>
    <row r="20" ht="14.25" customHeight="1">
      <c r="A20" s="23">
        <v>46125.0</v>
      </c>
      <c r="B20" s="8" t="s">
        <v>25</v>
      </c>
      <c r="C20" s="9">
        <v>981.22</v>
      </c>
      <c r="D20" s="24" t="s">
        <v>7</v>
      </c>
      <c r="E20" s="2" t="s">
        <v>16</v>
      </c>
      <c r="F20" s="17"/>
      <c r="G20" s="12"/>
      <c r="H20" s="21"/>
      <c r="I20" s="14"/>
      <c r="J20" s="14"/>
    </row>
    <row r="21" ht="14.25" customHeight="1">
      <c r="A21" s="25">
        <v>46126.0</v>
      </c>
      <c r="B21" s="8" t="s">
        <v>33</v>
      </c>
      <c r="C21" s="18">
        <v>2472.89</v>
      </c>
      <c r="D21" s="24" t="s">
        <v>7</v>
      </c>
      <c r="E21" s="2" t="s">
        <v>16</v>
      </c>
      <c r="F21" s="17"/>
      <c r="G21" s="12"/>
      <c r="H21" s="21"/>
      <c r="I21" s="14"/>
      <c r="J21" s="14"/>
    </row>
    <row r="22" ht="14.25" customHeight="1">
      <c r="A22" s="1">
        <v>46063.0</v>
      </c>
      <c r="B22" s="2" t="s">
        <v>37</v>
      </c>
      <c r="C22" s="3">
        <v>123.44</v>
      </c>
      <c r="D22" s="10" t="s">
        <v>7</v>
      </c>
      <c r="E22" s="2" t="s">
        <v>18</v>
      </c>
      <c r="F22" s="17"/>
      <c r="G22" s="12"/>
      <c r="H22" s="21"/>
      <c r="I22" s="14"/>
      <c r="J22" s="14"/>
    </row>
    <row r="23" ht="14.25" customHeight="1">
      <c r="A23" s="1">
        <v>46073.0</v>
      </c>
      <c r="B23" s="8" t="s">
        <v>38</v>
      </c>
      <c r="C23" s="3">
        <v>74.18</v>
      </c>
      <c r="D23" s="10" t="s">
        <v>7</v>
      </c>
      <c r="E23" s="2" t="s">
        <v>18</v>
      </c>
      <c r="F23" s="17"/>
      <c r="G23" s="12"/>
      <c r="H23" s="21"/>
      <c r="I23" s="14"/>
      <c r="J23" s="14"/>
    </row>
    <row r="24" ht="14.25" customHeight="1">
      <c r="A24" s="1">
        <v>46083.0</v>
      </c>
      <c r="B24" s="8" t="s">
        <v>39</v>
      </c>
      <c r="C24" s="9">
        <v>1771.95</v>
      </c>
      <c r="D24" s="10" t="s">
        <v>7</v>
      </c>
      <c r="E24" s="2" t="s">
        <v>18</v>
      </c>
      <c r="F24" s="17"/>
      <c r="G24" s="14"/>
      <c r="H24" s="21"/>
      <c r="I24" s="14"/>
      <c r="J24" s="14"/>
    </row>
    <row r="25" ht="14.25" customHeight="1">
      <c r="A25" s="1">
        <v>46090.0</v>
      </c>
      <c r="B25" s="8" t="s">
        <v>40</v>
      </c>
      <c r="C25" s="9">
        <v>57.89</v>
      </c>
      <c r="D25" s="10" t="s">
        <v>7</v>
      </c>
      <c r="E25" s="2" t="s">
        <v>18</v>
      </c>
      <c r="F25" s="26"/>
      <c r="G25" s="12"/>
      <c r="H25" s="21"/>
      <c r="I25" s="14"/>
      <c r="J25" s="14"/>
    </row>
    <row r="26" ht="14.25" customHeight="1">
      <c r="A26" s="1">
        <v>46091.0</v>
      </c>
      <c r="B26" s="2" t="s">
        <v>37</v>
      </c>
      <c r="C26" s="9">
        <v>1336.73</v>
      </c>
      <c r="D26" s="10" t="s">
        <v>7</v>
      </c>
      <c r="E26" s="2" t="s">
        <v>18</v>
      </c>
      <c r="F26" s="26"/>
      <c r="G26" s="12"/>
      <c r="H26" s="21"/>
      <c r="I26" s="14"/>
      <c r="J26" s="14"/>
    </row>
    <row r="27" ht="14.25" customHeight="1">
      <c r="A27" s="1">
        <v>46091.0</v>
      </c>
      <c r="B27" s="2" t="s">
        <v>36</v>
      </c>
      <c r="C27" s="9">
        <v>65.0</v>
      </c>
      <c r="D27" s="10" t="s">
        <v>7</v>
      </c>
      <c r="E27" s="2" t="s">
        <v>18</v>
      </c>
      <c r="F27" s="26"/>
      <c r="G27" s="12"/>
      <c r="H27" s="21"/>
      <c r="I27" s="14"/>
      <c r="J27" s="14"/>
    </row>
    <row r="28" ht="14.25" customHeight="1">
      <c r="A28" s="1">
        <v>46092.0</v>
      </c>
      <c r="B28" s="8" t="s">
        <v>41</v>
      </c>
      <c r="C28" s="9">
        <v>86.15</v>
      </c>
      <c r="D28" s="10" t="s">
        <v>7</v>
      </c>
      <c r="E28" s="2" t="s">
        <v>18</v>
      </c>
      <c r="F28" s="26"/>
      <c r="G28" s="12"/>
      <c r="H28" s="21"/>
      <c r="I28" s="14"/>
      <c r="J28" s="14"/>
    </row>
    <row r="29" ht="14.25" customHeight="1">
      <c r="A29" s="1">
        <v>46092.0</v>
      </c>
      <c r="B29" s="8" t="s">
        <v>42</v>
      </c>
      <c r="C29" s="9">
        <v>50.0</v>
      </c>
      <c r="D29" s="10" t="s">
        <v>7</v>
      </c>
      <c r="E29" s="2" t="s">
        <v>18</v>
      </c>
      <c r="F29" s="26"/>
      <c r="G29" s="12"/>
      <c r="H29" s="21"/>
      <c r="I29" s="14"/>
      <c r="J29" s="14"/>
    </row>
    <row r="30" ht="14.25" customHeight="1">
      <c r="A30" s="1">
        <v>46094.0</v>
      </c>
      <c r="B30" s="8" t="s">
        <v>25</v>
      </c>
      <c r="C30" s="3">
        <v>473.73</v>
      </c>
      <c r="D30" s="10" t="s">
        <v>7</v>
      </c>
      <c r="E30" s="2" t="s">
        <v>18</v>
      </c>
      <c r="F30" s="26"/>
      <c r="G30" s="12"/>
      <c r="H30" s="21"/>
      <c r="I30" s="14"/>
      <c r="J30" s="14"/>
    </row>
    <row r="31" ht="14.25" customHeight="1">
      <c r="A31" s="1">
        <v>46064.0</v>
      </c>
      <c r="B31" s="8" t="s">
        <v>41</v>
      </c>
      <c r="C31" s="9">
        <v>95.12</v>
      </c>
      <c r="D31" s="10" t="s">
        <v>7</v>
      </c>
      <c r="E31" s="10" t="s">
        <v>20</v>
      </c>
      <c r="F31" s="26"/>
      <c r="G31" s="12"/>
      <c r="H31" s="21"/>
      <c r="I31" s="14"/>
      <c r="J31" s="14"/>
    </row>
    <row r="32" ht="14.25" customHeight="1">
      <c r="A32" s="1">
        <v>46064.0</v>
      </c>
      <c r="B32" s="8" t="s">
        <v>42</v>
      </c>
      <c r="C32" s="9">
        <v>50.0</v>
      </c>
      <c r="D32" s="10" t="s">
        <v>7</v>
      </c>
      <c r="E32" s="10" t="s">
        <v>20</v>
      </c>
      <c r="F32" s="26"/>
      <c r="G32" s="12"/>
      <c r="H32" s="21"/>
      <c r="I32" s="14"/>
      <c r="J32" s="14"/>
    </row>
    <row r="33" ht="14.25" customHeight="1">
      <c r="A33" s="1">
        <v>46072.0</v>
      </c>
      <c r="B33" s="8" t="s">
        <v>33</v>
      </c>
      <c r="C33" s="3">
        <v>2831.4</v>
      </c>
      <c r="D33" s="10" t="s">
        <v>7</v>
      </c>
      <c r="E33" s="10" t="s">
        <v>20</v>
      </c>
      <c r="F33" s="26"/>
      <c r="G33" s="12"/>
      <c r="H33" s="21"/>
      <c r="I33" s="14"/>
      <c r="J33" s="14"/>
    </row>
    <row r="34" ht="14.25" customHeight="1">
      <c r="A34" s="1">
        <v>46094.0</v>
      </c>
      <c r="B34" s="8" t="s">
        <v>25</v>
      </c>
      <c r="C34" s="9">
        <v>508.07</v>
      </c>
      <c r="D34" s="10" t="s">
        <v>7</v>
      </c>
      <c r="E34" s="10" t="s">
        <v>20</v>
      </c>
      <c r="F34" s="26"/>
      <c r="G34" s="12"/>
      <c r="H34" s="21"/>
      <c r="I34" s="14"/>
      <c r="J34" s="14"/>
    </row>
    <row r="35" ht="14.25" customHeight="1">
      <c r="A35" s="1">
        <v>46094.0</v>
      </c>
      <c r="B35" s="8" t="s">
        <v>33</v>
      </c>
      <c r="C35" s="20">
        <v>660.99</v>
      </c>
      <c r="D35" s="10" t="s">
        <v>7</v>
      </c>
      <c r="E35" s="10" t="s">
        <v>20</v>
      </c>
      <c r="F35" s="26"/>
      <c r="G35" s="12"/>
      <c r="H35" s="21"/>
      <c r="I35" s="14"/>
      <c r="J35" s="14"/>
    </row>
    <row r="36" ht="14.25" customHeight="1">
      <c r="A36" s="1">
        <v>46094.0</v>
      </c>
      <c r="B36" s="8" t="s">
        <v>33</v>
      </c>
      <c r="C36" s="3">
        <v>807.2</v>
      </c>
      <c r="D36" s="10" t="s">
        <v>7</v>
      </c>
      <c r="E36" s="2" t="s">
        <v>22</v>
      </c>
      <c r="F36" s="26"/>
      <c r="G36" s="12"/>
      <c r="H36" s="21"/>
      <c r="I36" s="14"/>
      <c r="J36" s="14"/>
    </row>
    <row r="37" ht="14.25" customHeight="1">
      <c r="A37" s="1">
        <v>46097.0</v>
      </c>
      <c r="B37" s="8" t="s">
        <v>29</v>
      </c>
      <c r="C37" s="9">
        <v>132.4</v>
      </c>
      <c r="D37" s="10" t="s">
        <v>7</v>
      </c>
      <c r="E37" s="2" t="s">
        <v>22</v>
      </c>
      <c r="F37" s="26"/>
      <c r="G37" s="12"/>
      <c r="H37" s="21"/>
      <c r="I37" s="14"/>
      <c r="J37" s="14"/>
    </row>
    <row r="38" ht="14.25" customHeight="1">
      <c r="A38" s="1">
        <v>46101.0</v>
      </c>
      <c r="B38" s="2" t="s">
        <v>23</v>
      </c>
      <c r="C38" s="9">
        <v>4540.55</v>
      </c>
      <c r="D38" s="10" t="s">
        <v>7</v>
      </c>
      <c r="E38" s="2" t="s">
        <v>22</v>
      </c>
      <c r="F38" s="26"/>
      <c r="G38" s="12"/>
      <c r="H38" s="21"/>
      <c r="I38" s="14"/>
      <c r="J38" s="14"/>
    </row>
    <row r="39" ht="14.25" customHeight="1">
      <c r="A39" s="23">
        <v>46120.0</v>
      </c>
      <c r="B39" s="8" t="s">
        <v>43</v>
      </c>
      <c r="C39" s="9">
        <v>70.0</v>
      </c>
      <c r="D39" s="8" t="s">
        <v>7</v>
      </c>
      <c r="E39" s="2" t="s">
        <v>24</v>
      </c>
      <c r="F39" s="26"/>
      <c r="G39" s="12"/>
      <c r="H39" s="21"/>
      <c r="I39" s="14"/>
      <c r="J39" s="14"/>
    </row>
    <row r="40" ht="14.25" customHeight="1">
      <c r="A40" s="1">
        <v>46122.0</v>
      </c>
      <c r="B40" s="2" t="s">
        <v>44</v>
      </c>
      <c r="C40" s="9">
        <v>434.75</v>
      </c>
      <c r="D40" s="8" t="s">
        <v>7</v>
      </c>
      <c r="E40" s="2" t="s">
        <v>24</v>
      </c>
      <c r="F40" s="26"/>
      <c r="G40" s="12"/>
      <c r="H40" s="21"/>
      <c r="I40" s="14"/>
      <c r="J40" s="14"/>
    </row>
    <row r="41" ht="14.25" customHeight="1">
      <c r="A41" s="25">
        <v>46126.0</v>
      </c>
      <c r="B41" s="8" t="s">
        <v>33</v>
      </c>
      <c r="C41" s="18">
        <v>151.71</v>
      </c>
      <c r="D41" s="24" t="s">
        <v>7</v>
      </c>
      <c r="E41" s="2" t="s">
        <v>24</v>
      </c>
      <c r="F41" s="26"/>
      <c r="G41" s="12"/>
      <c r="H41" s="21"/>
      <c r="I41" s="14"/>
      <c r="J41" s="14"/>
    </row>
    <row r="42" ht="14.25" customHeight="1">
      <c r="A42" s="25">
        <v>46126.0</v>
      </c>
      <c r="B42" s="8" t="s">
        <v>33</v>
      </c>
      <c r="C42" s="19">
        <v>206.8</v>
      </c>
      <c r="D42" s="24" t="s">
        <v>7</v>
      </c>
      <c r="E42" s="2" t="s">
        <v>24</v>
      </c>
      <c r="F42" s="26"/>
      <c r="G42" s="12"/>
      <c r="H42" s="21"/>
      <c r="I42" s="14"/>
      <c r="J42" s="14"/>
    </row>
    <row r="43" ht="14.25" customHeight="1">
      <c r="A43" s="25">
        <v>46126.0</v>
      </c>
      <c r="B43" s="24" t="s">
        <v>45</v>
      </c>
      <c r="C43" s="19">
        <v>45.0</v>
      </c>
      <c r="D43" s="24" t="s">
        <v>7</v>
      </c>
      <c r="E43" s="2" t="s">
        <v>24</v>
      </c>
      <c r="F43" s="26"/>
      <c r="G43" s="12"/>
      <c r="H43" s="21"/>
      <c r="I43" s="14"/>
      <c r="J43" s="14"/>
    </row>
    <row r="44" ht="14.25" customHeight="1">
      <c r="A44" s="25">
        <v>46126.0</v>
      </c>
      <c r="B44" s="27" t="s">
        <v>46</v>
      </c>
      <c r="C44" s="19">
        <v>18.75</v>
      </c>
      <c r="D44" s="24" t="s">
        <v>7</v>
      </c>
      <c r="E44" s="2" t="s">
        <v>24</v>
      </c>
      <c r="F44" s="26"/>
      <c r="G44" s="12"/>
      <c r="H44" s="21"/>
      <c r="I44" s="14"/>
      <c r="J44" s="14"/>
    </row>
    <row r="45" ht="14.25" customHeight="1">
      <c r="A45" s="1">
        <v>46101.0</v>
      </c>
      <c r="B45" s="2" t="s">
        <v>23</v>
      </c>
      <c r="C45" s="9">
        <v>2894.0</v>
      </c>
      <c r="D45" s="10" t="s">
        <v>7</v>
      </c>
      <c r="E45" s="2" t="s">
        <v>26</v>
      </c>
      <c r="F45" s="26"/>
      <c r="G45" s="12"/>
      <c r="H45" s="21"/>
      <c r="I45" s="14"/>
      <c r="J45" s="14"/>
    </row>
    <row r="46" ht="14.25" customHeight="1">
      <c r="A46" s="1">
        <v>46101.0</v>
      </c>
      <c r="B46" s="8" t="s">
        <v>47</v>
      </c>
      <c r="C46" s="9">
        <v>35.0</v>
      </c>
      <c r="D46" s="10" t="s">
        <v>7</v>
      </c>
      <c r="E46" s="2" t="s">
        <v>26</v>
      </c>
      <c r="F46" s="26"/>
      <c r="G46" s="12"/>
      <c r="H46" s="21"/>
      <c r="I46" s="14"/>
      <c r="J46" s="14"/>
    </row>
    <row r="47" ht="14.25" customHeight="1">
      <c r="A47" s="1">
        <v>46101.0</v>
      </c>
      <c r="B47" s="8" t="s">
        <v>38</v>
      </c>
      <c r="C47" s="9">
        <v>87.84</v>
      </c>
      <c r="D47" s="10" t="s">
        <v>7</v>
      </c>
      <c r="E47" s="2" t="s">
        <v>26</v>
      </c>
      <c r="F47" s="26"/>
      <c r="G47" s="12"/>
      <c r="H47" s="21"/>
      <c r="I47" s="14"/>
      <c r="J47" s="14"/>
    </row>
    <row r="48" ht="14.25" customHeight="1">
      <c r="A48" s="1">
        <v>46101.0</v>
      </c>
      <c r="B48" s="8" t="s">
        <v>48</v>
      </c>
      <c r="C48" s="9">
        <v>450.0</v>
      </c>
      <c r="D48" s="10" t="s">
        <v>7</v>
      </c>
      <c r="E48" s="2" t="s">
        <v>26</v>
      </c>
      <c r="F48" s="26"/>
      <c r="G48" s="12"/>
      <c r="H48" s="21"/>
      <c r="I48" s="14"/>
      <c r="J48" s="14"/>
    </row>
    <row r="49" ht="14.25" customHeight="1">
      <c r="A49" s="1">
        <v>46101.0</v>
      </c>
      <c r="B49" s="8" t="s">
        <v>46</v>
      </c>
      <c r="C49" s="9">
        <v>75.0</v>
      </c>
      <c r="D49" s="10" t="s">
        <v>7</v>
      </c>
      <c r="E49" s="2" t="s">
        <v>26</v>
      </c>
      <c r="F49" s="26"/>
      <c r="G49" s="12"/>
      <c r="H49" s="21"/>
      <c r="I49" s="14"/>
      <c r="J49" s="14"/>
    </row>
    <row r="50" ht="14.25" customHeight="1">
      <c r="A50" s="23">
        <v>46118.0</v>
      </c>
      <c r="B50" s="8" t="s">
        <v>49</v>
      </c>
      <c r="C50" s="9">
        <v>182.8</v>
      </c>
      <c r="D50" s="8" t="s">
        <v>7</v>
      </c>
      <c r="E50" s="2" t="s">
        <v>26</v>
      </c>
      <c r="F50" s="26"/>
      <c r="G50" s="12"/>
      <c r="H50" s="21"/>
      <c r="I50" s="14"/>
      <c r="J50" s="14"/>
    </row>
    <row r="51" ht="14.25" customHeight="1">
      <c r="A51" s="1">
        <v>46120.0</v>
      </c>
      <c r="B51" s="8" t="s">
        <v>50</v>
      </c>
      <c r="C51" s="9">
        <v>65.6</v>
      </c>
      <c r="D51" s="8" t="s">
        <v>7</v>
      </c>
      <c r="E51" s="2" t="s">
        <v>26</v>
      </c>
      <c r="F51" s="26"/>
      <c r="G51" s="12"/>
      <c r="H51" s="21"/>
      <c r="I51" s="14"/>
      <c r="J51" s="14"/>
    </row>
    <row r="52" ht="14.25" customHeight="1">
      <c r="A52" s="23">
        <v>46127.0</v>
      </c>
      <c r="B52" s="8" t="s">
        <v>29</v>
      </c>
      <c r="C52" s="9">
        <v>132.4</v>
      </c>
      <c r="D52" s="24" t="s">
        <v>7</v>
      </c>
      <c r="E52" s="2" t="s">
        <v>26</v>
      </c>
      <c r="G52" s="9"/>
      <c r="H52" s="28"/>
    </row>
    <row r="53" ht="14.25" customHeight="1">
      <c r="A53" s="1">
        <v>46114.0</v>
      </c>
      <c r="B53" s="8" t="s">
        <v>51</v>
      </c>
      <c r="C53" s="9">
        <v>150.0</v>
      </c>
      <c r="D53" s="10" t="s">
        <v>7</v>
      </c>
      <c r="E53" s="2" t="s">
        <v>28</v>
      </c>
      <c r="G53" s="9"/>
      <c r="H53" s="28"/>
    </row>
    <row r="54" ht="14.25" customHeight="1">
      <c r="A54" s="1">
        <v>46114.0</v>
      </c>
      <c r="B54" s="8" t="s">
        <v>39</v>
      </c>
      <c r="C54" s="9">
        <v>5310.25</v>
      </c>
      <c r="D54" s="10" t="s">
        <v>7</v>
      </c>
      <c r="E54" s="2" t="s">
        <v>28</v>
      </c>
      <c r="G54" s="9"/>
      <c r="H54" s="28"/>
    </row>
    <row r="55" ht="14.25" customHeight="1">
      <c r="A55" s="1">
        <v>46114.0</v>
      </c>
      <c r="B55" s="8" t="s">
        <v>52</v>
      </c>
      <c r="C55" s="9">
        <v>170.0</v>
      </c>
      <c r="D55" s="8" t="s">
        <v>7</v>
      </c>
      <c r="E55" s="2" t="s">
        <v>28</v>
      </c>
      <c r="G55" s="9"/>
      <c r="H55" s="28"/>
    </row>
    <row r="56" ht="14.25" customHeight="1">
      <c r="A56" s="1">
        <v>46114.0</v>
      </c>
      <c r="B56" s="8" t="s">
        <v>53</v>
      </c>
      <c r="C56" s="9">
        <v>900.0</v>
      </c>
      <c r="D56" s="10" t="s">
        <v>7</v>
      </c>
      <c r="E56" s="2" t="s">
        <v>28</v>
      </c>
      <c r="G56" s="9"/>
      <c r="H56" s="28"/>
    </row>
    <row r="57" ht="14.25" customHeight="1">
      <c r="A57" s="1">
        <v>46114.0</v>
      </c>
      <c r="B57" s="8" t="s">
        <v>54</v>
      </c>
      <c r="C57" s="9">
        <v>170.0</v>
      </c>
      <c r="D57" s="10" t="s">
        <v>7</v>
      </c>
      <c r="E57" s="2" t="s">
        <v>28</v>
      </c>
      <c r="G57" s="9"/>
      <c r="H57" s="28"/>
    </row>
    <row r="58" ht="14.25" customHeight="1">
      <c r="A58" s="1">
        <v>46114.0</v>
      </c>
      <c r="B58" s="8" t="s">
        <v>55</v>
      </c>
      <c r="C58" s="9">
        <v>52.0</v>
      </c>
      <c r="D58" s="8" t="s">
        <v>7</v>
      </c>
      <c r="E58" s="2" t="s">
        <v>28</v>
      </c>
      <c r="G58" s="9"/>
      <c r="H58" s="28"/>
    </row>
    <row r="59" ht="14.25" customHeight="1">
      <c r="A59" s="1">
        <v>46114.0</v>
      </c>
      <c r="B59" s="8" t="s">
        <v>56</v>
      </c>
      <c r="C59" s="9">
        <v>120.0</v>
      </c>
      <c r="D59" s="10" t="s">
        <v>7</v>
      </c>
      <c r="E59" s="2" t="s">
        <v>28</v>
      </c>
      <c r="G59" s="9"/>
      <c r="H59" s="28"/>
    </row>
    <row r="60" ht="14.25" customHeight="1">
      <c r="A60" s="1">
        <v>46114.0</v>
      </c>
      <c r="B60" s="8" t="s">
        <v>57</v>
      </c>
      <c r="C60" s="9">
        <v>35.0</v>
      </c>
      <c r="D60" s="8" t="s">
        <v>7</v>
      </c>
      <c r="E60" s="2" t="s">
        <v>28</v>
      </c>
      <c r="G60" s="9"/>
      <c r="H60" s="28"/>
    </row>
    <row r="61" ht="14.25" customHeight="1">
      <c r="A61" s="23">
        <v>46118.0</v>
      </c>
      <c r="B61" s="8" t="s">
        <v>58</v>
      </c>
      <c r="C61" s="9">
        <v>950.0</v>
      </c>
      <c r="D61" s="10" t="s">
        <v>7</v>
      </c>
      <c r="E61" s="2" t="s">
        <v>28</v>
      </c>
      <c r="G61" s="9"/>
      <c r="H61" s="28"/>
    </row>
    <row r="62" ht="14.25" customHeight="1">
      <c r="A62" s="1">
        <v>46087.0</v>
      </c>
      <c r="B62" s="8" t="s">
        <v>49</v>
      </c>
      <c r="C62" s="9">
        <v>136.15</v>
      </c>
      <c r="D62" s="10" t="s">
        <v>7</v>
      </c>
      <c r="E62" s="8" t="s">
        <v>30</v>
      </c>
      <c r="G62" s="9"/>
      <c r="H62" s="28"/>
    </row>
    <row r="63" ht="14.25" customHeight="1">
      <c r="A63" s="1">
        <v>46087.0</v>
      </c>
      <c r="B63" s="8" t="s">
        <v>58</v>
      </c>
      <c r="C63" s="9">
        <v>800.0</v>
      </c>
      <c r="D63" s="10" t="s">
        <v>7</v>
      </c>
      <c r="E63" s="2" t="s">
        <v>30</v>
      </c>
      <c r="G63" s="9"/>
      <c r="H63" s="28"/>
    </row>
    <row r="64" ht="14.25" customHeight="1">
      <c r="A64" s="23">
        <v>46132.0</v>
      </c>
      <c r="B64" s="2" t="s">
        <v>23</v>
      </c>
      <c r="C64" s="19">
        <v>6350.01</v>
      </c>
      <c r="G64" s="9"/>
      <c r="H64" s="28"/>
    </row>
    <row r="65" ht="14.25" customHeight="1">
      <c r="A65" s="23">
        <v>46132.0</v>
      </c>
      <c r="B65" s="8" t="s">
        <v>41</v>
      </c>
      <c r="C65" s="9">
        <v>98.98</v>
      </c>
      <c r="G65" s="9"/>
      <c r="H65" s="28"/>
    </row>
    <row r="66" ht="14.25" customHeight="1">
      <c r="A66" s="23">
        <v>46132.0</v>
      </c>
      <c r="B66" s="8" t="s">
        <v>38</v>
      </c>
      <c r="C66" s="9">
        <v>113.31</v>
      </c>
      <c r="G66" s="9"/>
      <c r="H66" s="28"/>
    </row>
    <row r="67" ht="14.25" customHeight="1">
      <c r="A67" s="1">
        <v>46141.0</v>
      </c>
      <c r="B67" s="8" t="s">
        <v>59</v>
      </c>
      <c r="C67" s="9">
        <v>530.0</v>
      </c>
      <c r="G67" s="9"/>
      <c r="H67" s="28"/>
    </row>
    <row r="68" ht="14.25" customHeight="1">
      <c r="A68" s="1">
        <v>46146.0</v>
      </c>
      <c r="B68" s="8" t="s">
        <v>39</v>
      </c>
      <c r="C68" s="9">
        <v>1500.0</v>
      </c>
      <c r="G68" s="9"/>
      <c r="H68" s="28"/>
    </row>
    <row r="69" ht="14.25" customHeight="1">
      <c r="A69" s="23">
        <v>46148.0</v>
      </c>
      <c r="B69" s="8" t="s">
        <v>49</v>
      </c>
      <c r="C69" s="9">
        <v>195.0</v>
      </c>
      <c r="G69" s="9"/>
      <c r="H69" s="28"/>
    </row>
    <row r="70" ht="14.25" customHeight="1">
      <c r="A70" s="23">
        <v>46148.0</v>
      </c>
      <c r="B70" s="8" t="s">
        <v>58</v>
      </c>
      <c r="C70" s="9">
        <v>950.0</v>
      </c>
      <c r="G70" s="9"/>
      <c r="H70" s="28"/>
    </row>
    <row r="71" ht="14.25" customHeight="1">
      <c r="A71" s="23">
        <v>46150.0</v>
      </c>
      <c r="B71" s="8" t="s">
        <v>50</v>
      </c>
      <c r="C71" s="9">
        <v>120.0</v>
      </c>
      <c r="G71" s="9"/>
      <c r="H71" s="28"/>
    </row>
    <row r="72" ht="14.25" customHeight="1">
      <c r="A72" s="1">
        <v>46152.0</v>
      </c>
      <c r="B72" s="2" t="s">
        <v>36</v>
      </c>
      <c r="C72" s="9">
        <v>65.0</v>
      </c>
      <c r="G72" s="9"/>
      <c r="H72" s="28"/>
    </row>
    <row r="73" ht="14.25" customHeight="1">
      <c r="A73" s="23">
        <v>46153.0</v>
      </c>
      <c r="B73" s="8" t="s">
        <v>41</v>
      </c>
      <c r="C73" s="9">
        <v>95.05</v>
      </c>
      <c r="G73" s="9"/>
      <c r="H73" s="28"/>
    </row>
    <row r="74" ht="14.25" customHeight="1">
      <c r="A74" s="23">
        <v>46154.0</v>
      </c>
      <c r="B74" s="8" t="s">
        <v>25</v>
      </c>
      <c r="C74" s="9">
        <v>981.95</v>
      </c>
      <c r="G74" s="9"/>
      <c r="H74" s="28"/>
    </row>
    <row r="75" ht="14.25" customHeight="1">
      <c r="A75" s="23">
        <v>46154.0</v>
      </c>
      <c r="B75" s="8" t="s">
        <v>33</v>
      </c>
      <c r="C75" s="3">
        <v>2831.4</v>
      </c>
      <c r="G75" s="9"/>
      <c r="H75" s="28"/>
    </row>
    <row r="76" ht="14.25" customHeight="1">
      <c r="A76" s="23">
        <v>46154.0</v>
      </c>
      <c r="B76" s="8" t="s">
        <v>42</v>
      </c>
      <c r="C76" s="9">
        <v>50.0</v>
      </c>
      <c r="G76" s="9"/>
      <c r="H76" s="28"/>
    </row>
    <row r="77" ht="14.25" customHeight="1">
      <c r="A77" s="23">
        <v>46157.0</v>
      </c>
      <c r="B77" s="8" t="s">
        <v>29</v>
      </c>
      <c r="C77" s="9">
        <v>132.4</v>
      </c>
      <c r="G77" s="9"/>
      <c r="H77" s="28"/>
    </row>
    <row r="78" ht="14.25" customHeight="1">
      <c r="A78" s="23">
        <v>46162.0</v>
      </c>
      <c r="B78" s="2" t="s">
        <v>23</v>
      </c>
      <c r="C78" s="9">
        <v>7200.0</v>
      </c>
      <c r="G78" s="9"/>
      <c r="H78" s="28"/>
    </row>
    <row r="79" ht="14.25" customHeight="1">
      <c r="A79" s="23">
        <v>46162.0</v>
      </c>
      <c r="B79" s="8" t="s">
        <v>38</v>
      </c>
      <c r="C79" s="9">
        <v>113.31</v>
      </c>
      <c r="G79" s="9"/>
      <c r="H79" s="28"/>
    </row>
    <row r="80" ht="14.25" customHeight="1">
      <c r="A80" s="1">
        <v>46175.0</v>
      </c>
      <c r="B80" s="8" t="s">
        <v>39</v>
      </c>
      <c r="C80" s="9">
        <v>580.0</v>
      </c>
      <c r="G80" s="9"/>
      <c r="H80" s="28"/>
    </row>
    <row r="81" ht="14.25" customHeight="1">
      <c r="A81" s="23">
        <v>46178.0</v>
      </c>
      <c r="B81" s="8" t="s">
        <v>49</v>
      </c>
      <c r="C81" s="9">
        <v>195.0</v>
      </c>
      <c r="G81" s="9"/>
      <c r="H81" s="28"/>
    </row>
    <row r="82" ht="14.25" customHeight="1">
      <c r="A82" s="23">
        <v>46178.0</v>
      </c>
      <c r="B82" s="8" t="s">
        <v>58</v>
      </c>
      <c r="C82" s="9">
        <v>950.0</v>
      </c>
      <c r="G82" s="9"/>
      <c r="H82" s="28"/>
    </row>
    <row r="83" ht="14.25" customHeight="1">
      <c r="A83" s="1">
        <v>46181.0</v>
      </c>
      <c r="B83" s="8" t="s">
        <v>50</v>
      </c>
      <c r="C83" s="9">
        <v>120.0</v>
      </c>
      <c r="G83" s="9"/>
      <c r="H83" s="28"/>
    </row>
    <row r="84" ht="14.25" customHeight="1">
      <c r="A84" s="1">
        <v>46183.0</v>
      </c>
      <c r="B84" s="2" t="s">
        <v>36</v>
      </c>
      <c r="C84" s="9">
        <v>65.0</v>
      </c>
      <c r="G84" s="9"/>
      <c r="H84" s="28"/>
    </row>
    <row r="85" ht="14.25" customHeight="1">
      <c r="A85" s="1">
        <v>46183.0</v>
      </c>
      <c r="B85" s="8" t="s">
        <v>42</v>
      </c>
      <c r="C85" s="9">
        <v>50.0</v>
      </c>
      <c r="G85" s="9"/>
      <c r="H85" s="28"/>
    </row>
    <row r="86" ht="14.25" customHeight="1">
      <c r="A86" s="1">
        <v>46183.0</v>
      </c>
      <c r="B86" s="8" t="s">
        <v>59</v>
      </c>
      <c r="C86" s="9">
        <v>530.0</v>
      </c>
      <c r="G86" s="9"/>
      <c r="H86" s="28"/>
    </row>
    <row r="87" ht="14.25" customHeight="1">
      <c r="A87" s="1">
        <v>46184.0</v>
      </c>
      <c r="B87" s="8" t="s">
        <v>41</v>
      </c>
      <c r="C87" s="9">
        <v>95.12</v>
      </c>
      <c r="G87" s="9"/>
      <c r="H87" s="28"/>
    </row>
    <row r="88" ht="14.25" customHeight="1">
      <c r="A88" s="23">
        <v>46185.0</v>
      </c>
      <c r="B88" s="8" t="s">
        <v>25</v>
      </c>
      <c r="C88" s="9">
        <v>981.95</v>
      </c>
      <c r="G88" s="9"/>
      <c r="H88" s="28"/>
    </row>
    <row r="89" ht="14.25" customHeight="1">
      <c r="A89" s="23">
        <v>46185.0</v>
      </c>
      <c r="B89" s="8" t="s">
        <v>33</v>
      </c>
      <c r="C89" s="3">
        <v>2831.4</v>
      </c>
      <c r="G89" s="9"/>
      <c r="H89" s="28"/>
    </row>
    <row r="90" ht="14.25" customHeight="1">
      <c r="A90" s="23">
        <v>46188.0</v>
      </c>
      <c r="B90" s="8" t="s">
        <v>29</v>
      </c>
      <c r="C90" s="9">
        <v>132.4</v>
      </c>
      <c r="G90" s="9"/>
      <c r="H90" s="28"/>
    </row>
    <row r="91" ht="14.25" customHeight="1">
      <c r="A91" s="23">
        <v>46192.0</v>
      </c>
      <c r="B91" s="2" t="s">
        <v>23</v>
      </c>
      <c r="C91" s="9">
        <v>7200.0</v>
      </c>
      <c r="G91" s="9"/>
      <c r="H91" s="28"/>
    </row>
    <row r="92" ht="14.25" customHeight="1">
      <c r="A92" s="23">
        <v>46192.0</v>
      </c>
      <c r="B92" s="8" t="s">
        <v>38</v>
      </c>
      <c r="C92" s="9">
        <v>113.31</v>
      </c>
      <c r="G92" s="9"/>
      <c r="H92" s="28"/>
    </row>
    <row r="93" ht="14.25" customHeight="1">
      <c r="A93" s="1">
        <v>46205.0</v>
      </c>
      <c r="B93" s="8" t="s">
        <v>39</v>
      </c>
      <c r="C93" s="9">
        <v>930.0</v>
      </c>
      <c r="G93" s="9"/>
      <c r="H93" s="28"/>
    </row>
    <row r="94" ht="14.25" customHeight="1">
      <c r="A94" s="23">
        <v>46209.0</v>
      </c>
      <c r="B94" s="8" t="s">
        <v>49</v>
      </c>
      <c r="C94" s="9">
        <v>195.0</v>
      </c>
      <c r="G94" s="9"/>
      <c r="H94" s="28"/>
    </row>
    <row r="95" ht="14.25" customHeight="1">
      <c r="A95" s="23">
        <v>46209.0</v>
      </c>
      <c r="B95" s="8" t="s">
        <v>58</v>
      </c>
      <c r="C95" s="9">
        <v>950.0</v>
      </c>
      <c r="G95" s="9"/>
      <c r="H95" s="28"/>
    </row>
    <row r="96" ht="14.25" customHeight="1">
      <c r="A96" s="23">
        <v>46211.0</v>
      </c>
      <c r="B96" s="8" t="s">
        <v>50</v>
      </c>
      <c r="C96" s="9">
        <v>120.0</v>
      </c>
      <c r="G96" s="9"/>
      <c r="H96" s="28"/>
    </row>
    <row r="97" ht="14.25" customHeight="1">
      <c r="A97" s="1">
        <v>46213.0</v>
      </c>
      <c r="B97" s="2" t="s">
        <v>36</v>
      </c>
      <c r="C97" s="9">
        <v>65.0</v>
      </c>
      <c r="G97" s="9"/>
      <c r="H97" s="28"/>
    </row>
    <row r="98" ht="14.25" customHeight="1">
      <c r="A98" s="23">
        <v>46216.0</v>
      </c>
      <c r="B98" s="8" t="s">
        <v>25</v>
      </c>
      <c r="C98" s="9">
        <v>981.95</v>
      </c>
      <c r="G98" s="9"/>
      <c r="H98" s="28"/>
    </row>
    <row r="99" ht="14.25" customHeight="1">
      <c r="A99" s="23">
        <v>46216.0</v>
      </c>
      <c r="B99" s="8" t="s">
        <v>41</v>
      </c>
      <c r="C99" s="9">
        <v>95.12</v>
      </c>
      <c r="G99" s="9"/>
      <c r="H99" s="28"/>
    </row>
    <row r="100" ht="14.25" customHeight="1">
      <c r="A100" s="23">
        <v>46216.0</v>
      </c>
      <c r="B100" s="8" t="s">
        <v>33</v>
      </c>
      <c r="C100" s="3">
        <v>2831.4</v>
      </c>
      <c r="G100" s="9"/>
      <c r="H100" s="28"/>
    </row>
    <row r="101" ht="14.25" customHeight="1">
      <c r="A101" s="23">
        <v>46218.0</v>
      </c>
      <c r="B101" s="8" t="s">
        <v>29</v>
      </c>
      <c r="C101" s="9">
        <v>132.4</v>
      </c>
      <c r="G101" s="9"/>
      <c r="H101" s="28"/>
    </row>
    <row r="102" ht="14.25" customHeight="1">
      <c r="A102" s="23">
        <v>46218.0</v>
      </c>
      <c r="B102" s="8" t="s">
        <v>42</v>
      </c>
      <c r="C102" s="9">
        <v>50.0</v>
      </c>
      <c r="G102" s="9"/>
      <c r="H102" s="28"/>
    </row>
    <row r="103" ht="14.25" customHeight="1">
      <c r="A103" s="23">
        <v>46223.0</v>
      </c>
      <c r="B103" s="2" t="s">
        <v>23</v>
      </c>
      <c r="C103" s="9">
        <v>6800.0</v>
      </c>
      <c r="G103" s="9"/>
      <c r="H103" s="28"/>
    </row>
    <row r="104" ht="14.25" customHeight="1">
      <c r="A104" s="23">
        <v>46223.0</v>
      </c>
      <c r="B104" s="8" t="s">
        <v>38</v>
      </c>
      <c r="C104" s="9">
        <v>113.31</v>
      </c>
      <c r="G104" s="9"/>
      <c r="H104" s="28"/>
    </row>
    <row r="105" ht="14.25" customHeight="1">
      <c r="A105" s="1">
        <v>46237.0</v>
      </c>
      <c r="B105" s="8" t="s">
        <v>39</v>
      </c>
      <c r="C105" s="9">
        <v>1500.0</v>
      </c>
      <c r="G105" s="9"/>
      <c r="H105" s="28"/>
    </row>
    <row r="106" ht="14.25" customHeight="1">
      <c r="A106" s="23">
        <v>46239.0</v>
      </c>
      <c r="B106" s="8" t="s">
        <v>58</v>
      </c>
      <c r="C106" s="9">
        <v>950.0</v>
      </c>
      <c r="F106" s="26"/>
      <c r="G106" s="12"/>
      <c r="H106" s="21"/>
      <c r="I106" s="14"/>
      <c r="J106" s="14"/>
    </row>
    <row r="107" ht="14.25" customHeight="1">
      <c r="A107" s="23">
        <v>46240.0</v>
      </c>
      <c r="B107" s="8" t="s">
        <v>49</v>
      </c>
      <c r="C107" s="9">
        <v>195.0</v>
      </c>
      <c r="F107" s="26"/>
      <c r="G107" s="12"/>
      <c r="H107" s="21"/>
      <c r="I107" s="14"/>
      <c r="J107" s="14"/>
    </row>
    <row r="108" ht="14.25" customHeight="1">
      <c r="A108" s="23">
        <v>46240.0</v>
      </c>
      <c r="B108" s="8" t="s">
        <v>50</v>
      </c>
      <c r="C108" s="9">
        <v>120.0</v>
      </c>
      <c r="G108" s="9"/>
      <c r="H108" s="28"/>
    </row>
    <row r="109" ht="14.25" customHeight="1">
      <c r="A109" s="1">
        <v>46244.0</v>
      </c>
      <c r="B109" s="2" t="s">
        <v>36</v>
      </c>
      <c r="C109" s="9">
        <v>65.0</v>
      </c>
      <c r="G109" s="9"/>
      <c r="H109" s="28"/>
    </row>
    <row r="110" ht="14.25" customHeight="1">
      <c r="A110" s="23">
        <v>46245.0</v>
      </c>
      <c r="B110" s="8" t="s">
        <v>41</v>
      </c>
      <c r="C110" s="9">
        <v>95.12</v>
      </c>
      <c r="G110" s="9"/>
      <c r="H110" s="28"/>
    </row>
    <row r="111" ht="14.25" customHeight="1">
      <c r="A111" s="1">
        <v>46246.0</v>
      </c>
      <c r="B111" s="8" t="s">
        <v>25</v>
      </c>
      <c r="C111" s="9">
        <v>981.95</v>
      </c>
      <c r="G111" s="9"/>
      <c r="H111" s="28"/>
    </row>
    <row r="112" ht="14.25" customHeight="1">
      <c r="A112" s="1">
        <v>46246.0</v>
      </c>
      <c r="B112" s="8" t="s">
        <v>33</v>
      </c>
      <c r="C112" s="3">
        <v>2831.4</v>
      </c>
      <c r="G112" s="9"/>
      <c r="H112" s="28"/>
    </row>
    <row r="113" ht="14.25" customHeight="1">
      <c r="A113" s="1">
        <v>46246.0</v>
      </c>
      <c r="B113" s="8" t="s">
        <v>31</v>
      </c>
      <c r="C113" s="9">
        <v>460.0</v>
      </c>
      <c r="G113" s="9"/>
      <c r="H113" s="28"/>
    </row>
    <row r="114" ht="14.25" customHeight="1">
      <c r="A114" s="1">
        <v>46246.0</v>
      </c>
      <c r="B114" s="8" t="s">
        <v>42</v>
      </c>
      <c r="C114" s="9">
        <v>50.0</v>
      </c>
      <c r="G114" s="9"/>
      <c r="H114" s="28"/>
    </row>
    <row r="115" ht="14.25" customHeight="1">
      <c r="A115" s="1">
        <v>46246.0</v>
      </c>
      <c r="B115" s="8" t="s">
        <v>59</v>
      </c>
      <c r="C115" s="9">
        <v>530.0</v>
      </c>
      <c r="G115" s="9"/>
      <c r="H115" s="28"/>
    </row>
    <row r="116" ht="14.25" customHeight="1">
      <c r="A116" s="23">
        <v>46249.0</v>
      </c>
      <c r="B116" s="8" t="s">
        <v>29</v>
      </c>
      <c r="C116" s="9">
        <v>132.4</v>
      </c>
      <c r="G116" s="9"/>
      <c r="H116" s="28"/>
    </row>
    <row r="117" ht="14.25" customHeight="1">
      <c r="A117" s="23">
        <v>46254.0</v>
      </c>
      <c r="B117" s="2" t="s">
        <v>23</v>
      </c>
      <c r="C117" s="9">
        <v>5800.0</v>
      </c>
      <c r="G117" s="9"/>
      <c r="H117" s="28"/>
    </row>
    <row r="118" ht="14.25" customHeight="1">
      <c r="A118" s="23">
        <v>46254.0</v>
      </c>
      <c r="B118" s="8" t="s">
        <v>38</v>
      </c>
      <c r="C118" s="9">
        <v>113.31</v>
      </c>
      <c r="G118" s="9"/>
      <c r="H118" s="28"/>
    </row>
    <row r="119" ht="14.25" customHeight="1">
      <c r="A119" s="1">
        <v>46267.0</v>
      </c>
      <c r="B119" s="8" t="s">
        <v>39</v>
      </c>
      <c r="C119" s="9">
        <v>2000.0</v>
      </c>
      <c r="G119" s="9"/>
      <c r="H119" s="28"/>
    </row>
    <row r="120" ht="14.25" customHeight="1">
      <c r="A120" s="23">
        <v>46269.0</v>
      </c>
      <c r="B120" s="8" t="s">
        <v>58</v>
      </c>
      <c r="C120" s="9">
        <v>950.0</v>
      </c>
      <c r="G120" s="9"/>
      <c r="H120" s="28"/>
    </row>
    <row r="121" ht="14.25" customHeight="1">
      <c r="A121" s="23">
        <v>46271.0</v>
      </c>
      <c r="B121" s="8" t="s">
        <v>49</v>
      </c>
      <c r="C121" s="9">
        <v>195.0</v>
      </c>
      <c r="G121" s="9"/>
      <c r="H121" s="28"/>
    </row>
    <row r="122" ht="14.25" customHeight="1">
      <c r="A122" s="23">
        <v>46273.0</v>
      </c>
      <c r="B122" s="8" t="s">
        <v>50</v>
      </c>
      <c r="C122" s="9">
        <v>120.0</v>
      </c>
      <c r="G122" s="9"/>
      <c r="H122" s="28"/>
    </row>
    <row r="123" ht="14.25" customHeight="1">
      <c r="A123" s="23">
        <v>46273.0</v>
      </c>
      <c r="B123" s="8" t="s">
        <v>60</v>
      </c>
      <c r="C123" s="9">
        <v>90.0</v>
      </c>
      <c r="G123" s="9"/>
      <c r="H123" s="28"/>
    </row>
    <row r="124" ht="14.25" customHeight="1">
      <c r="A124" s="23">
        <v>46274.0</v>
      </c>
      <c r="B124" s="8" t="s">
        <v>42</v>
      </c>
      <c r="C124" s="9">
        <v>50.0</v>
      </c>
      <c r="G124" s="9"/>
      <c r="H124" s="28"/>
    </row>
    <row r="125" ht="14.25" customHeight="1">
      <c r="A125" s="1">
        <v>46275.0</v>
      </c>
      <c r="B125" s="2" t="s">
        <v>36</v>
      </c>
      <c r="C125" s="9">
        <v>65.0</v>
      </c>
      <c r="G125" s="9"/>
      <c r="H125" s="28"/>
    </row>
    <row r="126" ht="14.25" customHeight="1">
      <c r="A126" s="23">
        <v>46276.0</v>
      </c>
      <c r="B126" s="8" t="s">
        <v>25</v>
      </c>
      <c r="C126" s="9">
        <v>981.95</v>
      </c>
      <c r="G126" s="9"/>
      <c r="H126" s="28"/>
    </row>
    <row r="127" ht="14.25" customHeight="1">
      <c r="A127" s="23">
        <v>46276.0</v>
      </c>
      <c r="B127" s="8" t="s">
        <v>41</v>
      </c>
      <c r="C127" s="9">
        <v>95.12</v>
      </c>
      <c r="G127" s="9"/>
      <c r="H127" s="28"/>
    </row>
    <row r="128" ht="14.25" customHeight="1">
      <c r="A128" s="23">
        <v>46276.0</v>
      </c>
      <c r="B128" s="8" t="s">
        <v>33</v>
      </c>
      <c r="C128" s="3">
        <v>2831.4</v>
      </c>
      <c r="G128" s="9"/>
      <c r="H128" s="28"/>
    </row>
    <row r="129" ht="14.25" customHeight="1">
      <c r="A129" s="23">
        <v>46280.0</v>
      </c>
      <c r="B129" s="8" t="s">
        <v>29</v>
      </c>
      <c r="C129" s="9">
        <v>132.4</v>
      </c>
      <c r="G129" s="9"/>
      <c r="H129" s="28"/>
    </row>
    <row r="130" ht="14.25" customHeight="1">
      <c r="A130" s="23">
        <v>46285.0</v>
      </c>
      <c r="B130" s="2" t="s">
        <v>23</v>
      </c>
      <c r="C130" s="9">
        <v>6850.0</v>
      </c>
      <c r="G130" s="9"/>
      <c r="H130" s="28"/>
    </row>
    <row r="131" ht="14.25" customHeight="1">
      <c r="A131" s="23">
        <v>46286.0</v>
      </c>
      <c r="B131" s="8" t="s">
        <v>38</v>
      </c>
      <c r="C131" s="9">
        <v>113.31</v>
      </c>
      <c r="G131" s="9"/>
      <c r="H131" s="28"/>
    </row>
    <row r="132" ht="14.25" customHeight="1">
      <c r="A132" s="1">
        <v>46297.0</v>
      </c>
      <c r="B132" s="8" t="s">
        <v>39</v>
      </c>
      <c r="C132" s="9">
        <v>1800.0</v>
      </c>
      <c r="G132" s="9"/>
      <c r="H132" s="28"/>
    </row>
    <row r="133" ht="14.25" customHeight="1">
      <c r="A133" s="23">
        <v>46300.0</v>
      </c>
      <c r="B133" s="8" t="s">
        <v>58</v>
      </c>
      <c r="C133" s="9">
        <v>950.0</v>
      </c>
      <c r="G133" s="9"/>
      <c r="H133" s="28"/>
    </row>
    <row r="134" ht="14.25" customHeight="1">
      <c r="A134" s="23">
        <v>46301.0</v>
      </c>
      <c r="B134" s="8" t="s">
        <v>49</v>
      </c>
      <c r="C134" s="9">
        <v>195.0</v>
      </c>
      <c r="G134" s="9"/>
      <c r="H134" s="28"/>
    </row>
    <row r="135" ht="14.25" customHeight="1">
      <c r="A135" s="1">
        <v>46302.0</v>
      </c>
      <c r="B135" s="8" t="s">
        <v>59</v>
      </c>
      <c r="C135" s="9">
        <v>530.0</v>
      </c>
      <c r="G135" s="9"/>
      <c r="H135" s="28"/>
    </row>
    <row r="136" ht="14.25" customHeight="1">
      <c r="A136" s="1">
        <v>46303.0</v>
      </c>
      <c r="B136" s="8" t="s">
        <v>50</v>
      </c>
      <c r="C136" s="9">
        <v>120.0</v>
      </c>
      <c r="G136" s="9"/>
      <c r="H136" s="28"/>
    </row>
    <row r="137" ht="14.25" customHeight="1">
      <c r="A137" s="1">
        <v>46303.0</v>
      </c>
      <c r="B137" s="8" t="s">
        <v>60</v>
      </c>
      <c r="C137" s="9">
        <v>90.0</v>
      </c>
      <c r="G137" s="9"/>
      <c r="H137" s="28"/>
    </row>
    <row r="138" ht="14.25" customHeight="1">
      <c r="A138" s="1">
        <v>46303.0</v>
      </c>
      <c r="B138" s="8" t="s">
        <v>61</v>
      </c>
      <c r="C138" s="9">
        <v>119.8</v>
      </c>
      <c r="G138" s="9"/>
      <c r="H138" s="28"/>
    </row>
    <row r="139" ht="14.25" customHeight="1">
      <c r="A139" s="1">
        <v>46305.0</v>
      </c>
      <c r="B139" s="2" t="s">
        <v>36</v>
      </c>
      <c r="C139" s="9">
        <v>65.0</v>
      </c>
      <c r="G139" s="9"/>
      <c r="H139" s="28"/>
    </row>
    <row r="140" ht="14.25" customHeight="1">
      <c r="A140" s="23">
        <v>46308.0</v>
      </c>
      <c r="B140" s="8" t="s">
        <v>25</v>
      </c>
      <c r="C140" s="9">
        <v>981.95</v>
      </c>
      <c r="G140" s="9"/>
      <c r="H140" s="28"/>
    </row>
    <row r="141" ht="14.25" customHeight="1">
      <c r="A141" s="23">
        <v>46308.0</v>
      </c>
      <c r="B141" s="8" t="s">
        <v>41</v>
      </c>
      <c r="C141" s="9">
        <v>95.12</v>
      </c>
      <c r="G141" s="9"/>
      <c r="H141" s="28"/>
    </row>
    <row r="142" ht="14.25" customHeight="1">
      <c r="A142" s="23">
        <v>46308.0</v>
      </c>
      <c r="B142" s="8" t="s">
        <v>33</v>
      </c>
      <c r="C142" s="3">
        <v>2831.4</v>
      </c>
      <c r="G142" s="9"/>
      <c r="H142" s="28"/>
    </row>
    <row r="143" ht="14.25" customHeight="1">
      <c r="A143" s="23">
        <v>46308.0</v>
      </c>
      <c r="B143" s="8" t="s">
        <v>42</v>
      </c>
      <c r="C143" s="9">
        <v>50.0</v>
      </c>
      <c r="G143" s="9"/>
      <c r="H143" s="28"/>
    </row>
    <row r="144" ht="14.25" customHeight="1">
      <c r="A144" s="23">
        <v>46310.0</v>
      </c>
      <c r="B144" s="8" t="s">
        <v>29</v>
      </c>
      <c r="C144" s="9">
        <v>132.4</v>
      </c>
      <c r="G144" s="9"/>
      <c r="H144" s="28"/>
    </row>
    <row r="145" ht="14.25" customHeight="1">
      <c r="A145" s="1">
        <v>46315.0</v>
      </c>
      <c r="B145" s="2" t="s">
        <v>23</v>
      </c>
      <c r="C145" s="9">
        <v>6000.0</v>
      </c>
      <c r="G145" s="9"/>
      <c r="H145" s="28"/>
    </row>
    <row r="146" ht="14.25" customHeight="1">
      <c r="A146" s="1">
        <v>46315.0</v>
      </c>
      <c r="B146" s="8" t="s">
        <v>38</v>
      </c>
      <c r="C146" s="9">
        <v>113.31</v>
      </c>
      <c r="G146" s="9"/>
      <c r="H146" s="28"/>
    </row>
    <row r="147" ht="14.25" customHeight="1">
      <c r="A147" s="1">
        <v>46329.0</v>
      </c>
      <c r="B147" s="8" t="s">
        <v>39</v>
      </c>
      <c r="C147" s="9">
        <v>2200.0</v>
      </c>
      <c r="G147" s="9"/>
      <c r="H147" s="28"/>
    </row>
    <row r="148" ht="14.25" customHeight="1">
      <c r="A148" s="23">
        <v>46332.0</v>
      </c>
      <c r="B148" s="8" t="s">
        <v>49</v>
      </c>
      <c r="C148" s="9">
        <v>195.0</v>
      </c>
      <c r="G148" s="9"/>
      <c r="H148" s="28"/>
    </row>
    <row r="149" ht="14.25" customHeight="1">
      <c r="A149" s="23">
        <v>46332.0</v>
      </c>
      <c r="B149" s="8" t="s">
        <v>58</v>
      </c>
      <c r="C149" s="9">
        <v>950.0</v>
      </c>
      <c r="G149" s="9"/>
      <c r="H149" s="28"/>
    </row>
    <row r="150" ht="14.25" customHeight="1">
      <c r="A150" s="23">
        <v>46335.0</v>
      </c>
      <c r="B150" s="8" t="s">
        <v>50</v>
      </c>
      <c r="C150" s="9">
        <v>120.0</v>
      </c>
      <c r="G150" s="9"/>
      <c r="H150" s="28"/>
    </row>
    <row r="151" ht="14.25" customHeight="1">
      <c r="A151" s="23">
        <v>46335.0</v>
      </c>
      <c r="B151" s="8" t="s">
        <v>60</v>
      </c>
      <c r="C151" s="9">
        <v>90.0</v>
      </c>
      <c r="G151" s="9"/>
      <c r="H151" s="28"/>
    </row>
    <row r="152" ht="14.25" customHeight="1">
      <c r="A152" s="1">
        <v>46336.0</v>
      </c>
      <c r="B152" s="2" t="s">
        <v>36</v>
      </c>
      <c r="C152" s="9">
        <v>65.0</v>
      </c>
      <c r="G152" s="9"/>
      <c r="H152" s="28"/>
    </row>
    <row r="153" ht="14.25" customHeight="1">
      <c r="A153" s="23">
        <v>46337.0</v>
      </c>
      <c r="B153" s="8" t="s">
        <v>41</v>
      </c>
      <c r="C153" s="9">
        <v>95.12</v>
      </c>
      <c r="G153" s="9"/>
      <c r="H153" s="28"/>
    </row>
    <row r="154" ht="14.25" customHeight="1">
      <c r="A154" s="23">
        <v>46337.0</v>
      </c>
      <c r="B154" s="8" t="s">
        <v>42</v>
      </c>
      <c r="C154" s="9">
        <v>50.0</v>
      </c>
      <c r="G154" s="9"/>
      <c r="H154" s="28"/>
    </row>
    <row r="155" ht="14.25" customHeight="1">
      <c r="A155" s="23">
        <v>46338.0</v>
      </c>
      <c r="B155" s="8" t="s">
        <v>25</v>
      </c>
      <c r="C155" s="9">
        <v>981.95</v>
      </c>
      <c r="G155" s="9"/>
      <c r="H155" s="28"/>
    </row>
    <row r="156" ht="14.25" customHeight="1">
      <c r="A156" s="23">
        <v>46338.0</v>
      </c>
      <c r="B156" s="8" t="s">
        <v>33</v>
      </c>
      <c r="C156" s="3">
        <v>2831.4</v>
      </c>
      <c r="G156" s="9"/>
      <c r="H156" s="28"/>
    </row>
    <row r="157" ht="14.25" customHeight="1">
      <c r="A157" s="23">
        <v>46342.0</v>
      </c>
      <c r="B157" s="8" t="s">
        <v>29</v>
      </c>
      <c r="C157" s="9">
        <v>132.4</v>
      </c>
      <c r="G157" s="9"/>
      <c r="H157" s="28"/>
    </row>
    <row r="158" ht="14.25" customHeight="1">
      <c r="A158" s="23">
        <v>46346.0</v>
      </c>
      <c r="B158" s="2" t="s">
        <v>23</v>
      </c>
      <c r="C158" s="9">
        <v>5750.0</v>
      </c>
      <c r="G158" s="9"/>
      <c r="H158" s="28"/>
    </row>
    <row r="159" ht="14.25" customHeight="1">
      <c r="A159" s="23">
        <v>46346.0</v>
      </c>
      <c r="B159" s="8" t="s">
        <v>38</v>
      </c>
      <c r="C159" s="9">
        <v>113.31</v>
      </c>
      <c r="G159" s="9"/>
      <c r="H159" s="28"/>
    </row>
    <row r="160" ht="14.25" customHeight="1">
      <c r="A160" s="1">
        <v>46358.0</v>
      </c>
      <c r="B160" s="8" t="s">
        <v>39</v>
      </c>
      <c r="C160" s="9">
        <v>1880.0</v>
      </c>
      <c r="G160" s="9"/>
      <c r="H160" s="28"/>
    </row>
    <row r="161" ht="14.25" customHeight="1">
      <c r="A161" s="1">
        <v>46360.0</v>
      </c>
      <c r="B161" s="8" t="s">
        <v>58</v>
      </c>
      <c r="C161" s="9">
        <v>950.0</v>
      </c>
      <c r="G161" s="9"/>
      <c r="H161" s="28"/>
    </row>
    <row r="162" ht="14.25" customHeight="1">
      <c r="A162" s="23">
        <v>46363.0</v>
      </c>
      <c r="B162" s="8" t="s">
        <v>49</v>
      </c>
      <c r="C162" s="9">
        <v>195.0</v>
      </c>
      <c r="G162" s="9"/>
      <c r="H162" s="28"/>
    </row>
    <row r="163" ht="14.25" customHeight="1">
      <c r="A163" s="1">
        <v>46364.0</v>
      </c>
      <c r="B163" s="8" t="s">
        <v>50</v>
      </c>
      <c r="C163" s="9">
        <v>120.0</v>
      </c>
      <c r="G163" s="9"/>
      <c r="H163" s="28"/>
    </row>
    <row r="164" ht="14.25" customHeight="1">
      <c r="A164" s="23">
        <v>46365.0</v>
      </c>
      <c r="B164" s="8" t="s">
        <v>42</v>
      </c>
      <c r="C164" s="9">
        <v>50.0</v>
      </c>
      <c r="G164" s="9"/>
      <c r="H164" s="28"/>
    </row>
    <row r="165" ht="14.25" customHeight="1">
      <c r="A165" s="1">
        <v>46365.0</v>
      </c>
      <c r="B165" s="8" t="s">
        <v>59</v>
      </c>
      <c r="C165" s="9">
        <v>530.0</v>
      </c>
      <c r="G165" s="9"/>
      <c r="H165" s="28"/>
    </row>
    <row r="166" ht="14.25" customHeight="1">
      <c r="A166" s="1">
        <v>46366.0</v>
      </c>
      <c r="B166" s="2" t="s">
        <v>36</v>
      </c>
      <c r="C166" s="9">
        <v>65.0</v>
      </c>
      <c r="G166" s="9"/>
      <c r="H166" s="28"/>
    </row>
    <row r="167" ht="14.25" customHeight="1">
      <c r="A167" s="23">
        <v>46367.0</v>
      </c>
      <c r="B167" s="8" t="s">
        <v>25</v>
      </c>
      <c r="C167" s="9">
        <v>981.95</v>
      </c>
      <c r="G167" s="9"/>
      <c r="H167" s="28"/>
    </row>
    <row r="168" ht="14.25" customHeight="1">
      <c r="A168" s="23">
        <v>46367.0</v>
      </c>
      <c r="B168" s="8" t="s">
        <v>41</v>
      </c>
      <c r="C168" s="9">
        <v>95.12</v>
      </c>
      <c r="G168" s="9"/>
      <c r="H168" s="28"/>
    </row>
    <row r="169" ht="14.25" customHeight="1">
      <c r="A169" s="23">
        <v>46367.0</v>
      </c>
      <c r="B169" s="8" t="s">
        <v>33</v>
      </c>
      <c r="C169" s="3">
        <v>2831.4</v>
      </c>
      <c r="G169" s="9"/>
      <c r="H169" s="28"/>
    </row>
    <row r="170" ht="14.25" customHeight="1">
      <c r="A170" s="23">
        <v>46367.0</v>
      </c>
      <c r="B170" s="8" t="s">
        <v>62</v>
      </c>
      <c r="C170" s="9">
        <v>2900.0</v>
      </c>
      <c r="G170" s="9"/>
      <c r="H170" s="28"/>
    </row>
    <row r="171" ht="14.25" customHeight="1">
      <c r="A171" s="23">
        <v>46368.0</v>
      </c>
      <c r="B171" s="8" t="s">
        <v>29</v>
      </c>
      <c r="C171" s="9">
        <v>132.4</v>
      </c>
      <c r="G171" s="9"/>
      <c r="H171" s="28"/>
    </row>
    <row r="172" ht="14.25" customHeight="1">
      <c r="A172" s="23">
        <v>46376.0</v>
      </c>
      <c r="B172" s="2" t="s">
        <v>23</v>
      </c>
      <c r="C172" s="9">
        <v>6250.0</v>
      </c>
      <c r="G172" s="9"/>
      <c r="H172" s="28"/>
    </row>
    <row r="173" ht="14.25" customHeight="1">
      <c r="A173" s="23">
        <v>46377.0</v>
      </c>
      <c r="B173" s="8" t="s">
        <v>38</v>
      </c>
      <c r="C173" s="9">
        <v>113.31</v>
      </c>
      <c r="G173" s="9"/>
      <c r="H173" s="28"/>
    </row>
    <row r="174" ht="14.25" customHeight="1">
      <c r="A174" s="23">
        <v>46391.0</v>
      </c>
      <c r="B174" s="8" t="s">
        <v>39</v>
      </c>
      <c r="C174" s="9">
        <v>2000.0</v>
      </c>
      <c r="G174" s="9"/>
      <c r="H174" s="28"/>
    </row>
    <row r="175" ht="14.25" customHeight="1">
      <c r="A175" s="23">
        <v>46393.0</v>
      </c>
      <c r="B175" s="8" t="s">
        <v>49</v>
      </c>
      <c r="C175" s="9">
        <v>281.1</v>
      </c>
      <c r="G175" s="9"/>
      <c r="H175" s="28"/>
    </row>
    <row r="176" ht="14.25" customHeight="1">
      <c r="A176" s="23">
        <v>46393.0</v>
      </c>
      <c r="B176" s="8" t="s">
        <v>58</v>
      </c>
      <c r="C176" s="9">
        <v>950.0</v>
      </c>
      <c r="G176" s="9"/>
      <c r="H176" s="28"/>
    </row>
    <row r="177" ht="14.25" customHeight="1">
      <c r="A177" s="23">
        <v>46395.0</v>
      </c>
      <c r="B177" s="8" t="s">
        <v>50</v>
      </c>
      <c r="C177" s="9">
        <v>120.0</v>
      </c>
      <c r="G177" s="9"/>
      <c r="H177" s="28"/>
    </row>
    <row r="178" ht="14.25" customHeight="1">
      <c r="A178" s="1">
        <v>46397.0</v>
      </c>
      <c r="B178" s="2" t="s">
        <v>36</v>
      </c>
      <c r="C178" s="9">
        <v>65.0</v>
      </c>
      <c r="G178" s="9"/>
      <c r="H178" s="28"/>
    </row>
    <row r="179" ht="14.25" customHeight="1">
      <c r="A179" s="23">
        <v>46398.0</v>
      </c>
      <c r="B179" s="8" t="s">
        <v>41</v>
      </c>
      <c r="C179" s="9">
        <v>105.37</v>
      </c>
      <c r="G179" s="9"/>
      <c r="H179" s="28"/>
    </row>
    <row r="180" ht="14.25" customHeight="1">
      <c r="A180" s="23">
        <v>46399.0</v>
      </c>
      <c r="B180" s="8" t="s">
        <v>25</v>
      </c>
      <c r="C180" s="9">
        <v>983.13</v>
      </c>
      <c r="G180" s="9"/>
      <c r="H180" s="28"/>
    </row>
    <row r="181" ht="14.25" customHeight="1">
      <c r="A181" s="23">
        <v>46400.0</v>
      </c>
      <c r="B181" s="8" t="s">
        <v>42</v>
      </c>
      <c r="C181" s="9">
        <v>50.0</v>
      </c>
      <c r="G181" s="9"/>
      <c r="H181" s="28"/>
    </row>
    <row r="182" ht="14.25" customHeight="1">
      <c r="A182" s="23">
        <v>46403.0</v>
      </c>
      <c r="B182" s="8" t="s">
        <v>29</v>
      </c>
      <c r="C182" s="9">
        <v>135.89</v>
      </c>
      <c r="G182" s="9"/>
      <c r="H182" s="28"/>
    </row>
    <row r="183" ht="14.25" customHeight="1">
      <c r="A183" s="23">
        <v>46407.0</v>
      </c>
      <c r="B183" s="2" t="s">
        <v>23</v>
      </c>
      <c r="C183" s="9">
        <v>7796.0</v>
      </c>
      <c r="G183" s="9"/>
      <c r="H183" s="28"/>
    </row>
    <row r="184" ht="14.25" customHeight="1">
      <c r="A184" s="23">
        <v>46407.0</v>
      </c>
      <c r="B184" s="8" t="s">
        <v>38</v>
      </c>
      <c r="C184" s="9">
        <v>102.36</v>
      </c>
      <c r="G184" s="9"/>
      <c r="H184" s="28"/>
    </row>
    <row r="185" ht="14.25" customHeight="1">
      <c r="A185" s="23">
        <v>46420.0</v>
      </c>
      <c r="B185" s="8" t="s">
        <v>39</v>
      </c>
      <c r="C185" s="9">
        <v>1800.0</v>
      </c>
      <c r="G185" s="9"/>
      <c r="H185" s="28"/>
    </row>
    <row r="186" ht="14.25" customHeight="1">
      <c r="A186" s="23">
        <v>46422.0</v>
      </c>
      <c r="B186" s="8" t="s">
        <v>49</v>
      </c>
      <c r="C186" s="9">
        <v>195.05</v>
      </c>
      <c r="G186" s="9"/>
      <c r="H186" s="28"/>
    </row>
    <row r="187" ht="14.25" customHeight="1">
      <c r="A187" s="23">
        <v>46422.0</v>
      </c>
      <c r="B187" s="8" t="s">
        <v>58</v>
      </c>
      <c r="C187" s="9">
        <v>950.0</v>
      </c>
      <c r="G187" s="9"/>
      <c r="H187" s="28"/>
    </row>
    <row r="188" ht="14.25" customHeight="1">
      <c r="A188" s="23">
        <v>46426.0</v>
      </c>
      <c r="B188" s="8" t="s">
        <v>50</v>
      </c>
      <c r="C188" s="9">
        <v>120.0</v>
      </c>
      <c r="G188" s="9"/>
      <c r="H188" s="28"/>
    </row>
    <row r="189" ht="14.25" customHeight="1">
      <c r="A189" s="1">
        <v>46428.0</v>
      </c>
      <c r="B189" s="2" t="s">
        <v>36</v>
      </c>
      <c r="C189" s="9">
        <v>65.0</v>
      </c>
      <c r="G189" s="9"/>
      <c r="H189" s="28"/>
    </row>
    <row r="190" ht="14.25" customHeight="1">
      <c r="A190" s="23">
        <v>46428.0</v>
      </c>
      <c r="B190" s="8" t="s">
        <v>42</v>
      </c>
      <c r="C190" s="9">
        <v>50.0</v>
      </c>
      <c r="E190" s="2"/>
      <c r="G190" s="9"/>
      <c r="H190" s="28"/>
    </row>
    <row r="191" ht="14.25" customHeight="1">
      <c r="A191" s="23">
        <v>46428.0</v>
      </c>
      <c r="B191" s="8" t="s">
        <v>59</v>
      </c>
      <c r="C191" s="9">
        <v>530.0</v>
      </c>
      <c r="G191" s="9"/>
      <c r="H191" s="28"/>
    </row>
    <row r="192" ht="14.25" customHeight="1">
      <c r="A192" s="23">
        <v>46429.0</v>
      </c>
      <c r="B192" s="8" t="s">
        <v>41</v>
      </c>
      <c r="C192" s="9">
        <v>95.12</v>
      </c>
      <c r="G192" s="9"/>
      <c r="H192" s="28"/>
    </row>
    <row r="193" ht="14.25" customHeight="1">
      <c r="A193" s="23">
        <v>46430.0</v>
      </c>
      <c r="B193" s="8" t="s">
        <v>25</v>
      </c>
      <c r="C193" s="9">
        <v>981.95</v>
      </c>
      <c r="G193" s="9"/>
      <c r="H193" s="28"/>
    </row>
    <row r="194" ht="14.25" customHeight="1">
      <c r="A194" s="23">
        <v>46430.0</v>
      </c>
      <c r="B194" s="23" t="s">
        <v>27</v>
      </c>
      <c r="C194" s="9">
        <v>1407.65</v>
      </c>
      <c r="G194" s="9"/>
      <c r="H194" s="28"/>
    </row>
    <row r="195" ht="14.25" customHeight="1">
      <c r="A195" s="23">
        <v>46433.0</v>
      </c>
      <c r="B195" s="8" t="s">
        <v>29</v>
      </c>
      <c r="C195" s="9">
        <v>132.4</v>
      </c>
      <c r="G195" s="9"/>
      <c r="H195" s="28"/>
    </row>
    <row r="196" ht="14.25" customHeight="1">
      <c r="A196" s="23">
        <v>46437.0</v>
      </c>
      <c r="B196" s="2" t="s">
        <v>23</v>
      </c>
      <c r="C196" s="9">
        <v>6004.07</v>
      </c>
      <c r="G196" s="9"/>
      <c r="H196" s="28"/>
    </row>
    <row r="197" ht="14.25" customHeight="1">
      <c r="A197" s="23">
        <v>46437.0</v>
      </c>
      <c r="B197" s="8" t="s">
        <v>38</v>
      </c>
      <c r="C197" s="9">
        <v>113.31</v>
      </c>
      <c r="G197" s="9"/>
      <c r="H197" s="28"/>
    </row>
    <row r="198" ht="14.25" customHeight="1">
      <c r="A198" s="23">
        <v>46437.0</v>
      </c>
      <c r="B198" s="8" t="s">
        <v>33</v>
      </c>
      <c r="C198" s="9">
        <v>2831.4</v>
      </c>
      <c r="G198" s="9"/>
      <c r="H198" s="28"/>
    </row>
    <row r="199" ht="14.25" customHeight="1">
      <c r="A199" s="23">
        <v>46437.0</v>
      </c>
      <c r="B199" s="8" t="s">
        <v>31</v>
      </c>
      <c r="C199" s="9">
        <v>460.0</v>
      </c>
      <c r="G199" s="9"/>
      <c r="H199" s="28"/>
    </row>
    <row r="200" ht="14.25" customHeight="1">
      <c r="A200" s="1">
        <v>46448.0</v>
      </c>
      <c r="B200" s="8" t="s">
        <v>39</v>
      </c>
      <c r="C200" s="9">
        <v>1771.95</v>
      </c>
      <c r="G200" s="9"/>
      <c r="H200" s="28"/>
    </row>
    <row r="201" ht="14.25" customHeight="1">
      <c r="A201" s="1">
        <v>46451.0</v>
      </c>
      <c r="B201" s="8" t="s">
        <v>6</v>
      </c>
      <c r="C201" s="9">
        <v>64.89</v>
      </c>
      <c r="G201" s="9"/>
      <c r="H201" s="28"/>
    </row>
    <row r="202" ht="14.25" customHeight="1">
      <c r="A202" s="1">
        <v>46451.0</v>
      </c>
      <c r="B202" s="8" t="s">
        <v>63</v>
      </c>
      <c r="C202" s="9">
        <v>141.8</v>
      </c>
      <c r="G202" s="9"/>
      <c r="H202" s="28"/>
    </row>
    <row r="203" ht="14.25" customHeight="1">
      <c r="A203" s="1">
        <v>46452.0</v>
      </c>
      <c r="B203" s="8" t="s">
        <v>49</v>
      </c>
      <c r="C203" s="9">
        <v>136.15</v>
      </c>
      <c r="G203" s="9"/>
      <c r="H203" s="28"/>
    </row>
    <row r="204" ht="14.25" customHeight="1">
      <c r="A204" s="1">
        <v>46452.0</v>
      </c>
      <c r="B204" s="8" t="s">
        <v>58</v>
      </c>
      <c r="C204" s="9">
        <v>800.0</v>
      </c>
      <c r="G204" s="9"/>
      <c r="H204" s="28"/>
    </row>
    <row r="205" ht="14.25" customHeight="1">
      <c r="A205" s="1">
        <v>46455.0</v>
      </c>
      <c r="B205" s="8" t="s">
        <v>40</v>
      </c>
      <c r="C205" s="9">
        <v>57.89</v>
      </c>
      <c r="G205" s="9"/>
      <c r="H205" s="28"/>
    </row>
    <row r="206" ht="14.25" customHeight="1">
      <c r="A206" s="1">
        <v>46456.0</v>
      </c>
      <c r="B206" s="2" t="s">
        <v>37</v>
      </c>
      <c r="C206" s="9">
        <v>1336.73</v>
      </c>
      <c r="G206" s="9"/>
      <c r="H206" s="28"/>
    </row>
    <row r="207" ht="14.25" customHeight="1">
      <c r="A207" s="1">
        <v>46456.0</v>
      </c>
      <c r="B207" s="2" t="s">
        <v>36</v>
      </c>
      <c r="C207" s="9">
        <v>65.0</v>
      </c>
      <c r="G207" s="9"/>
      <c r="H207" s="28"/>
    </row>
    <row r="208" ht="14.25" customHeight="1">
      <c r="A208" s="1">
        <v>46457.0</v>
      </c>
      <c r="B208" s="8" t="s">
        <v>41</v>
      </c>
      <c r="C208" s="9">
        <v>86.15</v>
      </c>
      <c r="G208" s="9"/>
      <c r="H208" s="28"/>
    </row>
    <row r="209" ht="14.25" customHeight="1">
      <c r="A209" s="1">
        <v>46457.0</v>
      </c>
      <c r="B209" s="8" t="s">
        <v>42</v>
      </c>
      <c r="C209" s="9">
        <v>50.0</v>
      </c>
      <c r="G209" s="9"/>
      <c r="H209" s="28"/>
    </row>
    <row r="210" ht="14.25" customHeight="1">
      <c r="A210" s="23">
        <v>46458.0</v>
      </c>
      <c r="B210" s="8" t="s">
        <v>25</v>
      </c>
      <c r="C210" s="9">
        <v>981.22</v>
      </c>
      <c r="G210" s="9"/>
      <c r="H210" s="28"/>
    </row>
    <row r="211" ht="14.25" customHeight="1">
      <c r="A211" s="23">
        <v>46458.0</v>
      </c>
      <c r="B211" s="8" t="s">
        <v>33</v>
      </c>
      <c r="C211" s="3">
        <v>2831.4</v>
      </c>
      <c r="G211" s="9"/>
      <c r="H211" s="28"/>
    </row>
    <row r="212" ht="14.25" customHeight="1">
      <c r="A212" s="1">
        <v>46462.0</v>
      </c>
      <c r="B212" s="8" t="s">
        <v>29</v>
      </c>
      <c r="C212" s="9">
        <v>132.4</v>
      </c>
      <c r="G212" s="9"/>
      <c r="H212" s="28"/>
    </row>
    <row r="213" ht="14.25" customHeight="1">
      <c r="A213" s="1">
        <v>46466.0</v>
      </c>
      <c r="B213" s="2" t="s">
        <v>23</v>
      </c>
      <c r="C213" s="9">
        <v>7494.55</v>
      </c>
      <c r="G213" s="9"/>
      <c r="H213" s="28"/>
    </row>
    <row r="214" ht="14.25" customHeight="1">
      <c r="A214" s="1">
        <v>46466.0</v>
      </c>
      <c r="B214" s="8" t="s">
        <v>38</v>
      </c>
      <c r="C214" s="9">
        <v>87.84</v>
      </c>
      <c r="G214" s="9"/>
      <c r="H214" s="28"/>
    </row>
    <row r="215" ht="14.25" customHeight="1">
      <c r="A215" s="1">
        <v>46477.0</v>
      </c>
      <c r="B215" s="8" t="s">
        <v>34</v>
      </c>
      <c r="C215" s="9">
        <v>35.62</v>
      </c>
      <c r="G215" s="9"/>
      <c r="H215" s="28"/>
    </row>
    <row r="216" ht="14.25" customHeight="1">
      <c r="A216" s="23"/>
      <c r="B216" s="23"/>
      <c r="C216" s="9"/>
      <c r="G216" s="9"/>
      <c r="H216" s="28"/>
    </row>
    <row r="217" ht="14.25" customHeight="1">
      <c r="A217" s="23"/>
      <c r="B217" s="23"/>
      <c r="C217" s="9"/>
      <c r="G217" s="9"/>
      <c r="H217" s="28"/>
    </row>
    <row r="218" ht="14.25" customHeight="1">
      <c r="A218" s="23"/>
      <c r="B218" s="23"/>
      <c r="C218" s="9"/>
      <c r="G218" s="9"/>
      <c r="H218" s="28"/>
    </row>
    <row r="219" ht="14.25" customHeight="1">
      <c r="A219" s="23"/>
      <c r="B219" s="23"/>
      <c r="C219" s="9"/>
      <c r="G219" s="9"/>
      <c r="H219" s="28"/>
    </row>
    <row r="220" ht="14.25" customHeight="1">
      <c r="A220" s="23"/>
      <c r="B220" s="23"/>
      <c r="C220" s="9"/>
      <c r="G220" s="9"/>
      <c r="H220" s="28"/>
    </row>
    <row r="221" ht="14.25" customHeight="1">
      <c r="A221" s="23"/>
      <c r="B221" s="23"/>
      <c r="C221" s="9"/>
      <c r="G221" s="9"/>
      <c r="H221" s="28"/>
    </row>
    <row r="222" ht="14.25" customHeight="1">
      <c r="A222" s="23"/>
      <c r="B222" s="23"/>
      <c r="C222" s="9"/>
      <c r="G222" s="9"/>
      <c r="H222" s="28"/>
    </row>
    <row r="223" ht="14.25" customHeight="1">
      <c r="A223" s="23"/>
      <c r="B223" s="23"/>
      <c r="C223" s="9"/>
      <c r="G223" s="9"/>
      <c r="H223" s="28"/>
    </row>
    <row r="224" ht="14.25" customHeight="1">
      <c r="A224" s="23"/>
      <c r="B224" s="23"/>
      <c r="C224" s="9"/>
      <c r="G224" s="9"/>
      <c r="H224" s="28"/>
    </row>
    <row r="225" ht="14.25" customHeight="1">
      <c r="A225" s="23"/>
      <c r="B225" s="23"/>
      <c r="C225" s="9"/>
      <c r="G225" s="9"/>
      <c r="H225" s="28"/>
    </row>
    <row r="226" ht="14.25" customHeight="1">
      <c r="A226" s="23"/>
      <c r="B226" s="23"/>
      <c r="C226" s="9"/>
      <c r="G226" s="9"/>
      <c r="H226" s="28"/>
    </row>
    <row r="227" ht="14.25" customHeight="1">
      <c r="A227" s="23"/>
      <c r="B227" s="23"/>
      <c r="C227" s="9"/>
      <c r="G227" s="9"/>
      <c r="H227" s="28"/>
    </row>
    <row r="228" ht="14.25" customHeight="1">
      <c r="A228" s="23"/>
      <c r="B228" s="23"/>
      <c r="C228" s="9"/>
      <c r="G228" s="9"/>
      <c r="H228" s="28"/>
    </row>
    <row r="229" ht="14.25" customHeight="1">
      <c r="A229" s="23"/>
      <c r="B229" s="23"/>
      <c r="C229" s="9"/>
      <c r="G229" s="9"/>
      <c r="H229" s="28"/>
    </row>
    <row r="230" ht="14.25" customHeight="1">
      <c r="A230" s="23"/>
      <c r="B230" s="23"/>
      <c r="C230" s="9"/>
      <c r="G230" s="9"/>
      <c r="H230" s="28"/>
    </row>
    <row r="231" ht="14.25" customHeight="1">
      <c r="A231" s="23"/>
      <c r="B231" s="23"/>
      <c r="C231" s="9"/>
      <c r="G231" s="9"/>
      <c r="H231" s="28"/>
    </row>
    <row r="232" ht="14.25" customHeight="1">
      <c r="A232" s="23"/>
      <c r="B232" s="23"/>
      <c r="C232" s="9"/>
      <c r="G232" s="9"/>
      <c r="H232" s="28"/>
    </row>
    <row r="233" ht="14.25" customHeight="1">
      <c r="A233" s="23"/>
      <c r="B233" s="23"/>
      <c r="C233" s="9"/>
      <c r="G233" s="9"/>
      <c r="H233" s="28"/>
    </row>
    <row r="234" ht="14.25" customHeight="1">
      <c r="A234" s="23"/>
      <c r="B234" s="23"/>
      <c r="C234" s="9"/>
      <c r="G234" s="9"/>
      <c r="H234" s="28"/>
    </row>
    <row r="235" ht="14.25" customHeight="1">
      <c r="A235" s="23"/>
      <c r="B235" s="23"/>
      <c r="C235" s="9"/>
      <c r="G235" s="9"/>
      <c r="H235" s="28"/>
    </row>
    <row r="236" ht="14.25" customHeight="1">
      <c r="A236" s="23"/>
      <c r="B236" s="23"/>
      <c r="C236" s="9"/>
      <c r="G236" s="9"/>
      <c r="H236" s="28"/>
    </row>
    <row r="237" ht="14.25" customHeight="1">
      <c r="A237" s="23"/>
      <c r="B237" s="23"/>
      <c r="C237" s="9"/>
      <c r="G237" s="9"/>
      <c r="H237" s="28"/>
    </row>
    <row r="238" ht="14.25" customHeight="1">
      <c r="A238" s="23"/>
      <c r="B238" s="23"/>
      <c r="C238" s="9"/>
      <c r="G238" s="9"/>
      <c r="H238" s="28"/>
    </row>
    <row r="239" ht="14.25" customHeight="1">
      <c r="A239" s="23"/>
      <c r="B239" s="23"/>
      <c r="C239" s="9"/>
      <c r="G239" s="9"/>
      <c r="H239" s="28"/>
    </row>
    <row r="240" ht="14.25" customHeight="1">
      <c r="A240" s="23"/>
      <c r="B240" s="23"/>
      <c r="C240" s="9"/>
      <c r="G240" s="9"/>
      <c r="H240" s="28"/>
    </row>
    <row r="241" ht="14.25" customHeight="1">
      <c r="A241" s="23"/>
      <c r="B241" s="23"/>
      <c r="C241" s="9"/>
      <c r="G241" s="9"/>
      <c r="H241" s="28"/>
    </row>
    <row r="242" ht="14.25" customHeight="1">
      <c r="A242" s="23"/>
      <c r="B242" s="23"/>
      <c r="C242" s="9"/>
      <c r="G242" s="9"/>
      <c r="H242" s="28"/>
    </row>
    <row r="243" ht="14.25" customHeight="1">
      <c r="A243" s="23"/>
      <c r="B243" s="23"/>
      <c r="C243" s="9"/>
      <c r="G243" s="9"/>
      <c r="H243" s="28"/>
    </row>
    <row r="244" ht="14.25" customHeight="1">
      <c r="A244" s="23"/>
      <c r="B244" s="23"/>
      <c r="C244" s="9"/>
      <c r="G244" s="9"/>
      <c r="H244" s="28"/>
    </row>
    <row r="245" ht="14.25" customHeight="1">
      <c r="A245" s="23"/>
      <c r="B245" s="23"/>
      <c r="C245" s="9"/>
      <c r="G245" s="9"/>
      <c r="H245" s="28"/>
    </row>
    <row r="246" ht="14.25" customHeight="1">
      <c r="A246" s="23"/>
      <c r="B246" s="23"/>
      <c r="C246" s="9"/>
      <c r="G246" s="9"/>
      <c r="H246" s="28"/>
    </row>
    <row r="247" ht="14.25" customHeight="1">
      <c r="A247" s="23"/>
      <c r="B247" s="23"/>
      <c r="C247" s="9"/>
      <c r="G247" s="9"/>
      <c r="H247" s="28"/>
    </row>
    <row r="248" ht="14.25" customHeight="1">
      <c r="A248" s="23"/>
      <c r="B248" s="23"/>
      <c r="C248" s="9"/>
      <c r="G248" s="9"/>
      <c r="H248" s="28"/>
    </row>
    <row r="249" ht="14.25" customHeight="1">
      <c r="A249" s="23"/>
      <c r="B249" s="23"/>
      <c r="C249" s="9"/>
      <c r="G249" s="9"/>
      <c r="H249" s="28"/>
    </row>
    <row r="250" ht="14.25" customHeight="1">
      <c r="A250" s="23"/>
      <c r="B250" s="23"/>
      <c r="C250" s="9"/>
      <c r="G250" s="9"/>
      <c r="H250" s="28"/>
    </row>
    <row r="251" ht="14.25" customHeight="1">
      <c r="A251" s="23"/>
      <c r="B251" s="23"/>
      <c r="C251" s="9"/>
      <c r="G251" s="9"/>
      <c r="H251" s="28"/>
    </row>
    <row r="252" ht="14.25" customHeight="1">
      <c r="A252" s="23"/>
      <c r="B252" s="23"/>
      <c r="C252" s="9"/>
      <c r="G252" s="9"/>
      <c r="H252" s="28"/>
    </row>
    <row r="253" ht="14.25" customHeight="1">
      <c r="A253" s="23"/>
      <c r="B253" s="23"/>
      <c r="C253" s="9"/>
      <c r="G253" s="9"/>
      <c r="H253" s="28"/>
    </row>
    <row r="254" ht="14.25" customHeight="1">
      <c r="A254" s="23"/>
      <c r="B254" s="23"/>
      <c r="C254" s="9"/>
      <c r="G254" s="9"/>
      <c r="H254" s="28"/>
    </row>
    <row r="255" ht="14.25" customHeight="1">
      <c r="A255" s="23"/>
      <c r="B255" s="23"/>
      <c r="C255" s="9"/>
      <c r="G255" s="9"/>
      <c r="H255" s="28"/>
    </row>
    <row r="256" ht="14.25" customHeight="1">
      <c r="A256" s="23"/>
      <c r="B256" s="23"/>
      <c r="C256" s="9"/>
      <c r="G256" s="9"/>
      <c r="H256" s="28"/>
    </row>
    <row r="257" ht="14.25" customHeight="1">
      <c r="A257" s="23"/>
      <c r="B257" s="23"/>
      <c r="C257" s="9"/>
      <c r="G257" s="9"/>
      <c r="H257" s="28"/>
    </row>
    <row r="258" ht="14.25" customHeight="1">
      <c r="A258" s="23"/>
      <c r="B258" s="23"/>
      <c r="C258" s="9"/>
      <c r="G258" s="9"/>
      <c r="H258" s="28"/>
    </row>
    <row r="259" ht="14.25" customHeight="1">
      <c r="A259" s="23"/>
      <c r="B259" s="23"/>
      <c r="C259" s="9"/>
      <c r="G259" s="9"/>
      <c r="H259" s="28"/>
    </row>
    <row r="260" ht="14.25" customHeight="1">
      <c r="A260" s="23"/>
      <c r="B260" s="23"/>
      <c r="C260" s="9"/>
      <c r="G260" s="9"/>
      <c r="H260" s="28"/>
    </row>
    <row r="261" ht="14.25" customHeight="1">
      <c r="A261" s="23"/>
      <c r="B261" s="23"/>
      <c r="C261" s="9"/>
      <c r="G261" s="9"/>
      <c r="H261" s="28"/>
    </row>
    <row r="262" ht="14.25" customHeight="1">
      <c r="A262" s="23"/>
      <c r="B262" s="23"/>
      <c r="C262" s="9"/>
      <c r="G262" s="9"/>
      <c r="H262" s="28"/>
    </row>
    <row r="263" ht="14.25" customHeight="1">
      <c r="A263" s="23"/>
      <c r="B263" s="23"/>
      <c r="C263" s="9"/>
      <c r="G263" s="9"/>
      <c r="H263" s="28"/>
    </row>
    <row r="264" ht="14.25" customHeight="1">
      <c r="A264" s="23"/>
      <c r="B264" s="23"/>
      <c r="C264" s="9"/>
      <c r="G264" s="9"/>
      <c r="H264" s="28"/>
    </row>
    <row r="265" ht="14.25" customHeight="1">
      <c r="A265" s="23"/>
      <c r="B265" s="23"/>
      <c r="C265" s="9"/>
      <c r="G265" s="9"/>
      <c r="H265" s="28"/>
    </row>
    <row r="266" ht="14.25" customHeight="1">
      <c r="A266" s="23"/>
      <c r="B266" s="23"/>
      <c r="C266" s="9"/>
      <c r="G266" s="9"/>
      <c r="H266" s="28"/>
    </row>
    <row r="267" ht="14.25" customHeight="1">
      <c r="A267" s="23"/>
      <c r="B267" s="23"/>
      <c r="C267" s="9"/>
      <c r="G267" s="9"/>
      <c r="H267" s="28"/>
    </row>
    <row r="268" ht="14.25" customHeight="1">
      <c r="A268" s="23"/>
      <c r="B268" s="23"/>
      <c r="C268" s="9"/>
      <c r="G268" s="9"/>
      <c r="H268" s="28"/>
    </row>
    <row r="269" ht="14.25" customHeight="1">
      <c r="A269" s="23"/>
      <c r="B269" s="23"/>
      <c r="C269" s="9"/>
      <c r="G269" s="9"/>
      <c r="H269" s="28"/>
    </row>
    <row r="270" ht="14.25" customHeight="1">
      <c r="A270" s="23"/>
      <c r="B270" s="23"/>
      <c r="C270" s="9"/>
      <c r="G270" s="9"/>
      <c r="H270" s="28"/>
    </row>
    <row r="271" ht="14.25" customHeight="1">
      <c r="A271" s="23"/>
      <c r="B271" s="23"/>
      <c r="C271" s="9"/>
      <c r="G271" s="9"/>
      <c r="H271" s="28"/>
    </row>
    <row r="272" ht="14.25" customHeight="1">
      <c r="A272" s="23"/>
      <c r="B272" s="23"/>
      <c r="C272" s="9"/>
      <c r="G272" s="9"/>
      <c r="H272" s="28"/>
    </row>
    <row r="273" ht="14.25" customHeight="1">
      <c r="A273" s="23"/>
      <c r="B273" s="23"/>
      <c r="C273" s="9"/>
      <c r="G273" s="9"/>
      <c r="H273" s="28"/>
    </row>
    <row r="274" ht="14.25" customHeight="1">
      <c r="A274" s="23"/>
      <c r="B274" s="23"/>
      <c r="C274" s="9"/>
      <c r="G274" s="9"/>
      <c r="H274" s="28"/>
    </row>
    <row r="275" ht="14.25" customHeight="1">
      <c r="A275" s="23"/>
      <c r="B275" s="23"/>
      <c r="C275" s="9"/>
      <c r="G275" s="9"/>
      <c r="H275" s="28"/>
    </row>
    <row r="276" ht="14.25" customHeight="1">
      <c r="A276" s="23"/>
      <c r="B276" s="23"/>
      <c r="C276" s="9"/>
      <c r="G276" s="9"/>
      <c r="H276" s="28"/>
    </row>
    <row r="277" ht="14.25" customHeight="1">
      <c r="A277" s="23"/>
      <c r="B277" s="23"/>
      <c r="C277" s="9"/>
      <c r="G277" s="9"/>
      <c r="H277" s="28"/>
    </row>
    <row r="278" ht="14.25" customHeight="1">
      <c r="A278" s="23"/>
      <c r="B278" s="23"/>
      <c r="C278" s="9"/>
      <c r="G278" s="9"/>
      <c r="H278" s="28"/>
    </row>
    <row r="279" ht="14.25" customHeight="1">
      <c r="A279" s="23"/>
      <c r="B279" s="23"/>
      <c r="C279" s="9"/>
      <c r="G279" s="9"/>
      <c r="H279" s="28"/>
    </row>
    <row r="280" ht="14.25" customHeight="1">
      <c r="A280" s="23"/>
      <c r="B280" s="23"/>
      <c r="C280" s="9"/>
      <c r="G280" s="9"/>
      <c r="H280" s="28"/>
    </row>
    <row r="281" ht="14.25" customHeight="1">
      <c r="A281" s="23"/>
      <c r="B281" s="23"/>
      <c r="C281" s="9"/>
      <c r="G281" s="9"/>
      <c r="H281" s="28"/>
    </row>
    <row r="282" ht="14.25" customHeight="1">
      <c r="A282" s="23"/>
      <c r="B282" s="23"/>
      <c r="C282" s="9"/>
      <c r="G282" s="9"/>
      <c r="H282" s="28"/>
    </row>
    <row r="283" ht="14.25" customHeight="1">
      <c r="A283" s="23"/>
      <c r="B283" s="23"/>
      <c r="C283" s="9"/>
      <c r="G283" s="9"/>
      <c r="H283" s="28"/>
    </row>
    <row r="284" ht="14.25" customHeight="1">
      <c r="A284" s="23"/>
      <c r="B284" s="23"/>
      <c r="C284" s="9"/>
      <c r="G284" s="9"/>
      <c r="H284" s="28"/>
    </row>
    <row r="285" ht="14.25" customHeight="1">
      <c r="A285" s="23"/>
      <c r="B285" s="23"/>
      <c r="C285" s="9"/>
      <c r="G285" s="9"/>
      <c r="H285" s="28"/>
    </row>
    <row r="286" ht="14.25" customHeight="1">
      <c r="A286" s="23"/>
      <c r="B286" s="23"/>
      <c r="C286" s="9"/>
      <c r="G286" s="9"/>
      <c r="H286" s="28"/>
    </row>
    <row r="287" ht="14.25" customHeight="1">
      <c r="A287" s="23"/>
      <c r="B287" s="23"/>
      <c r="C287" s="9"/>
      <c r="G287" s="9"/>
      <c r="H287" s="28"/>
    </row>
    <row r="288" ht="14.25" customHeight="1">
      <c r="A288" s="23"/>
      <c r="B288" s="23"/>
      <c r="C288" s="9"/>
      <c r="G288" s="9"/>
      <c r="H288" s="28"/>
    </row>
    <row r="289" ht="14.25" customHeight="1">
      <c r="A289" s="23"/>
      <c r="B289" s="23"/>
      <c r="C289" s="9"/>
      <c r="G289" s="9"/>
      <c r="H289" s="28"/>
    </row>
    <row r="290" ht="14.25" customHeight="1">
      <c r="A290" s="23"/>
      <c r="B290" s="23"/>
      <c r="C290" s="9"/>
      <c r="G290" s="9"/>
      <c r="H290" s="28"/>
    </row>
    <row r="291" ht="14.25" customHeight="1">
      <c r="A291" s="23"/>
      <c r="B291" s="23"/>
      <c r="C291" s="9"/>
      <c r="G291" s="9"/>
      <c r="H291" s="28"/>
    </row>
    <row r="292" ht="14.25" customHeight="1">
      <c r="A292" s="23"/>
      <c r="B292" s="23"/>
      <c r="C292" s="9"/>
      <c r="G292" s="9"/>
      <c r="H292" s="28"/>
    </row>
    <row r="293" ht="14.25" customHeight="1">
      <c r="A293" s="23"/>
      <c r="B293" s="23"/>
      <c r="C293" s="9"/>
      <c r="G293" s="9"/>
      <c r="H293" s="28"/>
    </row>
    <row r="294" ht="14.25" customHeight="1">
      <c r="A294" s="23"/>
      <c r="B294" s="23"/>
      <c r="C294" s="9"/>
      <c r="G294" s="9"/>
      <c r="H294" s="28"/>
    </row>
    <row r="295" ht="14.25" customHeight="1">
      <c r="A295" s="23"/>
      <c r="B295" s="23"/>
      <c r="C295" s="9"/>
      <c r="G295" s="9"/>
      <c r="H295" s="28"/>
    </row>
    <row r="296" ht="14.25" customHeight="1">
      <c r="A296" s="23"/>
      <c r="B296" s="23"/>
      <c r="C296" s="9"/>
      <c r="G296" s="9"/>
      <c r="H296" s="28"/>
    </row>
    <row r="297" ht="14.25" customHeight="1">
      <c r="A297" s="23"/>
      <c r="B297" s="23"/>
      <c r="C297" s="9"/>
      <c r="G297" s="9"/>
      <c r="H297" s="28"/>
    </row>
    <row r="298" ht="14.25" customHeight="1">
      <c r="A298" s="23"/>
      <c r="B298" s="23"/>
      <c r="C298" s="9"/>
      <c r="G298" s="9"/>
      <c r="H298" s="28"/>
    </row>
    <row r="299" ht="14.25" customHeight="1">
      <c r="A299" s="23"/>
      <c r="B299" s="23"/>
      <c r="C299" s="9"/>
      <c r="G299" s="9"/>
      <c r="H299" s="28"/>
    </row>
    <row r="300" ht="14.25" customHeight="1">
      <c r="A300" s="23"/>
      <c r="B300" s="23"/>
      <c r="C300" s="9"/>
      <c r="G300" s="9"/>
      <c r="H300" s="28"/>
    </row>
    <row r="301" ht="14.25" customHeight="1">
      <c r="A301" s="23"/>
      <c r="B301" s="23"/>
      <c r="C301" s="9"/>
      <c r="G301" s="9"/>
      <c r="H301" s="28"/>
    </row>
    <row r="302" ht="14.25" customHeight="1">
      <c r="A302" s="23"/>
      <c r="B302" s="23"/>
      <c r="C302" s="9"/>
      <c r="G302" s="9"/>
      <c r="H302" s="28"/>
    </row>
    <row r="303" ht="14.25" customHeight="1">
      <c r="A303" s="23"/>
      <c r="B303" s="23"/>
      <c r="C303" s="9"/>
      <c r="G303" s="9"/>
      <c r="H303" s="28"/>
    </row>
    <row r="304" ht="14.25" customHeight="1">
      <c r="A304" s="23"/>
      <c r="B304" s="23"/>
      <c r="C304" s="9"/>
      <c r="G304" s="9"/>
      <c r="H304" s="28"/>
    </row>
    <row r="305" ht="14.25" customHeight="1">
      <c r="A305" s="23"/>
      <c r="B305" s="23"/>
      <c r="C305" s="9"/>
      <c r="G305" s="9"/>
      <c r="H305" s="28"/>
    </row>
    <row r="306" ht="14.25" customHeight="1">
      <c r="A306" s="23"/>
      <c r="B306" s="23"/>
      <c r="C306" s="9"/>
      <c r="G306" s="9"/>
      <c r="H306" s="28"/>
    </row>
    <row r="307" ht="14.25" customHeight="1">
      <c r="A307" s="23"/>
      <c r="B307" s="23"/>
      <c r="C307" s="9"/>
      <c r="G307" s="9"/>
      <c r="H307" s="28"/>
    </row>
    <row r="308" ht="14.25" customHeight="1">
      <c r="A308" s="23"/>
      <c r="B308" s="23"/>
      <c r="C308" s="9"/>
      <c r="G308" s="9"/>
      <c r="H308" s="28"/>
    </row>
    <row r="309" ht="14.25" customHeight="1">
      <c r="A309" s="23"/>
      <c r="B309" s="23"/>
      <c r="C309" s="9"/>
      <c r="G309" s="9"/>
      <c r="H309" s="28"/>
    </row>
    <row r="310" ht="14.25" customHeight="1">
      <c r="A310" s="23"/>
      <c r="B310" s="23"/>
      <c r="C310" s="9"/>
      <c r="G310" s="9"/>
      <c r="H310" s="28"/>
    </row>
    <row r="311" ht="14.25" customHeight="1">
      <c r="A311" s="23"/>
      <c r="B311" s="23"/>
      <c r="C311" s="9"/>
      <c r="G311" s="9"/>
      <c r="H311" s="28"/>
    </row>
    <row r="312" ht="14.25" customHeight="1">
      <c r="A312" s="23"/>
      <c r="B312" s="23"/>
      <c r="C312" s="9"/>
      <c r="G312" s="9"/>
      <c r="H312" s="28"/>
    </row>
    <row r="313" ht="14.25" customHeight="1">
      <c r="A313" s="23"/>
      <c r="B313" s="23"/>
      <c r="C313" s="9"/>
      <c r="G313" s="9"/>
      <c r="H313" s="28"/>
    </row>
    <row r="314" ht="14.25" customHeight="1">
      <c r="A314" s="23"/>
      <c r="B314" s="23"/>
      <c r="C314" s="9"/>
      <c r="G314" s="9"/>
      <c r="H314" s="28"/>
    </row>
    <row r="315" ht="14.25" customHeight="1">
      <c r="A315" s="23"/>
      <c r="B315" s="23"/>
      <c r="C315" s="9"/>
      <c r="G315" s="9"/>
      <c r="H315" s="28"/>
    </row>
    <row r="316" ht="14.25" customHeight="1">
      <c r="A316" s="29"/>
      <c r="B316" s="29"/>
      <c r="C316" s="30"/>
      <c r="G316" s="9"/>
      <c r="H316" s="28"/>
    </row>
    <row r="317" ht="14.25" customHeight="1">
      <c r="A317" s="29"/>
      <c r="B317" s="29"/>
      <c r="C317" s="30"/>
      <c r="G317" s="9"/>
      <c r="H317" s="28"/>
    </row>
    <row r="318" ht="14.25" customHeight="1">
      <c r="A318" s="29"/>
      <c r="B318" s="29"/>
      <c r="C318" s="30"/>
      <c r="G318" s="9"/>
      <c r="H318" s="28"/>
    </row>
    <row r="319" ht="14.25" customHeight="1">
      <c r="A319" s="29"/>
      <c r="B319" s="29"/>
      <c r="C319" s="30"/>
      <c r="G319" s="9"/>
      <c r="H319" s="28"/>
    </row>
    <row r="320" ht="14.25" customHeight="1">
      <c r="A320" s="29"/>
      <c r="B320" s="29"/>
      <c r="C320" s="30"/>
      <c r="G320" s="9"/>
      <c r="H320" s="28"/>
    </row>
    <row r="321" ht="14.25" customHeight="1">
      <c r="A321" s="29"/>
      <c r="B321" s="29"/>
      <c r="C321" s="30"/>
      <c r="G321" s="9"/>
      <c r="H321" s="28"/>
    </row>
    <row r="322" ht="14.25" customHeight="1">
      <c r="A322" s="29"/>
      <c r="B322" s="29"/>
      <c r="C322" s="30"/>
      <c r="G322" s="9"/>
      <c r="H322" s="28"/>
    </row>
    <row r="323" ht="14.25" customHeight="1">
      <c r="A323" s="29"/>
      <c r="B323" s="29"/>
      <c r="C323" s="30"/>
      <c r="G323" s="9"/>
      <c r="H323" s="28"/>
    </row>
    <row r="324" ht="14.25" customHeight="1">
      <c r="A324" s="29"/>
      <c r="B324" s="29"/>
      <c r="C324" s="30"/>
      <c r="G324" s="9"/>
      <c r="H324" s="28"/>
    </row>
    <row r="325" ht="14.25" customHeight="1">
      <c r="A325" s="29"/>
      <c r="B325" s="29"/>
      <c r="C325" s="30"/>
      <c r="G325" s="9"/>
      <c r="H325" s="28"/>
    </row>
    <row r="326" ht="14.25" customHeight="1">
      <c r="A326" s="29"/>
      <c r="B326" s="29"/>
      <c r="C326" s="30"/>
      <c r="G326" s="9"/>
      <c r="H326" s="28"/>
    </row>
    <row r="327" ht="14.25" customHeight="1">
      <c r="A327" s="29"/>
      <c r="B327" s="29"/>
      <c r="C327" s="30"/>
      <c r="G327" s="9"/>
      <c r="H327" s="28"/>
    </row>
    <row r="328" ht="14.25" customHeight="1">
      <c r="A328" s="29"/>
      <c r="B328" s="29"/>
      <c r="C328" s="30"/>
      <c r="G328" s="9"/>
      <c r="H328" s="28"/>
    </row>
    <row r="329" ht="14.25" customHeight="1">
      <c r="A329" s="29"/>
      <c r="B329" s="29"/>
      <c r="C329" s="30"/>
      <c r="G329" s="9"/>
      <c r="H329" s="28"/>
    </row>
    <row r="330" ht="14.25" customHeight="1">
      <c r="A330" s="29"/>
      <c r="B330" s="29"/>
      <c r="C330" s="30"/>
      <c r="G330" s="9"/>
      <c r="H330" s="28"/>
    </row>
    <row r="331" ht="14.25" customHeight="1">
      <c r="A331" s="29"/>
      <c r="B331" s="29"/>
      <c r="C331" s="30"/>
      <c r="G331" s="9"/>
      <c r="H331" s="28"/>
    </row>
    <row r="332" ht="14.25" customHeight="1">
      <c r="A332" s="29"/>
      <c r="B332" s="29"/>
      <c r="C332" s="30"/>
      <c r="G332" s="9"/>
      <c r="H332" s="28"/>
    </row>
    <row r="333" ht="14.25" customHeight="1">
      <c r="A333" s="29"/>
      <c r="B333" s="29"/>
      <c r="C333" s="30"/>
      <c r="G333" s="9"/>
      <c r="H333" s="28"/>
    </row>
    <row r="334" ht="14.25" customHeight="1">
      <c r="A334" s="29"/>
      <c r="B334" s="29"/>
      <c r="C334" s="30"/>
      <c r="G334" s="9"/>
      <c r="H334" s="28"/>
    </row>
    <row r="335" ht="14.25" customHeight="1">
      <c r="A335" s="29"/>
      <c r="B335" s="29"/>
      <c r="C335" s="30"/>
      <c r="G335" s="9"/>
      <c r="H335" s="28"/>
    </row>
    <row r="336" ht="14.25" customHeight="1">
      <c r="A336" s="29"/>
      <c r="B336" s="29"/>
      <c r="C336" s="30"/>
      <c r="G336" s="9"/>
      <c r="H336" s="28"/>
    </row>
    <row r="337" ht="14.25" customHeight="1">
      <c r="A337" s="29"/>
      <c r="B337" s="29"/>
      <c r="C337" s="30"/>
      <c r="G337" s="9"/>
      <c r="H337" s="28"/>
    </row>
    <row r="338" ht="14.25" customHeight="1">
      <c r="A338" s="29"/>
      <c r="B338" s="29"/>
      <c r="C338" s="30"/>
      <c r="G338" s="9"/>
      <c r="H338" s="28"/>
    </row>
    <row r="339" ht="14.25" customHeight="1">
      <c r="A339" s="29"/>
      <c r="B339" s="29"/>
      <c r="C339" s="30"/>
      <c r="G339" s="9"/>
      <c r="H339" s="28"/>
    </row>
    <row r="340" ht="14.25" customHeight="1">
      <c r="A340" s="29"/>
      <c r="B340" s="29"/>
      <c r="C340" s="30"/>
      <c r="G340" s="9"/>
      <c r="H340" s="28"/>
    </row>
    <row r="341" ht="14.25" customHeight="1">
      <c r="A341" s="29"/>
      <c r="B341" s="29"/>
      <c r="C341" s="30"/>
      <c r="G341" s="9"/>
      <c r="H341" s="28"/>
    </row>
    <row r="342" ht="14.25" customHeight="1">
      <c r="A342" s="29"/>
      <c r="B342" s="29"/>
      <c r="C342" s="30"/>
      <c r="G342" s="9"/>
      <c r="H342" s="28"/>
    </row>
    <row r="343" ht="14.25" customHeight="1">
      <c r="A343" s="29"/>
      <c r="B343" s="29"/>
      <c r="C343" s="30"/>
      <c r="G343" s="9"/>
      <c r="H343" s="28"/>
    </row>
    <row r="344" ht="14.25" customHeight="1">
      <c r="A344" s="29"/>
      <c r="B344" s="29"/>
      <c r="C344" s="30"/>
      <c r="G344" s="9"/>
      <c r="H344" s="28"/>
    </row>
    <row r="345" ht="14.25" customHeight="1">
      <c r="A345" s="29"/>
      <c r="B345" s="29"/>
      <c r="C345" s="30"/>
      <c r="G345" s="9"/>
      <c r="H345" s="28"/>
    </row>
    <row r="346" ht="14.25" customHeight="1">
      <c r="A346" s="29"/>
      <c r="B346" s="29"/>
      <c r="C346" s="30"/>
      <c r="G346" s="9"/>
      <c r="H346" s="28"/>
    </row>
    <row r="347" ht="14.25" customHeight="1">
      <c r="A347" s="29"/>
      <c r="B347" s="29"/>
      <c r="C347" s="30"/>
      <c r="G347" s="9"/>
      <c r="H347" s="28"/>
    </row>
    <row r="348" ht="14.25" customHeight="1">
      <c r="A348" s="29"/>
      <c r="B348" s="29"/>
      <c r="C348" s="30"/>
      <c r="G348" s="9"/>
      <c r="H348" s="28"/>
    </row>
    <row r="349" ht="14.25" customHeight="1">
      <c r="A349" s="29"/>
      <c r="B349" s="29"/>
      <c r="C349" s="30"/>
      <c r="G349" s="9"/>
      <c r="H349" s="28"/>
    </row>
    <row r="350" ht="14.25" customHeight="1">
      <c r="A350" s="29"/>
      <c r="B350" s="29"/>
      <c r="C350" s="30"/>
      <c r="G350" s="9"/>
      <c r="H350" s="28"/>
    </row>
    <row r="351" ht="14.25" customHeight="1">
      <c r="A351" s="29"/>
      <c r="B351" s="29"/>
      <c r="C351" s="30"/>
      <c r="G351" s="9"/>
      <c r="H351" s="28"/>
    </row>
    <row r="352" ht="14.25" customHeight="1">
      <c r="A352" s="29"/>
      <c r="B352" s="29"/>
      <c r="C352" s="30"/>
      <c r="G352" s="9"/>
      <c r="H352" s="28"/>
    </row>
    <row r="353" ht="14.25" customHeight="1">
      <c r="A353" s="29"/>
      <c r="B353" s="29"/>
      <c r="C353" s="30"/>
      <c r="G353" s="9"/>
      <c r="H353" s="28"/>
    </row>
    <row r="354" ht="14.25" customHeight="1">
      <c r="A354" s="29"/>
      <c r="B354" s="29"/>
      <c r="C354" s="30"/>
      <c r="G354" s="9"/>
      <c r="H354" s="28"/>
    </row>
    <row r="355" ht="14.25" customHeight="1">
      <c r="A355" s="29"/>
      <c r="B355" s="29"/>
      <c r="C355" s="30"/>
      <c r="G355" s="9"/>
      <c r="H355" s="28"/>
    </row>
    <row r="356" ht="14.25" customHeight="1">
      <c r="A356" s="29"/>
      <c r="B356" s="29"/>
      <c r="C356" s="30"/>
      <c r="G356" s="9"/>
      <c r="H356" s="28"/>
    </row>
    <row r="357" ht="14.25" customHeight="1">
      <c r="A357" s="29"/>
      <c r="B357" s="29"/>
      <c r="C357" s="30"/>
      <c r="G357" s="9"/>
      <c r="H357" s="28"/>
    </row>
    <row r="358" ht="14.25" customHeight="1">
      <c r="A358" s="29"/>
      <c r="B358" s="29"/>
      <c r="C358" s="30"/>
      <c r="G358" s="9"/>
      <c r="H358" s="28"/>
    </row>
    <row r="359" ht="14.25" customHeight="1">
      <c r="A359" s="29"/>
      <c r="B359" s="29"/>
      <c r="C359" s="30"/>
      <c r="G359" s="9"/>
      <c r="H359" s="28"/>
    </row>
    <row r="360" ht="14.25" customHeight="1">
      <c r="A360" s="29"/>
      <c r="B360" s="29"/>
      <c r="C360" s="30"/>
      <c r="G360" s="9"/>
      <c r="H360" s="28"/>
    </row>
    <row r="361" ht="14.25" customHeight="1">
      <c r="A361" s="29"/>
      <c r="B361" s="29"/>
      <c r="C361" s="30"/>
      <c r="G361" s="9"/>
      <c r="H361" s="28"/>
    </row>
    <row r="362" ht="14.25" customHeight="1">
      <c r="A362" s="29"/>
      <c r="B362" s="29"/>
      <c r="C362" s="30"/>
      <c r="G362" s="9"/>
      <c r="H362" s="28"/>
    </row>
    <row r="363" ht="14.25" customHeight="1">
      <c r="A363" s="29"/>
      <c r="B363" s="29"/>
      <c r="C363" s="30"/>
      <c r="G363" s="9"/>
      <c r="H363" s="28"/>
    </row>
    <row r="364" ht="14.25" customHeight="1">
      <c r="A364" s="29"/>
      <c r="B364" s="29"/>
      <c r="C364" s="30"/>
      <c r="G364" s="9"/>
      <c r="H364" s="28"/>
    </row>
    <row r="365" ht="14.25" customHeight="1">
      <c r="A365" s="29"/>
      <c r="B365" s="29"/>
      <c r="C365" s="30"/>
      <c r="G365" s="9"/>
      <c r="H365" s="28"/>
    </row>
    <row r="366" ht="14.25" customHeight="1">
      <c r="A366" s="29"/>
      <c r="B366" s="29"/>
      <c r="C366" s="30"/>
      <c r="G366" s="9"/>
      <c r="H366" s="28"/>
    </row>
    <row r="367" ht="14.25" customHeight="1">
      <c r="A367" s="29"/>
      <c r="B367" s="29"/>
      <c r="C367" s="30"/>
      <c r="G367" s="9"/>
      <c r="H367" s="28"/>
    </row>
    <row r="368" ht="14.25" customHeight="1">
      <c r="A368" s="29"/>
      <c r="B368" s="29"/>
      <c r="C368" s="30"/>
      <c r="G368" s="9"/>
      <c r="H368" s="28"/>
    </row>
    <row r="369" ht="14.25" customHeight="1">
      <c r="A369" s="29"/>
      <c r="B369" s="29"/>
      <c r="C369" s="30"/>
      <c r="G369" s="9"/>
      <c r="H369" s="28"/>
    </row>
    <row r="370" ht="14.25" customHeight="1">
      <c r="A370" s="29"/>
      <c r="B370" s="29"/>
      <c r="C370" s="30"/>
      <c r="G370" s="9"/>
      <c r="H370" s="28"/>
    </row>
    <row r="371" ht="14.25" customHeight="1">
      <c r="A371" s="29"/>
      <c r="B371" s="29"/>
      <c r="C371" s="30"/>
      <c r="G371" s="9"/>
      <c r="H371" s="28"/>
    </row>
    <row r="372" ht="14.25" customHeight="1">
      <c r="A372" s="29"/>
      <c r="B372" s="29"/>
      <c r="C372" s="30"/>
      <c r="G372" s="9"/>
      <c r="H372" s="28"/>
    </row>
    <row r="373" ht="14.25" customHeight="1">
      <c r="A373" s="29"/>
      <c r="B373" s="29"/>
      <c r="C373" s="30"/>
      <c r="G373" s="9"/>
      <c r="H373" s="28"/>
    </row>
    <row r="374" ht="14.25" customHeight="1">
      <c r="A374" s="29"/>
      <c r="B374" s="29"/>
      <c r="C374" s="30"/>
      <c r="G374" s="9"/>
      <c r="H374" s="28"/>
    </row>
    <row r="375" ht="14.25" customHeight="1">
      <c r="A375" s="29"/>
      <c r="B375" s="29"/>
      <c r="C375" s="30"/>
      <c r="G375" s="9"/>
      <c r="H375" s="28"/>
    </row>
    <row r="376" ht="14.25" customHeight="1">
      <c r="A376" s="29"/>
      <c r="B376" s="29"/>
      <c r="C376" s="30"/>
      <c r="G376" s="9"/>
      <c r="H376" s="28"/>
    </row>
    <row r="377" ht="14.25" customHeight="1">
      <c r="A377" s="29"/>
      <c r="B377" s="29"/>
      <c r="C377" s="30"/>
      <c r="G377" s="9"/>
      <c r="H377" s="28"/>
    </row>
    <row r="378" ht="14.25" customHeight="1">
      <c r="A378" s="29"/>
      <c r="B378" s="29"/>
      <c r="C378" s="30"/>
      <c r="G378" s="9"/>
      <c r="H378" s="28"/>
    </row>
    <row r="379" ht="14.25" customHeight="1">
      <c r="A379" s="29"/>
      <c r="B379" s="29"/>
      <c r="C379" s="30"/>
      <c r="G379" s="9"/>
      <c r="H379" s="28"/>
    </row>
    <row r="380" ht="14.25" customHeight="1">
      <c r="A380" s="29"/>
      <c r="B380" s="29"/>
      <c r="C380" s="30"/>
      <c r="G380" s="9"/>
      <c r="H380" s="28"/>
    </row>
    <row r="381" ht="14.25" customHeight="1">
      <c r="A381" s="29"/>
      <c r="B381" s="29"/>
      <c r="C381" s="30"/>
      <c r="G381" s="9"/>
      <c r="H381" s="28"/>
    </row>
    <row r="382" ht="14.25" customHeight="1">
      <c r="A382" s="29"/>
      <c r="B382" s="29"/>
      <c r="C382" s="30"/>
      <c r="G382" s="9"/>
      <c r="H382" s="28"/>
    </row>
    <row r="383" ht="14.25" customHeight="1">
      <c r="A383" s="29"/>
      <c r="B383" s="29"/>
      <c r="C383" s="30"/>
      <c r="G383" s="9"/>
      <c r="H383" s="28"/>
    </row>
    <row r="384" ht="14.25" customHeight="1">
      <c r="A384" s="29"/>
      <c r="B384" s="29"/>
      <c r="C384" s="30"/>
      <c r="G384" s="9"/>
      <c r="H384" s="28"/>
    </row>
    <row r="385" ht="14.25" customHeight="1">
      <c r="A385" s="29"/>
      <c r="B385" s="29"/>
      <c r="C385" s="30"/>
      <c r="G385" s="9"/>
      <c r="H385" s="28"/>
    </row>
    <row r="386" ht="14.25" customHeight="1">
      <c r="A386" s="29"/>
      <c r="B386" s="29"/>
      <c r="C386" s="30"/>
      <c r="G386" s="9"/>
      <c r="H386" s="28"/>
    </row>
    <row r="387" ht="14.25" customHeight="1">
      <c r="A387" s="29"/>
      <c r="B387" s="29"/>
      <c r="C387" s="30"/>
      <c r="G387" s="9"/>
      <c r="H387" s="28"/>
    </row>
    <row r="388" ht="14.25" customHeight="1">
      <c r="A388" s="29"/>
      <c r="B388" s="29"/>
      <c r="C388" s="30"/>
      <c r="G388" s="9"/>
      <c r="H388" s="28"/>
    </row>
    <row r="389" ht="14.25" customHeight="1">
      <c r="A389" s="29"/>
      <c r="B389" s="29"/>
      <c r="C389" s="30"/>
      <c r="G389" s="9"/>
      <c r="H389" s="28"/>
    </row>
    <row r="390" ht="14.25" customHeight="1">
      <c r="A390" s="29"/>
      <c r="B390" s="29"/>
      <c r="C390" s="30"/>
      <c r="G390" s="9"/>
      <c r="H390" s="28"/>
    </row>
    <row r="391" ht="14.25" customHeight="1">
      <c r="A391" s="29"/>
      <c r="B391" s="29"/>
      <c r="C391" s="30"/>
      <c r="G391" s="9"/>
      <c r="H391" s="28"/>
    </row>
    <row r="392" ht="14.25" customHeight="1">
      <c r="A392" s="23"/>
    </row>
    <row r="393" ht="14.25" customHeight="1">
      <c r="A393" s="23"/>
    </row>
    <row r="394" ht="14.25" customHeight="1">
      <c r="A394" s="23"/>
    </row>
    <row r="395" ht="14.25" customHeight="1">
      <c r="A395" s="23"/>
    </row>
    <row r="396" ht="14.25" customHeight="1">
      <c r="A396" s="23"/>
    </row>
    <row r="397" ht="14.25" customHeight="1">
      <c r="A397" s="23"/>
    </row>
    <row r="398" ht="14.25" customHeight="1">
      <c r="A398" s="23"/>
    </row>
    <row r="399" ht="14.25" customHeight="1">
      <c r="A399" s="23"/>
    </row>
    <row r="400" ht="14.25" customHeight="1">
      <c r="A400" s="23"/>
    </row>
    <row r="401" ht="14.25" customHeight="1">
      <c r="A401" s="23"/>
    </row>
    <row r="402" ht="14.25" customHeight="1">
      <c r="A402" s="23"/>
    </row>
    <row r="403" ht="14.25" customHeight="1">
      <c r="A403" s="23"/>
    </row>
    <row r="404" ht="14.25" customHeight="1">
      <c r="A404" s="23"/>
    </row>
    <row r="405" ht="14.25" customHeight="1">
      <c r="A405" s="23"/>
    </row>
    <row r="406" ht="14.25" customHeight="1">
      <c r="A406" s="23"/>
    </row>
    <row r="407" ht="14.25" customHeight="1">
      <c r="A407" s="23"/>
    </row>
    <row r="408" ht="14.25" customHeight="1">
      <c r="A408" s="23"/>
    </row>
    <row r="409" ht="14.25" customHeight="1">
      <c r="A409" s="23"/>
    </row>
    <row r="410" ht="14.25" customHeight="1">
      <c r="A410" s="23"/>
    </row>
    <row r="411" ht="14.25" customHeight="1">
      <c r="A411" s="23"/>
    </row>
    <row r="412" ht="14.25" customHeight="1">
      <c r="A412" s="23"/>
    </row>
    <row r="413" ht="14.25" customHeight="1">
      <c r="A413" s="23"/>
    </row>
    <row r="414" ht="14.25" customHeight="1">
      <c r="A414" s="23"/>
    </row>
    <row r="415" ht="14.25" customHeight="1">
      <c r="A415" s="23"/>
    </row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autoFilter ref="$A$1:$E$215">
    <sortState ref="A1:E215">
      <sortCondition ref="E1:E215"/>
      <sortCondition ref="A1:A215"/>
      <sortCondition ref="B1:B215"/>
      <sortCondition ref="C1:C215"/>
      <sortCondition ref="D1:D215"/>
    </sortState>
  </autoFilter>
  <printOptions/>
  <pageMargins bottom="1.0" footer="0.0" header="0.0" left="0.75" right="0.75" top="1.0"/>
  <pageSetup orientation="landscape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7.43"/>
    <col customWidth="1" min="2" max="2" width="20.0"/>
    <col customWidth="1" min="3" max="4" width="17.86"/>
    <col customWidth="1" min="5" max="5" width="34.86"/>
    <col customWidth="1" min="6" max="7" width="8.71"/>
  </cols>
  <sheetData>
    <row r="1" ht="14.25" customHeight="1">
      <c r="A1" s="31" t="s">
        <v>64</v>
      </c>
      <c r="B1" s="32" t="s">
        <v>65</v>
      </c>
      <c r="C1" s="33" t="s">
        <v>66</v>
      </c>
      <c r="D1" s="34" t="s">
        <v>67</v>
      </c>
      <c r="E1" s="34" t="s">
        <v>68</v>
      </c>
    </row>
    <row r="2" ht="14.25" customHeight="1">
      <c r="A2" s="2" t="s">
        <v>18</v>
      </c>
      <c r="B2" s="1">
        <v>46057.0</v>
      </c>
      <c r="C2" s="1">
        <v>46057.0</v>
      </c>
      <c r="D2" s="3">
        <v>4000.0</v>
      </c>
      <c r="E2" s="31" t="s">
        <v>69</v>
      </c>
    </row>
    <row r="3" ht="14.25" customHeight="1">
      <c r="A3" s="2" t="s">
        <v>26</v>
      </c>
      <c r="B3" s="1">
        <v>46057.0</v>
      </c>
      <c r="C3" s="1">
        <v>46057.0</v>
      </c>
      <c r="D3" s="3">
        <v>6630.64</v>
      </c>
      <c r="E3" s="31" t="s">
        <v>69</v>
      </c>
    </row>
    <row r="4" ht="14.25" customHeight="1">
      <c r="A4" s="2" t="s">
        <v>10</v>
      </c>
      <c r="B4" s="23">
        <v>46058.0</v>
      </c>
      <c r="C4" s="23">
        <v>46058.0</v>
      </c>
      <c r="D4" s="3">
        <v>10342.0</v>
      </c>
      <c r="E4" s="31" t="s">
        <v>69</v>
      </c>
    </row>
    <row r="5" ht="14.25" customHeight="1">
      <c r="A5" s="2" t="s">
        <v>20</v>
      </c>
      <c r="B5" s="23">
        <v>46058.0</v>
      </c>
      <c r="C5" s="23">
        <v>46058.0</v>
      </c>
      <c r="D5" s="3">
        <v>4124.75</v>
      </c>
      <c r="E5" s="31" t="s">
        <v>69</v>
      </c>
    </row>
    <row r="6" ht="14.25" customHeight="1">
      <c r="A6" s="2" t="s">
        <v>22</v>
      </c>
      <c r="B6" s="23">
        <v>46058.0</v>
      </c>
      <c r="C6" s="23">
        <v>46058.0</v>
      </c>
      <c r="D6" s="3">
        <v>5400.0</v>
      </c>
      <c r="E6" s="31" t="s">
        <v>69</v>
      </c>
    </row>
    <row r="7" ht="14.25" customHeight="1">
      <c r="A7" s="2" t="s">
        <v>12</v>
      </c>
      <c r="B7" s="23">
        <v>46059.0</v>
      </c>
      <c r="C7" s="23">
        <v>46059.0</v>
      </c>
      <c r="D7" s="3">
        <v>2063.11</v>
      </c>
      <c r="E7" s="31" t="s">
        <v>69</v>
      </c>
    </row>
    <row r="8" ht="14.25" customHeight="1">
      <c r="A8" s="2" t="s">
        <v>70</v>
      </c>
      <c r="B8" s="35">
        <v>46084.0</v>
      </c>
      <c r="C8" s="35">
        <v>46084.0</v>
      </c>
      <c r="D8" s="22">
        <v>3000.0</v>
      </c>
      <c r="E8" s="36" t="s">
        <v>71</v>
      </c>
    </row>
    <row r="9" ht="14.25" customHeight="1">
      <c r="A9" s="2" t="s">
        <v>72</v>
      </c>
      <c r="B9" s="35">
        <v>46085.0</v>
      </c>
      <c r="C9" s="35">
        <v>46085.0</v>
      </c>
      <c r="D9" s="22">
        <v>3000.0</v>
      </c>
      <c r="E9" s="36" t="s">
        <v>71</v>
      </c>
    </row>
    <row r="10" ht="14.25" customHeight="1">
      <c r="A10" s="2" t="s">
        <v>8</v>
      </c>
      <c r="B10" s="35">
        <v>46086.0</v>
      </c>
      <c r="C10" s="35">
        <v>46086.0</v>
      </c>
      <c r="D10" s="22">
        <v>1003.38</v>
      </c>
      <c r="E10" s="37" t="s">
        <v>73</v>
      </c>
    </row>
    <row r="11" ht="14.25" customHeight="1">
      <c r="A11" s="2" t="s">
        <v>74</v>
      </c>
      <c r="B11" s="35">
        <v>46087.0</v>
      </c>
      <c r="C11" s="35">
        <v>46087.0</v>
      </c>
      <c r="D11" s="22">
        <v>8587.0</v>
      </c>
      <c r="E11" s="37" t="s">
        <v>75</v>
      </c>
    </row>
    <row r="12" ht="14.25" customHeight="1">
      <c r="A12" s="2" t="s">
        <v>30</v>
      </c>
      <c r="B12" s="35">
        <v>46087.0</v>
      </c>
      <c r="C12" s="35">
        <v>46087.0</v>
      </c>
      <c r="D12" s="22">
        <v>936.15</v>
      </c>
      <c r="E12" s="37" t="s">
        <v>73</v>
      </c>
    </row>
    <row r="13" ht="14.25" customHeight="1">
      <c r="A13" s="2" t="s">
        <v>14</v>
      </c>
      <c r="B13" s="35">
        <v>46113.0</v>
      </c>
      <c r="C13" s="35">
        <v>46113.0</v>
      </c>
      <c r="D13" s="22">
        <v>36.02</v>
      </c>
      <c r="E13" s="38" t="s">
        <v>73</v>
      </c>
    </row>
    <row r="14" ht="14.25" customHeight="1">
      <c r="A14" s="2" t="s">
        <v>28</v>
      </c>
      <c r="B14" s="35">
        <v>46114.0</v>
      </c>
      <c r="C14" s="35">
        <v>46114.0</v>
      </c>
      <c r="D14" s="39">
        <v>7857.25</v>
      </c>
      <c r="E14" s="38" t="s">
        <v>73</v>
      </c>
    </row>
    <row r="15" ht="14.25" customHeight="1">
      <c r="A15" s="2" t="s">
        <v>16</v>
      </c>
      <c r="B15" s="35">
        <v>46118.0</v>
      </c>
      <c r="C15" s="35">
        <v>46118.0</v>
      </c>
      <c r="D15" s="39">
        <v>3589.11</v>
      </c>
      <c r="E15" s="40" t="s">
        <v>73</v>
      </c>
    </row>
    <row r="16" ht="14.25" customHeight="1">
      <c r="A16" s="2" t="s">
        <v>24</v>
      </c>
      <c r="B16" s="35">
        <v>46118.0</v>
      </c>
      <c r="C16" s="41">
        <v>46126.0</v>
      </c>
      <c r="D16" s="22">
        <v>5680.0</v>
      </c>
      <c r="E16" s="42" t="s">
        <v>76</v>
      </c>
    </row>
    <row r="17" ht="14.25" customHeight="1">
      <c r="A17" s="2" t="s">
        <v>77</v>
      </c>
      <c r="B17" s="23">
        <v>46145.0</v>
      </c>
      <c r="C17" s="9"/>
      <c r="D17" s="9">
        <v>7000.0</v>
      </c>
      <c r="E17" s="38"/>
    </row>
    <row r="18" ht="14.25" customHeight="1">
      <c r="A18" s="2" t="s">
        <v>78</v>
      </c>
      <c r="B18" s="23">
        <v>46148.0</v>
      </c>
      <c r="C18" s="9"/>
      <c r="D18" s="9">
        <v>3600.0</v>
      </c>
      <c r="E18" s="38"/>
    </row>
    <row r="19" ht="14.25" customHeight="1">
      <c r="A19" s="2" t="s">
        <v>79</v>
      </c>
      <c r="B19" s="23">
        <v>46148.0</v>
      </c>
      <c r="C19" s="9"/>
      <c r="D19" s="9">
        <v>5680.0</v>
      </c>
      <c r="E19" s="38"/>
    </row>
    <row r="20" ht="14.25" customHeight="1">
      <c r="A20" s="2" t="s">
        <v>80</v>
      </c>
      <c r="B20" s="23">
        <v>46175.0</v>
      </c>
      <c r="C20" s="9"/>
      <c r="D20" s="9">
        <v>7000.0</v>
      </c>
      <c r="E20" s="38"/>
    </row>
    <row r="21" ht="14.25" customHeight="1">
      <c r="A21" s="27" t="s">
        <v>81</v>
      </c>
      <c r="B21" s="23">
        <v>46178.0</v>
      </c>
      <c r="C21" s="19"/>
      <c r="D21" s="19">
        <v>1800.0</v>
      </c>
      <c r="E21" s="38"/>
    </row>
    <row r="22" ht="14.25" customHeight="1">
      <c r="A22" s="2" t="s">
        <v>82</v>
      </c>
      <c r="B22" s="23">
        <v>46178.0</v>
      </c>
      <c r="C22" s="9"/>
      <c r="D22" s="9">
        <v>5680.0</v>
      </c>
      <c r="E22" s="38"/>
    </row>
    <row r="23" ht="14.25" customHeight="1">
      <c r="A23" s="2" t="s">
        <v>83</v>
      </c>
      <c r="B23" s="23">
        <v>46205.0</v>
      </c>
      <c r="C23" s="9"/>
      <c r="D23" s="9">
        <v>7000.0</v>
      </c>
      <c r="E23" s="38"/>
    </row>
    <row r="24" ht="14.25" customHeight="1">
      <c r="A24" s="2" t="s">
        <v>84</v>
      </c>
      <c r="B24" s="23">
        <v>46208.0</v>
      </c>
      <c r="C24" s="9"/>
      <c r="D24" s="9">
        <v>5680.0</v>
      </c>
      <c r="E24" s="38"/>
    </row>
    <row r="25" ht="14.25" customHeight="1">
      <c r="A25" s="2" t="s">
        <v>85</v>
      </c>
      <c r="B25" s="23">
        <v>46235.0</v>
      </c>
      <c r="C25" s="9"/>
      <c r="D25" s="9">
        <v>7000.0</v>
      </c>
      <c r="E25" s="38"/>
    </row>
    <row r="26" ht="14.25" customHeight="1">
      <c r="A26" s="2" t="s">
        <v>86</v>
      </c>
      <c r="B26" s="23">
        <v>46238.0</v>
      </c>
      <c r="C26" s="9"/>
      <c r="D26" s="9">
        <v>5680.0</v>
      </c>
      <c r="E26" s="38"/>
    </row>
    <row r="27" ht="14.25" customHeight="1">
      <c r="A27" s="2" t="s">
        <v>87</v>
      </c>
      <c r="B27" s="23">
        <v>46266.0</v>
      </c>
      <c r="C27" s="9"/>
      <c r="D27" s="9">
        <v>7000.0</v>
      </c>
      <c r="E27" s="38"/>
    </row>
    <row r="28" ht="14.25" customHeight="1">
      <c r="A28" s="2" t="s">
        <v>88</v>
      </c>
      <c r="B28" s="23">
        <v>46269.0</v>
      </c>
      <c r="C28" s="9"/>
      <c r="D28" s="9">
        <v>5680.0</v>
      </c>
      <c r="E28" s="38"/>
    </row>
    <row r="29" ht="14.25" customHeight="1">
      <c r="A29" s="2" t="s">
        <v>89</v>
      </c>
      <c r="B29" s="23">
        <v>46297.0</v>
      </c>
      <c r="C29" s="9"/>
      <c r="D29" s="9">
        <v>7000.0</v>
      </c>
      <c r="E29" s="38"/>
    </row>
    <row r="30" ht="14.25" customHeight="1">
      <c r="A30" s="2" t="s">
        <v>90</v>
      </c>
      <c r="B30" s="23">
        <v>46300.0</v>
      </c>
      <c r="C30" s="9"/>
      <c r="D30" s="9">
        <v>5680.0</v>
      </c>
      <c r="E30" s="38"/>
    </row>
    <row r="31" ht="14.25" customHeight="1">
      <c r="A31" s="2" t="s">
        <v>91</v>
      </c>
      <c r="B31" s="23">
        <v>46328.0</v>
      </c>
      <c r="C31" s="9"/>
      <c r="D31" s="9">
        <v>7000.0</v>
      </c>
      <c r="E31" s="38"/>
    </row>
    <row r="32" ht="14.25" customHeight="1">
      <c r="A32" s="2" t="s">
        <v>92</v>
      </c>
      <c r="B32" s="23">
        <v>46331.0</v>
      </c>
      <c r="C32" s="9"/>
      <c r="D32" s="9">
        <v>5680.0</v>
      </c>
      <c r="E32" s="38"/>
    </row>
    <row r="33" ht="14.25" customHeight="1">
      <c r="A33" s="2" t="s">
        <v>93</v>
      </c>
      <c r="B33" s="23">
        <v>46359.0</v>
      </c>
      <c r="C33" s="9"/>
      <c r="D33" s="9">
        <v>7000.0</v>
      </c>
      <c r="E33" s="38"/>
    </row>
    <row r="34" ht="14.25" customHeight="1">
      <c r="A34" s="2" t="s">
        <v>94</v>
      </c>
      <c r="B34" s="23">
        <v>46362.0</v>
      </c>
      <c r="C34" s="9"/>
      <c r="D34" s="9">
        <v>5680.0</v>
      </c>
      <c r="E34" s="38"/>
    </row>
    <row r="35" ht="14.25" customHeight="1">
      <c r="A35" s="2" t="s">
        <v>95</v>
      </c>
      <c r="B35" s="23">
        <v>46390.0</v>
      </c>
      <c r="C35" s="9"/>
      <c r="D35" s="9">
        <v>7000.0</v>
      </c>
      <c r="E35" s="38"/>
    </row>
    <row r="36" ht="14.25" customHeight="1">
      <c r="A36" s="2" t="s">
        <v>96</v>
      </c>
      <c r="B36" s="23">
        <v>46393.0</v>
      </c>
      <c r="C36" s="9"/>
      <c r="D36" s="9">
        <v>5680.0</v>
      </c>
      <c r="E36" s="38"/>
    </row>
    <row r="37" ht="14.25" customHeight="1">
      <c r="A37" s="2" t="s">
        <v>97</v>
      </c>
      <c r="B37" s="23">
        <v>46421.0</v>
      </c>
      <c r="C37" s="9"/>
      <c r="D37" s="9">
        <v>7000.0</v>
      </c>
      <c r="E37" s="38"/>
    </row>
    <row r="38" ht="14.25" customHeight="1">
      <c r="A38" s="2" t="s">
        <v>98</v>
      </c>
      <c r="B38" s="23">
        <v>46424.0</v>
      </c>
      <c r="C38" s="9"/>
      <c r="D38" s="9">
        <v>5680.0</v>
      </c>
      <c r="E38" s="38"/>
    </row>
    <row r="39" ht="14.25" customHeight="1">
      <c r="A39" s="2" t="s">
        <v>99</v>
      </c>
      <c r="B39" s="23">
        <v>46449.0</v>
      </c>
      <c r="C39" s="9"/>
      <c r="D39" s="9">
        <v>7000.0</v>
      </c>
      <c r="E39" s="38"/>
    </row>
    <row r="40" ht="14.25" customHeight="1">
      <c r="A40" s="2" t="s">
        <v>100</v>
      </c>
      <c r="B40" s="23">
        <v>46452.0</v>
      </c>
      <c r="C40" s="9"/>
      <c r="D40" s="9">
        <v>5680.0</v>
      </c>
      <c r="E40" s="38"/>
    </row>
    <row r="41" ht="14.25" customHeight="1">
      <c r="A41" s="2"/>
      <c r="B41" s="23"/>
      <c r="C41" s="9"/>
      <c r="D41" s="9"/>
      <c r="E41" s="38"/>
    </row>
    <row r="42" ht="14.25" customHeight="1">
      <c r="A42" s="2"/>
      <c r="B42" s="23"/>
      <c r="C42" s="9"/>
      <c r="D42" s="9"/>
      <c r="E42" s="38"/>
    </row>
    <row r="43" ht="14.25" customHeight="1">
      <c r="A43" s="2"/>
      <c r="B43" s="23"/>
      <c r="C43" s="9"/>
      <c r="D43" s="9"/>
      <c r="E43" s="38"/>
    </row>
    <row r="44" ht="14.25" customHeight="1">
      <c r="A44" s="2"/>
      <c r="B44" s="23"/>
      <c r="C44" s="9"/>
      <c r="D44" s="9"/>
      <c r="E44" s="38"/>
    </row>
    <row r="45" ht="14.25" customHeight="1">
      <c r="A45" s="2"/>
      <c r="B45" s="23"/>
      <c r="C45" s="9"/>
      <c r="D45" s="9"/>
      <c r="E45" s="38"/>
    </row>
    <row r="46" ht="14.25" customHeight="1">
      <c r="A46" s="2"/>
      <c r="B46" s="23"/>
      <c r="C46" s="9"/>
      <c r="D46" s="9"/>
      <c r="E46" s="38"/>
    </row>
    <row r="47" ht="14.25" customHeight="1">
      <c r="A47" s="2"/>
      <c r="B47" s="23"/>
      <c r="C47" s="9"/>
      <c r="D47" s="9"/>
      <c r="E47" s="38"/>
    </row>
    <row r="48" ht="14.25" customHeight="1">
      <c r="A48" s="2"/>
      <c r="B48" s="23"/>
      <c r="C48" s="9"/>
      <c r="D48" s="9"/>
      <c r="E48" s="38"/>
    </row>
    <row r="49" ht="14.25" customHeight="1">
      <c r="A49" s="2"/>
      <c r="B49" s="23"/>
      <c r="C49" s="9"/>
      <c r="D49" s="9"/>
      <c r="E49" s="38"/>
    </row>
    <row r="50" ht="14.25" customHeight="1">
      <c r="A50" s="2"/>
      <c r="B50" s="23"/>
      <c r="C50" s="9"/>
      <c r="D50" s="9"/>
      <c r="E50" s="38"/>
    </row>
    <row r="51" ht="14.25" customHeight="1">
      <c r="A51" s="2"/>
      <c r="B51" s="23"/>
      <c r="C51" s="9"/>
      <c r="D51" s="9"/>
      <c r="E51" s="38"/>
    </row>
    <row r="52" ht="14.25" customHeight="1">
      <c r="A52" s="2"/>
      <c r="B52" s="23"/>
      <c r="C52" s="9"/>
      <c r="D52" s="9"/>
      <c r="E52" s="38"/>
    </row>
    <row r="53" ht="14.25" customHeight="1">
      <c r="A53" s="2"/>
      <c r="B53" s="23"/>
      <c r="C53" s="9"/>
      <c r="D53" s="9"/>
      <c r="E53" s="38"/>
    </row>
    <row r="54" ht="14.25" customHeight="1">
      <c r="A54" s="2"/>
      <c r="B54" s="23"/>
      <c r="C54" s="9"/>
      <c r="D54" s="9"/>
      <c r="E54" s="38"/>
    </row>
    <row r="55" ht="14.25" customHeight="1">
      <c r="A55" s="2"/>
      <c r="B55" s="23"/>
      <c r="C55" s="9"/>
      <c r="D55" s="9"/>
      <c r="E55" s="38"/>
    </row>
    <row r="56" ht="14.25" customHeight="1">
      <c r="A56" s="2"/>
      <c r="B56" s="23"/>
      <c r="C56" s="9"/>
      <c r="D56" s="9"/>
      <c r="E56" s="38"/>
    </row>
    <row r="57" ht="14.25" customHeight="1">
      <c r="A57" s="2"/>
      <c r="B57" s="23"/>
      <c r="C57" s="9"/>
      <c r="D57" s="9"/>
      <c r="E57" s="38"/>
    </row>
    <row r="58" ht="14.25" customHeight="1">
      <c r="A58" s="2"/>
      <c r="B58" s="23"/>
      <c r="C58" s="9"/>
      <c r="D58" s="9"/>
      <c r="E58" s="38"/>
    </row>
    <row r="59" ht="14.25" customHeight="1">
      <c r="A59" s="2"/>
      <c r="B59" s="23"/>
      <c r="C59" s="9"/>
      <c r="D59" s="9"/>
      <c r="E59" s="38"/>
    </row>
    <row r="60" ht="14.25" customHeight="1">
      <c r="A60" s="2"/>
      <c r="B60" s="23"/>
      <c r="C60" s="9"/>
      <c r="D60" s="9"/>
      <c r="E60" s="38"/>
    </row>
    <row r="61" ht="14.25" customHeight="1">
      <c r="A61" s="2"/>
      <c r="B61" s="23"/>
      <c r="C61" s="9"/>
      <c r="D61" s="9"/>
      <c r="E61" s="38"/>
    </row>
    <row r="62" ht="14.25" customHeight="1">
      <c r="A62" s="2"/>
      <c r="B62" s="23"/>
      <c r="C62" s="9"/>
      <c r="D62" s="9"/>
      <c r="E62" s="38"/>
    </row>
    <row r="63" ht="14.25" customHeight="1">
      <c r="A63" s="2"/>
      <c r="B63" s="23"/>
      <c r="C63" s="9"/>
      <c r="D63" s="9"/>
      <c r="E63" s="38"/>
    </row>
    <row r="64" ht="14.25" customHeight="1">
      <c r="A64" s="2"/>
      <c r="B64" s="23"/>
      <c r="C64" s="9"/>
      <c r="D64" s="9"/>
      <c r="E64" s="38"/>
    </row>
    <row r="65" ht="14.25" customHeight="1">
      <c r="A65" s="2"/>
      <c r="B65" s="23"/>
      <c r="C65" s="9"/>
      <c r="D65" s="9"/>
      <c r="E65" s="38"/>
    </row>
    <row r="66" ht="14.25" customHeight="1">
      <c r="A66" s="2"/>
      <c r="B66" s="23"/>
      <c r="C66" s="9"/>
      <c r="D66" s="9"/>
      <c r="E66" s="38"/>
    </row>
    <row r="67" ht="14.25" customHeight="1">
      <c r="A67" s="2"/>
      <c r="B67" s="23"/>
      <c r="C67" s="9"/>
      <c r="D67" s="9"/>
      <c r="E67" s="38"/>
    </row>
    <row r="68" ht="14.25" customHeight="1">
      <c r="A68" s="2"/>
      <c r="B68" s="23"/>
      <c r="C68" s="9"/>
      <c r="D68" s="9"/>
      <c r="E68" s="38"/>
    </row>
    <row r="69" ht="14.25" customHeight="1">
      <c r="A69" s="2"/>
      <c r="B69" s="23"/>
      <c r="C69" s="9"/>
      <c r="D69" s="9"/>
      <c r="E69" s="38"/>
    </row>
    <row r="70" ht="14.25" customHeight="1">
      <c r="A70" s="2"/>
      <c r="B70" s="23"/>
      <c r="C70" s="9"/>
      <c r="D70" s="9"/>
      <c r="E70" s="38"/>
    </row>
    <row r="71" ht="14.25" customHeight="1">
      <c r="A71" s="2"/>
      <c r="B71" s="23"/>
      <c r="C71" s="9"/>
      <c r="D71" s="9"/>
      <c r="E71" s="38"/>
    </row>
    <row r="72" ht="14.25" customHeight="1">
      <c r="A72" s="2"/>
      <c r="B72" s="23"/>
      <c r="C72" s="9"/>
      <c r="D72" s="9"/>
      <c r="E72" s="38"/>
    </row>
    <row r="73" ht="14.25" customHeight="1">
      <c r="A73" s="2"/>
      <c r="B73" s="23"/>
      <c r="C73" s="9"/>
      <c r="D73" s="9"/>
      <c r="E73" s="38"/>
    </row>
    <row r="74" ht="14.25" customHeight="1">
      <c r="A74" s="2"/>
      <c r="B74" s="23"/>
      <c r="C74" s="9"/>
      <c r="D74" s="9"/>
      <c r="E74" s="38"/>
    </row>
    <row r="75" ht="14.25" customHeight="1">
      <c r="A75" s="2"/>
      <c r="B75" s="23"/>
      <c r="C75" s="9"/>
      <c r="D75" s="9"/>
      <c r="E75" s="38"/>
    </row>
    <row r="76" ht="14.25" customHeight="1">
      <c r="A76" s="2"/>
      <c r="B76" s="23"/>
      <c r="C76" s="9"/>
      <c r="D76" s="9"/>
      <c r="E76" s="38"/>
    </row>
    <row r="77" ht="14.25" customHeight="1">
      <c r="A77" s="2"/>
      <c r="B77" s="23"/>
      <c r="C77" s="9"/>
      <c r="D77" s="9"/>
      <c r="E77" s="38"/>
    </row>
    <row r="78" ht="14.25" customHeight="1">
      <c r="A78" s="2"/>
      <c r="B78" s="23"/>
      <c r="C78" s="9"/>
      <c r="D78" s="9"/>
      <c r="E78" s="38"/>
    </row>
    <row r="79" ht="14.25" customHeight="1">
      <c r="A79" s="2"/>
      <c r="B79" s="23"/>
      <c r="C79" s="9"/>
      <c r="D79" s="9"/>
      <c r="E79" s="38"/>
    </row>
    <row r="80" ht="14.25" customHeight="1">
      <c r="A80" s="2"/>
      <c r="B80" s="23"/>
      <c r="C80" s="9"/>
      <c r="D80" s="9"/>
      <c r="E80" s="38"/>
    </row>
    <row r="81" ht="14.25" customHeight="1">
      <c r="A81" s="2"/>
      <c r="B81" s="23"/>
      <c r="C81" s="9"/>
      <c r="D81" s="9"/>
      <c r="E81" s="38"/>
    </row>
    <row r="82" ht="14.25" customHeight="1">
      <c r="A82" s="2"/>
      <c r="B82" s="23"/>
      <c r="C82" s="9"/>
      <c r="D82" s="9"/>
      <c r="E82" s="38"/>
    </row>
    <row r="83" ht="14.25" customHeight="1">
      <c r="A83" s="2"/>
      <c r="B83" s="23"/>
      <c r="C83" s="9"/>
      <c r="D83" s="9"/>
      <c r="E83" s="38"/>
    </row>
    <row r="84" ht="14.25" customHeight="1">
      <c r="A84" s="2"/>
      <c r="B84" s="23"/>
      <c r="C84" s="9"/>
      <c r="D84" s="9"/>
      <c r="E84" s="38"/>
    </row>
    <row r="85" ht="14.25" customHeight="1">
      <c r="A85" s="2"/>
      <c r="B85" s="23"/>
      <c r="C85" s="9"/>
      <c r="D85" s="9"/>
      <c r="E85" s="38"/>
    </row>
    <row r="86" ht="14.25" customHeight="1">
      <c r="A86" s="2"/>
      <c r="B86" s="23"/>
      <c r="C86" s="9"/>
      <c r="D86" s="9"/>
      <c r="E86" s="38"/>
    </row>
    <row r="87" ht="14.25" customHeight="1">
      <c r="A87" s="2"/>
      <c r="B87" s="23"/>
      <c r="C87" s="9"/>
      <c r="D87" s="9"/>
      <c r="E87" s="38"/>
    </row>
    <row r="88" ht="14.25" customHeight="1">
      <c r="A88" s="2"/>
      <c r="B88" s="23"/>
      <c r="C88" s="9"/>
      <c r="D88" s="9"/>
      <c r="E88" s="38"/>
    </row>
    <row r="89" ht="14.25" customHeight="1">
      <c r="A89" s="2"/>
      <c r="B89" s="23"/>
      <c r="C89" s="9"/>
      <c r="D89" s="9"/>
      <c r="E89" s="38"/>
    </row>
    <row r="90" ht="14.25" customHeight="1">
      <c r="A90" s="2"/>
      <c r="B90" s="23"/>
      <c r="C90" s="9"/>
      <c r="D90" s="9"/>
      <c r="E90" s="38"/>
    </row>
    <row r="91" ht="14.25" customHeight="1">
      <c r="A91" s="2"/>
      <c r="B91" s="23"/>
      <c r="C91" s="9"/>
      <c r="D91" s="9"/>
      <c r="E91" s="38"/>
    </row>
    <row r="92" ht="14.25" customHeight="1">
      <c r="A92" s="2"/>
      <c r="B92" s="23"/>
      <c r="C92" s="9"/>
      <c r="D92" s="9"/>
      <c r="E92" s="38"/>
    </row>
    <row r="93" ht="14.25" customHeight="1">
      <c r="A93" s="2"/>
      <c r="B93" s="23"/>
      <c r="C93" s="9"/>
      <c r="D93" s="9"/>
      <c r="E93" s="38"/>
    </row>
    <row r="94" ht="14.25" customHeight="1">
      <c r="A94" s="2"/>
      <c r="B94" s="23"/>
      <c r="C94" s="9"/>
      <c r="D94" s="9"/>
      <c r="E94" s="38"/>
    </row>
    <row r="95" ht="14.25" customHeight="1">
      <c r="A95" s="2"/>
      <c r="B95" s="23"/>
      <c r="C95" s="9"/>
      <c r="D95" s="9"/>
      <c r="E95" s="38"/>
    </row>
    <row r="96" ht="14.25" customHeight="1">
      <c r="A96" s="2"/>
      <c r="B96" s="23"/>
      <c r="C96" s="9"/>
      <c r="D96" s="9"/>
      <c r="E96" s="38"/>
    </row>
    <row r="97" ht="14.25" customHeight="1">
      <c r="A97" s="2"/>
      <c r="B97" s="23"/>
      <c r="C97" s="9"/>
      <c r="D97" s="9"/>
      <c r="E97" s="38"/>
    </row>
    <row r="98" ht="14.25" customHeight="1">
      <c r="A98" s="2"/>
      <c r="B98" s="23"/>
      <c r="C98" s="9"/>
      <c r="D98" s="9"/>
      <c r="E98" s="38"/>
    </row>
    <row r="99" ht="14.25" customHeight="1">
      <c r="A99" s="2"/>
      <c r="B99" s="23"/>
      <c r="C99" s="9"/>
      <c r="D99" s="9"/>
      <c r="E99" s="38"/>
    </row>
    <row r="100" ht="14.25" customHeight="1">
      <c r="A100" s="2"/>
      <c r="B100" s="23"/>
      <c r="C100" s="9"/>
      <c r="D100" s="9"/>
      <c r="E100" s="38"/>
    </row>
    <row r="101" ht="14.25" customHeight="1">
      <c r="A101" s="2"/>
      <c r="B101" s="23"/>
      <c r="C101" s="9"/>
      <c r="D101" s="9"/>
      <c r="E101" s="38"/>
    </row>
    <row r="102" ht="14.25" customHeight="1">
      <c r="A102" s="2"/>
      <c r="B102" s="23"/>
      <c r="C102" s="9"/>
      <c r="D102" s="9"/>
      <c r="E102" s="38"/>
    </row>
    <row r="103" ht="14.25" customHeight="1">
      <c r="A103" s="2"/>
      <c r="B103" s="23"/>
      <c r="C103" s="9"/>
      <c r="D103" s="9"/>
      <c r="E103" s="38"/>
    </row>
    <row r="104" ht="14.25" customHeight="1">
      <c r="A104" s="2"/>
      <c r="B104" s="23"/>
      <c r="C104" s="9"/>
      <c r="D104" s="9"/>
      <c r="E104" s="38"/>
    </row>
    <row r="105" ht="14.25" customHeight="1">
      <c r="A105" s="2"/>
      <c r="B105" s="23"/>
      <c r="C105" s="9"/>
      <c r="D105" s="9"/>
      <c r="E105" s="38"/>
    </row>
    <row r="106" ht="14.25" customHeight="1">
      <c r="A106" s="2"/>
      <c r="B106" s="23"/>
      <c r="C106" s="9"/>
      <c r="D106" s="9"/>
      <c r="E106" s="38"/>
    </row>
    <row r="107" ht="14.25" customHeight="1">
      <c r="A107" s="2"/>
      <c r="B107" s="23"/>
      <c r="C107" s="9"/>
      <c r="D107" s="9"/>
      <c r="E107" s="38"/>
    </row>
    <row r="108" ht="14.25" customHeight="1">
      <c r="A108" s="2"/>
      <c r="B108" s="23"/>
      <c r="C108" s="9"/>
      <c r="D108" s="9"/>
      <c r="E108" s="38"/>
    </row>
    <row r="109" ht="14.25" customHeight="1">
      <c r="A109" s="2"/>
      <c r="B109" s="23"/>
      <c r="C109" s="9"/>
      <c r="D109" s="9"/>
      <c r="E109" s="38"/>
    </row>
    <row r="110" ht="14.25" customHeight="1">
      <c r="A110" s="2"/>
      <c r="B110" s="23"/>
      <c r="C110" s="9"/>
      <c r="D110" s="9"/>
      <c r="E110" s="38"/>
    </row>
    <row r="111" ht="14.25" customHeight="1">
      <c r="A111" s="2"/>
      <c r="B111" s="23"/>
      <c r="C111" s="9"/>
      <c r="D111" s="9"/>
      <c r="E111" s="38"/>
    </row>
    <row r="112" ht="14.25" customHeight="1">
      <c r="A112" s="2"/>
      <c r="B112" s="23"/>
      <c r="C112" s="9"/>
      <c r="D112" s="9"/>
      <c r="E112" s="38"/>
    </row>
    <row r="113" ht="14.25" customHeight="1">
      <c r="A113" s="2"/>
      <c r="B113" s="23"/>
      <c r="C113" s="9"/>
      <c r="D113" s="9"/>
      <c r="E113" s="38"/>
    </row>
    <row r="114" ht="14.25" customHeight="1">
      <c r="A114" s="2"/>
      <c r="B114" s="23"/>
      <c r="C114" s="9"/>
      <c r="D114" s="9"/>
      <c r="E114" s="38"/>
    </row>
    <row r="115" ht="14.25" customHeight="1">
      <c r="A115" s="2"/>
      <c r="B115" s="23"/>
      <c r="C115" s="9"/>
      <c r="D115" s="9"/>
      <c r="E115" s="38"/>
    </row>
    <row r="116" ht="14.25" customHeight="1">
      <c r="A116" s="2"/>
      <c r="B116" s="23"/>
      <c r="C116" s="9"/>
      <c r="D116" s="9"/>
      <c r="E116" s="38"/>
    </row>
    <row r="117" ht="14.25" customHeight="1">
      <c r="A117" s="2"/>
      <c r="B117" s="23"/>
      <c r="C117" s="9"/>
      <c r="D117" s="9"/>
      <c r="E117" s="38"/>
    </row>
    <row r="118" ht="14.25" customHeight="1">
      <c r="A118" s="2"/>
      <c r="B118" s="23"/>
      <c r="C118" s="9"/>
      <c r="D118" s="9"/>
      <c r="E118" s="38"/>
    </row>
    <row r="119" ht="14.25" customHeight="1">
      <c r="A119" s="2"/>
      <c r="B119" s="23"/>
      <c r="C119" s="9"/>
      <c r="D119" s="9"/>
      <c r="E119" s="38"/>
    </row>
    <row r="120" ht="14.25" customHeight="1">
      <c r="A120" s="2"/>
      <c r="B120" s="23"/>
      <c r="C120" s="9"/>
      <c r="D120" s="9"/>
      <c r="E120" s="38"/>
    </row>
    <row r="121" ht="14.25" customHeight="1">
      <c r="A121" s="2"/>
      <c r="B121" s="23"/>
      <c r="C121" s="9"/>
      <c r="D121" s="9"/>
      <c r="E121" s="38"/>
    </row>
    <row r="122" ht="14.25" customHeight="1">
      <c r="A122" s="2"/>
      <c r="B122" s="23"/>
      <c r="C122" s="9"/>
      <c r="D122" s="9"/>
      <c r="E122" s="38"/>
    </row>
    <row r="123" ht="14.25" customHeight="1">
      <c r="A123" s="2"/>
      <c r="B123" s="23"/>
      <c r="C123" s="9"/>
      <c r="D123" s="9"/>
      <c r="E123" s="38"/>
    </row>
    <row r="124" ht="14.25" customHeight="1">
      <c r="A124" s="2"/>
      <c r="B124" s="23"/>
      <c r="C124" s="9"/>
      <c r="D124" s="9"/>
      <c r="E124" s="38"/>
    </row>
    <row r="125" ht="14.25" customHeight="1">
      <c r="A125" s="2"/>
      <c r="B125" s="23"/>
      <c r="C125" s="9"/>
      <c r="D125" s="9"/>
      <c r="E125" s="38"/>
    </row>
    <row r="126" ht="14.25" customHeight="1">
      <c r="A126" s="2"/>
      <c r="B126" s="23"/>
      <c r="C126" s="9"/>
      <c r="D126" s="9"/>
      <c r="E126" s="38"/>
    </row>
    <row r="127" ht="14.25" customHeight="1">
      <c r="A127" s="2"/>
      <c r="B127" s="23"/>
      <c r="C127" s="9"/>
      <c r="D127" s="9"/>
      <c r="E127" s="38"/>
    </row>
    <row r="128" ht="14.25" customHeight="1">
      <c r="A128" s="2"/>
      <c r="B128" s="23"/>
      <c r="C128" s="9"/>
      <c r="D128" s="9"/>
      <c r="E128" s="38"/>
    </row>
    <row r="129" ht="14.25" customHeight="1">
      <c r="A129" s="2"/>
      <c r="B129" s="23"/>
      <c r="C129" s="9"/>
      <c r="D129" s="9"/>
      <c r="E129" s="38"/>
    </row>
    <row r="130" ht="14.25" customHeight="1">
      <c r="A130" s="2"/>
      <c r="B130" s="23"/>
      <c r="C130" s="9"/>
      <c r="D130" s="9"/>
      <c r="E130" s="38"/>
    </row>
    <row r="131" ht="14.25" customHeight="1">
      <c r="A131" s="2"/>
      <c r="B131" s="23"/>
      <c r="C131" s="9"/>
      <c r="D131" s="9"/>
      <c r="E131" s="38"/>
    </row>
    <row r="132" ht="14.25" customHeight="1">
      <c r="A132" s="2"/>
      <c r="B132" s="23"/>
      <c r="C132" s="9"/>
      <c r="D132" s="9"/>
      <c r="E132" s="38"/>
    </row>
    <row r="133" ht="14.25" customHeight="1">
      <c r="A133" s="2"/>
      <c r="B133" s="23"/>
      <c r="C133" s="9"/>
      <c r="D133" s="9"/>
      <c r="E133" s="38"/>
    </row>
    <row r="134" ht="14.25" customHeight="1">
      <c r="A134" s="2"/>
      <c r="B134" s="23"/>
      <c r="C134" s="9"/>
      <c r="D134" s="9"/>
      <c r="E134" s="38"/>
    </row>
    <row r="135" ht="14.25" customHeight="1">
      <c r="A135" s="2"/>
      <c r="B135" s="23"/>
      <c r="C135" s="9"/>
      <c r="D135" s="9"/>
      <c r="E135" s="38"/>
    </row>
    <row r="136" ht="14.25" customHeight="1">
      <c r="A136" s="2"/>
      <c r="B136" s="23"/>
      <c r="C136" s="9"/>
      <c r="D136" s="9"/>
      <c r="E136" s="38"/>
    </row>
    <row r="137" ht="14.25" customHeight="1">
      <c r="A137" s="2"/>
      <c r="B137" s="23"/>
      <c r="C137" s="9"/>
      <c r="D137" s="9"/>
      <c r="E137" s="38"/>
    </row>
    <row r="138" ht="14.25" customHeight="1">
      <c r="A138" s="2"/>
      <c r="B138" s="23"/>
      <c r="C138" s="9"/>
      <c r="D138" s="9"/>
      <c r="E138" s="38"/>
    </row>
    <row r="139" ht="14.25" customHeight="1">
      <c r="A139" s="2"/>
      <c r="B139" s="23"/>
      <c r="C139" s="9"/>
      <c r="D139" s="9"/>
      <c r="E139" s="38"/>
    </row>
    <row r="140" ht="14.25" customHeight="1">
      <c r="A140" s="2"/>
      <c r="B140" s="23"/>
      <c r="C140" s="9"/>
      <c r="D140" s="9"/>
      <c r="E140" s="38"/>
    </row>
    <row r="141" ht="14.25" customHeight="1">
      <c r="A141" s="2"/>
      <c r="B141" s="23"/>
      <c r="C141" s="9"/>
      <c r="D141" s="9"/>
      <c r="E141" s="38"/>
    </row>
    <row r="142" ht="14.25" customHeight="1">
      <c r="A142" s="2"/>
      <c r="B142" s="23"/>
      <c r="C142" s="9"/>
      <c r="D142" s="9"/>
      <c r="E142" s="38"/>
    </row>
    <row r="143" ht="14.25" customHeight="1">
      <c r="A143" s="2"/>
      <c r="B143" s="23"/>
      <c r="C143" s="9"/>
      <c r="D143" s="9"/>
      <c r="E143" s="38"/>
    </row>
    <row r="144" ht="14.25" customHeight="1">
      <c r="A144" s="2"/>
      <c r="B144" s="23"/>
      <c r="C144" s="9"/>
      <c r="D144" s="9"/>
      <c r="E144" s="38"/>
    </row>
    <row r="145" ht="14.25" customHeight="1">
      <c r="A145" s="2"/>
      <c r="B145" s="23"/>
      <c r="C145" s="9"/>
      <c r="D145" s="9"/>
      <c r="E145" s="38"/>
    </row>
    <row r="146" ht="14.25" customHeight="1">
      <c r="A146" s="2"/>
      <c r="B146" s="23"/>
      <c r="C146" s="9"/>
      <c r="D146" s="9"/>
      <c r="E146" s="38"/>
    </row>
    <row r="147" ht="14.25" customHeight="1">
      <c r="A147" s="2"/>
      <c r="B147" s="23"/>
      <c r="C147" s="9"/>
      <c r="D147" s="9"/>
      <c r="E147" s="38"/>
    </row>
    <row r="148" ht="14.25" customHeight="1">
      <c r="A148" s="2"/>
      <c r="B148" s="23"/>
      <c r="C148" s="9"/>
      <c r="D148" s="9"/>
      <c r="E148" s="38"/>
    </row>
    <row r="149" ht="14.25" customHeight="1">
      <c r="A149" s="2"/>
      <c r="B149" s="23"/>
      <c r="C149" s="9"/>
      <c r="D149" s="9"/>
      <c r="E149" s="38"/>
    </row>
    <row r="150" ht="14.25" customHeight="1">
      <c r="A150" s="2"/>
      <c r="B150" s="23"/>
      <c r="C150" s="9"/>
      <c r="D150" s="9"/>
      <c r="E150" s="38"/>
    </row>
    <row r="151" ht="14.25" customHeight="1">
      <c r="A151" s="2"/>
      <c r="B151" s="23"/>
      <c r="C151" s="9"/>
      <c r="D151" s="9"/>
      <c r="E151" s="38"/>
    </row>
    <row r="152" ht="14.25" customHeight="1">
      <c r="A152" s="2"/>
      <c r="B152" s="23"/>
      <c r="C152" s="9"/>
      <c r="D152" s="9"/>
      <c r="E152" s="38"/>
    </row>
    <row r="153" ht="14.25" customHeight="1">
      <c r="A153" s="2"/>
      <c r="B153" s="23"/>
      <c r="C153" s="9"/>
      <c r="D153" s="9"/>
      <c r="E153" s="38"/>
    </row>
    <row r="154" ht="14.25" customHeight="1">
      <c r="A154" s="2"/>
      <c r="B154" s="23"/>
      <c r="C154" s="9"/>
      <c r="D154" s="9"/>
      <c r="E154" s="38"/>
    </row>
    <row r="155" ht="14.25" customHeight="1">
      <c r="A155" s="2"/>
      <c r="B155" s="23"/>
      <c r="C155" s="9"/>
      <c r="D155" s="9"/>
      <c r="E155" s="38"/>
    </row>
    <row r="156" ht="14.25" customHeight="1">
      <c r="A156" s="2"/>
      <c r="B156" s="23"/>
      <c r="C156" s="9"/>
      <c r="D156" s="9"/>
      <c r="E156" s="38"/>
    </row>
    <row r="157" ht="14.25" customHeight="1">
      <c r="A157" s="2"/>
      <c r="B157" s="23"/>
      <c r="C157" s="9"/>
      <c r="D157" s="9"/>
      <c r="E157" s="38"/>
    </row>
    <row r="158" ht="14.25" customHeight="1">
      <c r="A158" s="2"/>
      <c r="B158" s="23"/>
      <c r="C158" s="9"/>
      <c r="D158" s="9"/>
      <c r="E158" s="38"/>
    </row>
    <row r="159" ht="14.25" customHeight="1">
      <c r="A159" s="2"/>
      <c r="B159" s="23"/>
      <c r="C159" s="9"/>
      <c r="D159" s="9"/>
      <c r="E159" s="38"/>
    </row>
    <row r="160" ht="14.25" customHeight="1">
      <c r="A160" s="2"/>
      <c r="B160" s="23"/>
      <c r="C160" s="9"/>
      <c r="D160" s="9"/>
      <c r="E160" s="38"/>
    </row>
    <row r="161" ht="14.25" customHeight="1">
      <c r="A161" s="2"/>
      <c r="B161" s="23"/>
      <c r="C161" s="9"/>
      <c r="D161" s="9"/>
      <c r="E161" s="38"/>
    </row>
    <row r="162" ht="14.25" customHeight="1">
      <c r="A162" s="2"/>
      <c r="B162" s="23"/>
      <c r="C162" s="9"/>
      <c r="D162" s="9"/>
      <c r="E162" s="38"/>
    </row>
    <row r="163" ht="14.25" customHeight="1">
      <c r="A163" s="2"/>
      <c r="B163" s="23"/>
      <c r="C163" s="9"/>
      <c r="D163" s="9"/>
      <c r="E163" s="38"/>
    </row>
    <row r="164" ht="14.25" customHeight="1">
      <c r="A164" s="2"/>
      <c r="B164" s="23"/>
      <c r="C164" s="9"/>
      <c r="D164" s="9"/>
      <c r="E164" s="38"/>
    </row>
    <row r="165" ht="14.25" customHeight="1">
      <c r="A165" s="2"/>
      <c r="B165" s="23"/>
      <c r="C165" s="9"/>
      <c r="D165" s="9"/>
      <c r="E165" s="38"/>
    </row>
    <row r="166" ht="14.25" customHeight="1">
      <c r="A166" s="2"/>
      <c r="B166" s="23"/>
      <c r="C166" s="9"/>
      <c r="D166" s="9"/>
      <c r="E166" s="38"/>
    </row>
    <row r="167" ht="14.25" customHeight="1">
      <c r="A167" s="2"/>
      <c r="B167" s="23"/>
      <c r="C167" s="9"/>
      <c r="D167" s="9"/>
      <c r="E167" s="38"/>
    </row>
    <row r="168" ht="14.25" customHeight="1">
      <c r="A168" s="2"/>
      <c r="B168" s="23"/>
      <c r="C168" s="9"/>
      <c r="D168" s="9"/>
      <c r="E168" s="38"/>
    </row>
    <row r="169" ht="14.25" customHeight="1">
      <c r="A169" s="2"/>
      <c r="B169" s="23"/>
      <c r="C169" s="9"/>
      <c r="D169" s="9"/>
      <c r="E169" s="38"/>
    </row>
    <row r="170" ht="14.25" customHeight="1">
      <c r="A170" s="2"/>
      <c r="B170" s="23"/>
      <c r="C170" s="9"/>
      <c r="D170" s="9"/>
      <c r="E170" s="38"/>
    </row>
    <row r="171" ht="14.25" customHeight="1">
      <c r="A171" s="2"/>
      <c r="B171" s="23"/>
      <c r="C171" s="9"/>
      <c r="D171" s="9"/>
      <c r="E171" s="38"/>
    </row>
    <row r="172" ht="14.25" customHeight="1">
      <c r="A172" s="2"/>
      <c r="B172" s="23"/>
      <c r="C172" s="9"/>
      <c r="D172" s="9"/>
      <c r="E172" s="38"/>
    </row>
    <row r="173" ht="14.25" customHeight="1">
      <c r="A173" s="2"/>
      <c r="B173" s="23"/>
      <c r="C173" s="9"/>
      <c r="D173" s="9"/>
      <c r="E173" s="38"/>
    </row>
    <row r="174" ht="14.25" customHeight="1">
      <c r="A174" s="2"/>
      <c r="B174" s="23"/>
      <c r="C174" s="9"/>
      <c r="D174" s="9"/>
      <c r="E174" s="38"/>
    </row>
    <row r="175" ht="14.25" customHeight="1">
      <c r="A175" s="2"/>
      <c r="B175" s="23"/>
      <c r="C175" s="9"/>
      <c r="D175" s="9"/>
      <c r="E175" s="38"/>
    </row>
    <row r="176" ht="14.25" customHeight="1">
      <c r="A176" s="2"/>
      <c r="B176" s="23"/>
      <c r="C176" s="9"/>
      <c r="D176" s="9"/>
      <c r="E176" s="38"/>
    </row>
    <row r="177" ht="14.25" customHeight="1">
      <c r="A177" s="2"/>
      <c r="B177" s="23"/>
      <c r="C177" s="9"/>
      <c r="D177" s="9"/>
      <c r="E177" s="38"/>
    </row>
    <row r="178" ht="14.25" customHeight="1">
      <c r="A178" s="2"/>
      <c r="B178" s="23"/>
      <c r="C178" s="9"/>
      <c r="D178" s="9"/>
      <c r="E178" s="38"/>
    </row>
    <row r="179" ht="14.25" customHeight="1">
      <c r="A179" s="2"/>
      <c r="B179" s="23"/>
      <c r="C179" s="9"/>
      <c r="D179" s="9"/>
      <c r="E179" s="38"/>
    </row>
    <row r="180" ht="14.25" customHeight="1">
      <c r="A180" s="2"/>
      <c r="B180" s="23"/>
      <c r="C180" s="9"/>
      <c r="D180" s="9"/>
      <c r="E180" s="38"/>
    </row>
    <row r="181" ht="14.25" customHeight="1">
      <c r="A181" s="2"/>
      <c r="B181" s="23"/>
      <c r="C181" s="9"/>
      <c r="D181" s="9"/>
      <c r="E181" s="38"/>
    </row>
    <row r="182" ht="14.25" customHeight="1">
      <c r="A182" s="2"/>
      <c r="B182" s="23"/>
      <c r="C182" s="9"/>
      <c r="D182" s="9"/>
      <c r="E182" s="38"/>
    </row>
    <row r="183" ht="14.25" customHeight="1">
      <c r="A183" s="2"/>
      <c r="B183" s="23"/>
      <c r="C183" s="9"/>
      <c r="D183" s="9"/>
      <c r="E183" s="38"/>
    </row>
    <row r="184" ht="14.25" customHeight="1">
      <c r="A184" s="2"/>
      <c r="B184" s="23"/>
      <c r="C184" s="9"/>
      <c r="D184" s="9"/>
      <c r="E184" s="38"/>
    </row>
    <row r="185" ht="14.25" customHeight="1">
      <c r="A185" s="2"/>
      <c r="B185" s="23"/>
      <c r="C185" s="9"/>
      <c r="D185" s="9"/>
      <c r="E185" s="38"/>
    </row>
    <row r="186" ht="14.25" customHeight="1">
      <c r="A186" s="2"/>
      <c r="B186" s="23"/>
      <c r="C186" s="9"/>
      <c r="D186" s="9"/>
      <c r="E186" s="38"/>
    </row>
    <row r="187" ht="14.25" customHeight="1">
      <c r="A187" s="2"/>
      <c r="B187" s="23"/>
      <c r="C187" s="9"/>
      <c r="D187" s="9"/>
      <c r="E187" s="38"/>
    </row>
    <row r="188" ht="14.25" customHeight="1">
      <c r="A188" s="2"/>
      <c r="B188" s="23"/>
      <c r="C188" s="9"/>
      <c r="D188" s="9"/>
      <c r="E188" s="38"/>
    </row>
    <row r="189" ht="14.25" customHeight="1">
      <c r="A189" s="2"/>
      <c r="B189" s="23"/>
      <c r="C189" s="9"/>
      <c r="D189" s="9"/>
      <c r="E189" s="38"/>
    </row>
    <row r="190" ht="14.25" customHeight="1">
      <c r="A190" s="2"/>
      <c r="B190" s="23"/>
      <c r="C190" s="9"/>
      <c r="D190" s="9"/>
      <c r="E190" s="38"/>
    </row>
    <row r="191" ht="14.25" customHeight="1">
      <c r="A191" s="2"/>
      <c r="B191" s="23"/>
      <c r="C191" s="9"/>
      <c r="D191" s="9"/>
      <c r="E191" s="38"/>
    </row>
    <row r="192" ht="14.25" customHeight="1">
      <c r="A192" s="2"/>
      <c r="B192" s="23"/>
      <c r="C192" s="9"/>
      <c r="D192" s="9"/>
      <c r="E192" s="38"/>
    </row>
    <row r="193" ht="14.25" customHeight="1">
      <c r="A193" s="2"/>
      <c r="B193" s="23"/>
      <c r="C193" s="9"/>
      <c r="D193" s="9"/>
      <c r="E193" s="38"/>
    </row>
    <row r="194" ht="14.25" customHeight="1">
      <c r="A194" s="2"/>
      <c r="B194" s="23"/>
      <c r="C194" s="9"/>
      <c r="D194" s="9"/>
      <c r="E194" s="38"/>
    </row>
    <row r="195" ht="14.25" customHeight="1">
      <c r="A195" s="2"/>
      <c r="B195" s="23"/>
      <c r="C195" s="9"/>
      <c r="D195" s="9"/>
      <c r="E195" s="38"/>
    </row>
    <row r="196" ht="14.25" customHeight="1">
      <c r="A196" s="2"/>
      <c r="B196" s="23"/>
      <c r="C196" s="9"/>
      <c r="D196" s="9"/>
      <c r="E196" s="38"/>
    </row>
    <row r="197" ht="14.25" customHeight="1">
      <c r="A197" s="2"/>
      <c r="B197" s="23"/>
      <c r="C197" s="9"/>
      <c r="D197" s="9"/>
      <c r="E197" s="38"/>
    </row>
    <row r="198" ht="14.25" customHeight="1">
      <c r="A198" s="2"/>
      <c r="B198" s="23"/>
      <c r="C198" s="9"/>
      <c r="D198" s="9"/>
      <c r="E198" s="38"/>
    </row>
    <row r="199" ht="14.25" customHeight="1">
      <c r="A199" s="2"/>
      <c r="B199" s="23"/>
      <c r="C199" s="9"/>
      <c r="D199" s="9"/>
      <c r="E199" s="38"/>
    </row>
    <row r="200" ht="14.25" customHeight="1">
      <c r="A200" s="2"/>
      <c r="B200" s="23"/>
      <c r="C200" s="9"/>
      <c r="D200" s="9"/>
      <c r="E200" s="38"/>
    </row>
    <row r="201" ht="14.25" customHeight="1">
      <c r="A201" s="2"/>
      <c r="B201" s="23"/>
      <c r="C201" s="9"/>
      <c r="D201" s="9"/>
      <c r="E201" s="38"/>
    </row>
    <row r="202" ht="14.25" customHeight="1">
      <c r="A202" s="2"/>
      <c r="B202" s="23"/>
      <c r="C202" s="9"/>
      <c r="D202" s="9"/>
      <c r="E202" s="38"/>
    </row>
    <row r="203" ht="14.25" customHeight="1">
      <c r="A203" s="2"/>
      <c r="B203" s="23"/>
      <c r="C203" s="9"/>
      <c r="D203" s="9"/>
      <c r="E203" s="38"/>
    </row>
    <row r="204" ht="14.25" customHeight="1">
      <c r="A204" s="2"/>
      <c r="B204" s="23"/>
      <c r="C204" s="9"/>
      <c r="D204" s="9"/>
      <c r="E204" s="38"/>
    </row>
    <row r="205" ht="14.25" customHeight="1">
      <c r="A205" s="2"/>
      <c r="B205" s="23"/>
      <c r="C205" s="9"/>
      <c r="D205" s="9"/>
      <c r="E205" s="38"/>
    </row>
    <row r="206" ht="14.25" customHeight="1">
      <c r="A206" s="2"/>
      <c r="B206" s="23"/>
      <c r="C206" s="9"/>
      <c r="D206" s="9"/>
      <c r="E206" s="38"/>
    </row>
    <row r="207" ht="14.25" customHeight="1">
      <c r="A207" s="2"/>
      <c r="B207" s="23"/>
      <c r="C207" s="9"/>
      <c r="D207" s="9"/>
      <c r="E207" s="38"/>
    </row>
    <row r="208" ht="14.25" customHeight="1">
      <c r="A208" s="2"/>
      <c r="B208" s="23"/>
      <c r="C208" s="9"/>
      <c r="D208" s="9"/>
      <c r="E208" s="38"/>
    </row>
    <row r="209" ht="14.25" customHeight="1">
      <c r="A209" s="2"/>
      <c r="B209" s="23"/>
      <c r="C209" s="9"/>
      <c r="D209" s="9"/>
      <c r="E209" s="38"/>
    </row>
    <row r="210" ht="14.25" customHeight="1">
      <c r="A210" s="2"/>
      <c r="B210" s="23"/>
      <c r="C210" s="9"/>
      <c r="D210" s="9"/>
      <c r="E210" s="38"/>
    </row>
    <row r="211" ht="14.25" customHeight="1">
      <c r="A211" s="2"/>
      <c r="B211" s="23"/>
      <c r="C211" s="9"/>
      <c r="D211" s="9"/>
      <c r="E211" s="38"/>
    </row>
    <row r="212" ht="14.25" customHeight="1">
      <c r="A212" s="2"/>
      <c r="B212" s="23"/>
      <c r="C212" s="9"/>
      <c r="D212" s="9"/>
      <c r="E212" s="38"/>
    </row>
    <row r="213" ht="14.25" customHeight="1">
      <c r="A213" s="2"/>
      <c r="B213" s="23"/>
      <c r="C213" s="9"/>
      <c r="D213" s="9"/>
      <c r="E213" s="38"/>
    </row>
    <row r="214" ht="14.25" customHeight="1">
      <c r="A214" s="2"/>
      <c r="B214" s="23"/>
      <c r="C214" s="9"/>
      <c r="D214" s="9"/>
      <c r="E214" s="38"/>
    </row>
    <row r="215" ht="14.25" customHeight="1">
      <c r="A215" s="2"/>
      <c r="B215" s="23"/>
      <c r="C215" s="9"/>
      <c r="D215" s="9"/>
      <c r="E215" s="38"/>
    </row>
    <row r="216" ht="14.25" customHeight="1">
      <c r="A216" s="2"/>
      <c r="B216" s="23"/>
      <c r="C216" s="9"/>
      <c r="D216" s="9"/>
      <c r="E216" s="38"/>
    </row>
    <row r="217" ht="14.25" customHeight="1">
      <c r="A217" s="2"/>
      <c r="B217" s="23"/>
      <c r="C217" s="9"/>
      <c r="D217" s="9"/>
      <c r="E217" s="38"/>
    </row>
    <row r="218" ht="14.25" customHeight="1">
      <c r="A218" s="2"/>
      <c r="B218" s="23"/>
      <c r="C218" s="9"/>
      <c r="D218" s="9"/>
      <c r="E218" s="38"/>
    </row>
    <row r="219" ht="14.25" customHeight="1">
      <c r="A219" s="2"/>
      <c r="B219" s="23"/>
      <c r="C219" s="9"/>
      <c r="D219" s="9"/>
      <c r="E219" s="38"/>
    </row>
    <row r="220" ht="14.25" customHeight="1">
      <c r="A220" s="2"/>
      <c r="B220" s="23"/>
      <c r="C220" s="9"/>
      <c r="D220" s="9"/>
      <c r="E220" s="38"/>
    </row>
    <row r="221" ht="14.25" customHeight="1">
      <c r="A221" s="2"/>
      <c r="B221" s="23"/>
      <c r="C221" s="9"/>
      <c r="D221" s="9"/>
      <c r="E221" s="38"/>
    </row>
    <row r="222" ht="14.25" customHeight="1">
      <c r="A222" s="2"/>
      <c r="B222" s="23"/>
      <c r="C222" s="9"/>
      <c r="D222" s="9"/>
      <c r="E222" s="38"/>
    </row>
    <row r="223" ht="14.25" customHeight="1">
      <c r="A223" s="2"/>
      <c r="B223" s="23"/>
      <c r="C223" s="9"/>
      <c r="D223" s="9"/>
      <c r="E223" s="38"/>
    </row>
    <row r="224" ht="14.25" customHeight="1">
      <c r="A224" s="2"/>
      <c r="B224" s="23"/>
      <c r="C224" s="9"/>
      <c r="D224" s="9"/>
      <c r="E224" s="38"/>
    </row>
    <row r="225" ht="14.25" customHeight="1">
      <c r="A225" s="2"/>
      <c r="B225" s="23"/>
      <c r="C225" s="9"/>
      <c r="D225" s="9"/>
      <c r="E225" s="38"/>
    </row>
    <row r="226" ht="14.25" customHeight="1">
      <c r="A226" s="2"/>
      <c r="B226" s="23"/>
      <c r="C226" s="9"/>
      <c r="D226" s="9"/>
      <c r="E226" s="38"/>
    </row>
    <row r="227" ht="14.25" customHeight="1">
      <c r="A227" s="2"/>
      <c r="B227" s="23"/>
      <c r="C227" s="9"/>
      <c r="D227" s="9"/>
      <c r="E227" s="38"/>
    </row>
    <row r="228" ht="14.25" customHeight="1">
      <c r="A228" s="2"/>
      <c r="B228" s="23"/>
      <c r="C228" s="9"/>
      <c r="D228" s="9"/>
      <c r="E228" s="38"/>
    </row>
    <row r="229" ht="14.25" customHeight="1">
      <c r="A229" s="2"/>
      <c r="B229" s="23"/>
      <c r="C229" s="9"/>
      <c r="D229" s="9"/>
      <c r="E229" s="38"/>
    </row>
    <row r="230" ht="14.25" customHeight="1">
      <c r="A230" s="2"/>
      <c r="B230" s="23"/>
      <c r="C230" s="9"/>
      <c r="D230" s="9"/>
      <c r="E230" s="38"/>
    </row>
    <row r="231" ht="14.25" customHeight="1">
      <c r="A231" s="2"/>
      <c r="B231" s="23"/>
      <c r="C231" s="9"/>
      <c r="D231" s="9"/>
      <c r="E231" s="38"/>
    </row>
    <row r="232" ht="14.25" customHeight="1">
      <c r="A232" s="2"/>
      <c r="B232" s="23"/>
      <c r="C232" s="9"/>
      <c r="D232" s="9"/>
      <c r="E232" s="38"/>
    </row>
    <row r="233" ht="14.25" customHeight="1">
      <c r="A233" s="2"/>
      <c r="B233" s="23"/>
      <c r="C233" s="9"/>
      <c r="D233" s="9"/>
      <c r="E233" s="38"/>
    </row>
    <row r="234" ht="14.25" customHeight="1">
      <c r="A234" s="2"/>
      <c r="B234" s="23"/>
      <c r="C234" s="9"/>
      <c r="D234" s="9"/>
      <c r="E234" s="38"/>
    </row>
    <row r="235" ht="14.25" customHeight="1">
      <c r="A235" s="2"/>
      <c r="B235" s="23"/>
      <c r="C235" s="9"/>
      <c r="D235" s="9"/>
      <c r="E235" s="38"/>
    </row>
    <row r="236" ht="14.25" customHeight="1">
      <c r="A236" s="2"/>
      <c r="B236" s="23"/>
      <c r="C236" s="9"/>
      <c r="D236" s="9"/>
      <c r="E236" s="38"/>
    </row>
    <row r="237" ht="14.25" customHeight="1">
      <c r="A237" s="2"/>
      <c r="B237" s="23"/>
      <c r="C237" s="9"/>
      <c r="D237" s="9"/>
      <c r="E237" s="38"/>
    </row>
    <row r="238" ht="14.25" customHeight="1">
      <c r="A238" s="2"/>
      <c r="B238" s="23"/>
      <c r="C238" s="9"/>
      <c r="D238" s="9"/>
      <c r="E238" s="38"/>
    </row>
    <row r="239" ht="14.25" customHeight="1">
      <c r="B239" s="23"/>
      <c r="E239" s="36"/>
    </row>
    <row r="240" ht="14.25" customHeight="1">
      <c r="B240" s="23"/>
      <c r="E240" s="36"/>
    </row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1:$E$40">
    <sortState ref="A1:E40">
      <sortCondition ref="B1:B40"/>
      <sortCondition ref="A1:A40"/>
    </sortState>
  </autoFilter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13.0"/>
    <col customWidth="1" min="2" max="2" width="16.29"/>
    <col customWidth="1" min="3" max="3" width="19.71"/>
    <col customWidth="1" min="4" max="4" width="16.71"/>
    <col customWidth="1" min="5" max="5" width="14.43"/>
    <col customWidth="1" min="6" max="6" width="21.57"/>
    <col customWidth="1" min="7" max="7" width="20.43"/>
    <col customWidth="1" min="8" max="8" width="8.57"/>
    <col customWidth="1" min="9" max="9" width="3.0"/>
    <col customWidth="1" min="10" max="10" width="30.71"/>
    <col customWidth="1" min="11" max="11" width="17.71"/>
    <col customWidth="1" min="12" max="12" width="16.0"/>
    <col customWidth="1" hidden="1" min="13" max="13" width="15.0"/>
    <col customWidth="1" min="14" max="26" width="8.57"/>
  </cols>
  <sheetData>
    <row r="1" ht="19.5" customHeight="1">
      <c r="A1" s="43" t="s">
        <v>101</v>
      </c>
      <c r="B1" s="44"/>
      <c r="C1" s="44"/>
      <c r="D1" s="44"/>
      <c r="E1" s="44"/>
      <c r="F1" s="44"/>
      <c r="G1" s="45"/>
      <c r="H1" s="46"/>
      <c r="I1" s="46"/>
      <c r="J1" s="46"/>
      <c r="K1" s="46"/>
      <c r="M1" s="8" t="s">
        <v>102</v>
      </c>
    </row>
    <row r="2" ht="15.75" customHeight="1">
      <c r="J2" s="47" t="s">
        <v>103</v>
      </c>
      <c r="K2" s="47"/>
      <c r="M2" s="48">
        <f>EOMONTH(MAX(MAX('Todos os Gastos'!$A:$A),MAX('Inventário de Lotes'!$B:$B)),-1)+1</f>
        <v>46447</v>
      </c>
    </row>
    <row r="3" ht="15.0" customHeight="1">
      <c r="A3" s="49" t="s">
        <v>104</v>
      </c>
      <c r="B3" s="49" t="s">
        <v>105</v>
      </c>
      <c r="C3" s="49" t="s">
        <v>106</v>
      </c>
      <c r="D3" s="49" t="s">
        <v>107</v>
      </c>
      <c r="E3" s="49" t="s">
        <v>108</v>
      </c>
      <c r="F3" s="49" t="s">
        <v>109</v>
      </c>
      <c r="G3" s="49" t="s">
        <v>110</v>
      </c>
      <c r="J3" s="50" t="s">
        <v>111</v>
      </c>
      <c r="K3" s="51">
        <f>SUM(B4:B123)</f>
        <v>210236.61</v>
      </c>
      <c r="M3" s="8" t="s">
        <v>112</v>
      </c>
    </row>
    <row r="4" ht="15.0" customHeight="1">
      <c r="A4" s="52">
        <v>46054.0</v>
      </c>
      <c r="B4" s="53">
        <f>IF($A4="","",SUMIFS('Todos os Gastos'!$C:$C,'Todos os Gastos'!$A:$A,"&gt;="&amp;$A4,'Todos os Gastos'!$A:$A,"&lt;"&amp;EDATE($A4,1)))</f>
        <v>14232.41</v>
      </c>
      <c r="C4" s="53">
        <f>IF($A4="","",SUMIFS('Inventário de Lotes'!$D:$D,'Inventário de Lotes'!$B:$B,"&gt;="&amp;$A4,'Inventário de Lotes'!$B:$B,"&lt;"&amp;EDATE($A4,1)))</f>
        <v>32560.5</v>
      </c>
      <c r="D4" s="53">
        <f t="shared" ref="D4:D123" si="1">IF($A4="","",C4-B4)</f>
        <v>18328.09</v>
      </c>
      <c r="E4" s="54">
        <f>IF($A4="","",COUNTIFS('Todos os Gastos'!$A:$A,"&gt;="&amp;$A4,'Todos os Gastos'!$A:$A,"&lt;"&amp;EDATE($A4,1)))</f>
        <v>11</v>
      </c>
      <c r="F4" s="54">
        <f>IF($A4="","",COUNTIFS('Inventário de Lotes'!$B:$B,"&gt;="&amp;$A4,'Inventário de Lotes'!$B:$B,"&lt;"&amp;EDATE($A4,1)))</f>
        <v>6</v>
      </c>
      <c r="G4" s="53">
        <f t="shared" ref="G4:G123" si="2">IF($A4="","",SUM($D$4:D4))</f>
        <v>18328.09</v>
      </c>
      <c r="J4" s="50" t="s">
        <v>113</v>
      </c>
      <c r="K4" s="51">
        <f>SUM(C4:C123)</f>
        <v>211129.41</v>
      </c>
      <c r="M4" s="52">
        <v>46054.0</v>
      </c>
    </row>
    <row r="5" ht="15.0" customHeight="1">
      <c r="A5" s="55">
        <f t="shared" ref="A5:A123" si="3">IF(A4&lt;$M$2,EDATE(A4,1),"")</f>
        <v>46082</v>
      </c>
      <c r="B5" s="56">
        <f>IF($A5="","",SUMIFS('Todos os Gastos'!$C:$C,'Todos os Gastos'!$A:$A,"&gt;="&amp;$A5,'Todos os Gastos'!$A:$A,"&lt;"&amp;EDATE($A5,1)))</f>
        <v>17340.15</v>
      </c>
      <c r="C5" s="56">
        <f>IF($A5="","",SUMIFS('Inventário de Lotes'!$D:$D,'Inventário de Lotes'!$B:$B,"&gt;="&amp;$A5,'Inventário de Lotes'!$B:$B,"&lt;"&amp;EDATE($A5,1)))</f>
        <v>16526.53</v>
      </c>
      <c r="D5" s="56">
        <f t="shared" si="1"/>
        <v>-813.62</v>
      </c>
      <c r="E5" s="57">
        <f>IF($A5="","",COUNTIFS('Todos os Gastos'!$A:$A,"&gt;="&amp;$A5,'Todos os Gastos'!$A:$A,"&lt;"&amp;EDATE($A5,1)))</f>
        <v>28</v>
      </c>
      <c r="F5" s="57">
        <f>IF($A5="","",COUNTIFS('Inventário de Lotes'!$B:$B,"&gt;="&amp;$A5,'Inventário de Lotes'!$B:$B,"&lt;"&amp;EDATE($A5,1)))</f>
        <v>5</v>
      </c>
      <c r="G5" s="56">
        <f t="shared" si="2"/>
        <v>17514.47</v>
      </c>
      <c r="J5" s="50" t="s">
        <v>114</v>
      </c>
      <c r="K5" s="51">
        <f>SUMIFS(D4:D123,A4:A123,"&lt;="&amp;EOMONTH(TODAY(),0)+1-1,A4:A123,"&lt;&gt;")</f>
        <v>14794.36</v>
      </c>
    </row>
    <row r="6" ht="15.0" customHeight="1">
      <c r="A6" s="52">
        <f t="shared" si="3"/>
        <v>46113</v>
      </c>
      <c r="B6" s="53">
        <f>IF($A6="","",SUMIFS('Todos os Gastos'!$C:$C,'Todos os Gastos'!$A:$A,"&gt;="&amp;$A6,'Todos os Gastos'!$A:$A,"&lt;"&amp;EDATE($A6,1)))</f>
        <v>19882.49</v>
      </c>
      <c r="C6" s="53">
        <f>IF($A6="","",SUMIFS('Inventário de Lotes'!$D:$D,'Inventário de Lotes'!$B:$B,"&gt;="&amp;$A6,'Inventário de Lotes'!$B:$B,"&lt;"&amp;EDATE($A6,1)))</f>
        <v>17162.38</v>
      </c>
      <c r="D6" s="53">
        <f t="shared" si="1"/>
        <v>-2720.11</v>
      </c>
      <c r="E6" s="54">
        <f>IF($A6="","",COUNTIFS('Todos os Gastos'!$A:$A,"&gt;="&amp;$A6,'Todos os Gastos'!$A:$A,"&lt;"&amp;EDATE($A6,1)))</f>
        <v>27</v>
      </c>
      <c r="F6" s="54">
        <f>IF($A6="","",COUNTIFS('Inventário de Lotes'!$B:$B,"&gt;="&amp;$A6,'Inventário de Lotes'!$B:$B,"&lt;"&amp;EDATE($A6,1)))</f>
        <v>4</v>
      </c>
      <c r="G6" s="53">
        <f t="shared" si="2"/>
        <v>14794.36</v>
      </c>
      <c r="J6" s="50" t="s">
        <v>115</v>
      </c>
      <c r="K6" s="51">
        <f>G17</f>
        <v>892.8</v>
      </c>
    </row>
    <row r="7" ht="15.0" customHeight="1">
      <c r="A7" s="55">
        <f t="shared" si="3"/>
        <v>46143</v>
      </c>
      <c r="B7" s="56">
        <f>IF($A7="","",SUMIFS('Todos os Gastos'!$C:$C,'Todos os Gastos'!$A:$A,"&gt;="&amp;$A7,'Todos os Gastos'!$A:$A,"&lt;"&amp;EDATE($A7,1)))</f>
        <v>14234.11</v>
      </c>
      <c r="C7" s="56">
        <f>IF($A7="","",SUMIFS('Inventário de Lotes'!$D:$D,'Inventário de Lotes'!$B:$B,"&gt;="&amp;$A7,'Inventário de Lotes'!$B:$B,"&lt;"&amp;EDATE($A7,1)))</f>
        <v>16280</v>
      </c>
      <c r="D7" s="56">
        <f t="shared" si="1"/>
        <v>2045.89</v>
      </c>
      <c r="E7" s="57">
        <f>IF($A7="","",COUNTIFS('Todos os Gastos'!$A:$A,"&gt;="&amp;$A7,'Todos os Gastos'!$A:$A,"&lt;"&amp;EDATE($A7,1)))</f>
        <v>12</v>
      </c>
      <c r="F7" s="57">
        <f>IF($A7="","",COUNTIFS('Inventário de Lotes'!$B:$B,"&gt;="&amp;$A7,'Inventário de Lotes'!$B:$B,"&lt;"&amp;EDATE($A7,1)))</f>
        <v>3</v>
      </c>
      <c r="G7" s="56">
        <f t="shared" si="2"/>
        <v>16840.25</v>
      </c>
      <c r="J7" s="50" t="s">
        <v>116</v>
      </c>
      <c r="K7" s="51">
        <f>SUMIFS(D4:D123,A4:A123,"&gt;="&amp;EOMONTH(TODAY(),-1)+1,A4:A123,"&lt;"&amp;EDATE(EOMONTH(TODAY(),-1)+1,1))</f>
        <v>-2720.11</v>
      </c>
    </row>
    <row r="8" ht="15.0" customHeight="1">
      <c r="A8" s="52">
        <f t="shared" si="3"/>
        <v>46174</v>
      </c>
      <c r="B8" s="53">
        <f>IF($A8="","",SUMIFS('Todos os Gastos'!$C:$C,'Todos os Gastos'!$A:$A,"&gt;="&amp;$A8,'Todos os Gastos'!$A:$A,"&lt;"&amp;EDATE($A8,1)))</f>
        <v>13844.18</v>
      </c>
      <c r="C8" s="53">
        <f>IF($A8="","",SUMIFS('Inventário de Lotes'!$D:$D,'Inventário de Lotes'!$B:$B,"&gt;="&amp;$A8,'Inventário de Lotes'!$B:$B,"&lt;"&amp;EDATE($A8,1)))</f>
        <v>14480</v>
      </c>
      <c r="D8" s="53">
        <f t="shared" si="1"/>
        <v>635.82</v>
      </c>
      <c r="E8" s="54">
        <f>IF($A8="","",COUNTIFS('Todos os Gastos'!$A:$A,"&gt;="&amp;$A8,'Todos os Gastos'!$A:$A,"&lt;"&amp;EDATE($A8,1)))</f>
        <v>13</v>
      </c>
      <c r="F8" s="54">
        <f>IF($A8="","",COUNTIFS('Inventário de Lotes'!$B:$B,"&gt;="&amp;$A8,'Inventário de Lotes'!$B:$B,"&lt;"&amp;EDATE($A8,1)))</f>
        <v>3</v>
      </c>
      <c r="G8" s="53">
        <f t="shared" si="2"/>
        <v>17476.07</v>
      </c>
      <c r="J8" s="50" t="s">
        <v>117</v>
      </c>
      <c r="K8" s="51">
        <f>AVERAGEIF(D4:D123,"&lt;&gt;",D4:D123)</f>
        <v>63.77142857</v>
      </c>
    </row>
    <row r="9" ht="15.0" customHeight="1">
      <c r="A9" s="55">
        <f t="shared" si="3"/>
        <v>46204</v>
      </c>
      <c r="B9" s="56">
        <f>IF($A9="","",SUMIFS('Todos os Gastos'!$C:$C,'Todos os Gastos'!$A:$A,"&gt;="&amp;$A9,'Todos os Gastos'!$A:$A,"&lt;"&amp;EDATE($A9,1)))</f>
        <v>13264.18</v>
      </c>
      <c r="C9" s="56">
        <f>IF($A9="","",SUMIFS('Inventário de Lotes'!$D:$D,'Inventário de Lotes'!$B:$B,"&gt;="&amp;$A9,'Inventário de Lotes'!$B:$B,"&lt;"&amp;EDATE($A9,1)))</f>
        <v>12680</v>
      </c>
      <c r="D9" s="56">
        <f t="shared" si="1"/>
        <v>-584.18</v>
      </c>
      <c r="E9" s="57">
        <f>IF($A9="","",COUNTIFS('Todos os Gastos'!$A:$A,"&gt;="&amp;$A9,'Todos os Gastos'!$A:$A,"&lt;"&amp;EDATE($A9,1)))</f>
        <v>12</v>
      </c>
      <c r="F9" s="57">
        <f>IF($A9="","",COUNTIFS('Inventário de Lotes'!$B:$B,"&gt;="&amp;$A9,'Inventário de Lotes'!$B:$B,"&lt;"&amp;EDATE($A9,1)))</f>
        <v>2</v>
      </c>
      <c r="G9" s="56">
        <f t="shared" si="2"/>
        <v>16891.89</v>
      </c>
      <c r="J9" s="50" t="s">
        <v>118</v>
      </c>
      <c r="K9" s="51">
        <f>MAX(B4:B123)</f>
        <v>19882.49</v>
      </c>
    </row>
    <row r="10" ht="15.0" customHeight="1">
      <c r="A10" s="52">
        <f t="shared" si="3"/>
        <v>46235</v>
      </c>
      <c r="B10" s="53">
        <f>IF($A10="","",SUMIFS('Todos os Gastos'!$C:$C,'Todos os Gastos'!$A:$A,"&gt;="&amp;$A10,'Todos os Gastos'!$A:$A,"&lt;"&amp;EDATE($A10,1)))</f>
        <v>13824.18</v>
      </c>
      <c r="C10" s="53">
        <f>IF($A10="","",SUMIFS('Inventário de Lotes'!$D:$D,'Inventário de Lotes'!$B:$B,"&gt;="&amp;$A10,'Inventário de Lotes'!$B:$B,"&lt;"&amp;EDATE($A10,1)))</f>
        <v>12680</v>
      </c>
      <c r="D10" s="53">
        <f t="shared" si="1"/>
        <v>-1144.18</v>
      </c>
      <c r="E10" s="54">
        <f>IF($A10="","",COUNTIFS('Todos os Gastos'!$A:$A,"&gt;="&amp;$A10,'Todos os Gastos'!$A:$A,"&lt;"&amp;EDATE($A10,1)))</f>
        <v>14</v>
      </c>
      <c r="F10" s="54">
        <f>IF($A10="","",COUNTIFS('Inventário de Lotes'!$B:$B,"&gt;="&amp;$A10,'Inventário de Lotes'!$B:$B,"&lt;"&amp;EDATE($A10,1)))</f>
        <v>2</v>
      </c>
      <c r="G10" s="53">
        <f t="shared" si="2"/>
        <v>15747.71</v>
      </c>
      <c r="J10" s="50" t="s">
        <v>119</v>
      </c>
      <c r="K10" s="51">
        <f>MAX(C4:C123)</f>
        <v>32560.5</v>
      </c>
    </row>
    <row r="11" ht="15.0" customHeight="1">
      <c r="A11" s="55">
        <f t="shared" si="3"/>
        <v>46266</v>
      </c>
      <c r="B11" s="56">
        <f>IF($A11="","",SUMIFS('Todos os Gastos'!$C:$C,'Todos os Gastos'!$A:$A,"&gt;="&amp;$A11,'Todos os Gastos'!$A:$A,"&lt;"&amp;EDATE($A11,1)))</f>
        <v>14474.18</v>
      </c>
      <c r="C11" s="56">
        <f>IF($A11="","",SUMIFS('Inventário de Lotes'!$D:$D,'Inventário de Lotes'!$B:$B,"&gt;="&amp;$A11,'Inventário de Lotes'!$B:$B,"&lt;"&amp;EDATE($A11,1)))</f>
        <v>12680</v>
      </c>
      <c r="D11" s="56">
        <f t="shared" si="1"/>
        <v>-1794.18</v>
      </c>
      <c r="E11" s="57">
        <f>IF($A11="","",COUNTIFS('Todos os Gastos'!$A:$A,"&gt;="&amp;$A11,'Todos os Gastos'!$A:$A,"&lt;"&amp;EDATE($A11,1)))</f>
        <v>13</v>
      </c>
      <c r="F11" s="57">
        <f>IF($A11="","",COUNTIFS('Inventário de Lotes'!$B:$B,"&gt;="&amp;$A11,'Inventário de Lotes'!$B:$B,"&lt;"&amp;EDATE($A11,1)))</f>
        <v>2</v>
      </c>
      <c r="G11" s="56">
        <f t="shared" si="2"/>
        <v>13953.53</v>
      </c>
      <c r="J11" s="50" t="s">
        <v>120</v>
      </c>
      <c r="K11" s="58" t="str">
        <f>TEXT(A4,"mmm/yy")&amp;" a "&amp;TEXT($M$2,"mmm/yy")</f>
        <v>fev./26 a mar./27</v>
      </c>
    </row>
    <row r="12" ht="15.0" customHeight="1">
      <c r="A12" s="52">
        <f t="shared" si="3"/>
        <v>46296</v>
      </c>
      <c r="B12" s="53">
        <f>IF($A12="","",SUMIFS('Todos os Gastos'!$C:$C,'Todos os Gastos'!$A:$A,"&gt;="&amp;$A12,'Todos os Gastos'!$A:$A,"&lt;"&amp;EDATE($A12,1)))</f>
        <v>14073.98</v>
      </c>
      <c r="C12" s="53">
        <f>IF($A12="","",SUMIFS('Inventário de Lotes'!$D:$D,'Inventário de Lotes'!$B:$B,"&gt;="&amp;$A12,'Inventário de Lotes'!$B:$B,"&lt;"&amp;EDATE($A12,1)))</f>
        <v>12680</v>
      </c>
      <c r="D12" s="53">
        <f t="shared" si="1"/>
        <v>-1393.98</v>
      </c>
      <c r="E12" s="54">
        <f>IF($A12="","",COUNTIFS('Todos os Gastos'!$A:$A,"&gt;="&amp;$A12,'Todos os Gastos'!$A:$A,"&lt;"&amp;EDATE($A12,1)))</f>
        <v>15</v>
      </c>
      <c r="F12" s="54">
        <f>IF($A12="","",COUNTIFS('Inventário de Lotes'!$B:$B,"&gt;="&amp;$A12,'Inventário de Lotes'!$B:$B,"&lt;"&amp;EDATE($A12,1)))</f>
        <v>2</v>
      </c>
      <c r="G12" s="53">
        <f t="shared" si="2"/>
        <v>12559.55</v>
      </c>
      <c r="J12" s="50" t="s">
        <v>121</v>
      </c>
      <c r="K12" s="58" t="str">
        <f>TEXT(TODAY(),"mmm/yy")</f>
        <v>abr./26</v>
      </c>
    </row>
    <row r="13" ht="15.0" customHeight="1">
      <c r="A13" s="55">
        <f t="shared" si="3"/>
        <v>46327</v>
      </c>
      <c r="B13" s="56">
        <f>IF($A13="","",SUMIFS('Todos os Gastos'!$C:$C,'Todos os Gastos'!$A:$A,"&gt;="&amp;$A13,'Todos os Gastos'!$A:$A,"&lt;"&amp;EDATE($A13,1)))</f>
        <v>13574.18</v>
      </c>
      <c r="C13" s="56">
        <f>IF($A13="","",SUMIFS('Inventário de Lotes'!$D:$D,'Inventário de Lotes'!$B:$B,"&gt;="&amp;$A13,'Inventário de Lotes'!$B:$B,"&lt;"&amp;EDATE($A13,1)))</f>
        <v>12680</v>
      </c>
      <c r="D13" s="56">
        <f t="shared" si="1"/>
        <v>-894.18</v>
      </c>
      <c r="E13" s="57">
        <f>IF($A13="","",COUNTIFS('Todos os Gastos'!$A:$A,"&gt;="&amp;$A13,'Todos os Gastos'!$A:$A,"&lt;"&amp;EDATE($A13,1)))</f>
        <v>13</v>
      </c>
      <c r="F13" s="57">
        <f>IF($A13="","",COUNTIFS('Inventário de Lotes'!$B:$B,"&gt;="&amp;$A13,'Inventário de Lotes'!$B:$B,"&lt;"&amp;EDATE($A13,1)))</f>
        <v>2</v>
      </c>
      <c r="G13" s="56">
        <f t="shared" si="2"/>
        <v>11665.37</v>
      </c>
    </row>
    <row r="14" ht="15.0" customHeight="1">
      <c r="A14" s="52">
        <f t="shared" si="3"/>
        <v>46357</v>
      </c>
      <c r="B14" s="53">
        <f>IF($A14="","",SUMIFS('Todos os Gastos'!$C:$C,'Todos os Gastos'!$A:$A,"&gt;="&amp;$A14,'Todos os Gastos'!$A:$A,"&lt;"&amp;EDATE($A14,1)))</f>
        <v>17094.18</v>
      </c>
      <c r="C14" s="53">
        <f>IF($A14="","",SUMIFS('Inventário de Lotes'!$D:$D,'Inventário de Lotes'!$B:$B,"&gt;="&amp;$A14,'Inventário de Lotes'!$B:$B,"&lt;"&amp;EDATE($A14,1)))</f>
        <v>12680</v>
      </c>
      <c r="D14" s="53">
        <f t="shared" si="1"/>
        <v>-4414.18</v>
      </c>
      <c r="E14" s="54">
        <f>IF($A14="","",COUNTIFS('Todos os Gastos'!$A:$A,"&gt;="&amp;$A14,'Todos os Gastos'!$A:$A,"&lt;"&amp;EDATE($A14,1)))</f>
        <v>14</v>
      </c>
      <c r="F14" s="54">
        <f>IF($A14="","",COUNTIFS('Inventário de Lotes'!$B:$B,"&gt;="&amp;$A14,'Inventário de Lotes'!$B:$B,"&lt;"&amp;EDATE($A14,1)))</f>
        <v>2</v>
      </c>
      <c r="G14" s="53">
        <f t="shared" si="2"/>
        <v>7251.19</v>
      </c>
      <c r="J14" s="59"/>
    </row>
    <row r="15" ht="15.0" customHeight="1">
      <c r="A15" s="55">
        <f t="shared" si="3"/>
        <v>46388</v>
      </c>
      <c r="B15" s="56">
        <f>IF($A15="","",SUMIFS('Todos os Gastos'!$C:$C,'Todos os Gastos'!$A:$A,"&gt;="&amp;$A15,'Todos os Gastos'!$A:$A,"&lt;"&amp;EDATE($A15,1)))</f>
        <v>12588.85</v>
      </c>
      <c r="C15" s="56">
        <f>IF($A15="","",SUMIFS('Inventário de Lotes'!$D:$D,'Inventário de Lotes'!$B:$B,"&gt;="&amp;$A15,'Inventário de Lotes'!$B:$B,"&lt;"&amp;EDATE($A15,1)))</f>
        <v>12680</v>
      </c>
      <c r="D15" s="56">
        <f t="shared" si="1"/>
        <v>91.15</v>
      </c>
      <c r="E15" s="57">
        <f>IF($A15="","",COUNTIFS('Todos os Gastos'!$A:$A,"&gt;="&amp;$A15,'Todos os Gastos'!$A:$A,"&lt;"&amp;EDATE($A15,1)))</f>
        <v>11</v>
      </c>
      <c r="F15" s="57">
        <f>IF($A15="","",COUNTIFS('Inventário de Lotes'!$B:$B,"&gt;="&amp;$A15,'Inventário de Lotes'!$B:$B,"&lt;"&amp;EDATE($A15,1)))</f>
        <v>2</v>
      </c>
      <c r="G15" s="56">
        <f t="shared" si="2"/>
        <v>7342.34</v>
      </c>
    </row>
    <row r="16" ht="15.0" customHeight="1">
      <c r="A16" s="52">
        <f t="shared" si="3"/>
        <v>46419</v>
      </c>
      <c r="B16" s="53">
        <f>IF($A16="","",SUMIFS('Todos os Gastos'!$C:$C,'Todos os Gastos'!$A:$A,"&gt;="&amp;$A16,'Todos os Gastos'!$A:$A,"&lt;"&amp;EDATE($A16,1)))</f>
        <v>15735.95</v>
      </c>
      <c r="C16" s="53">
        <f>IF($A16="","",SUMIFS('Inventário de Lotes'!$D:$D,'Inventário de Lotes'!$B:$B,"&gt;="&amp;$A16,'Inventário de Lotes'!$B:$B,"&lt;"&amp;EDATE($A16,1)))</f>
        <v>12680</v>
      </c>
      <c r="D16" s="53">
        <f t="shared" si="1"/>
        <v>-3055.95</v>
      </c>
      <c r="E16" s="54">
        <f>IF($A16="","",COUNTIFS('Todos os Gastos'!$A:$A,"&gt;="&amp;$A16,'Todos os Gastos'!$A:$A,"&lt;"&amp;EDATE($A16,1)))</f>
        <v>15</v>
      </c>
      <c r="F16" s="54">
        <f>IF($A16="","",COUNTIFS('Inventário de Lotes'!$B:$B,"&gt;="&amp;$A16,'Inventário de Lotes'!$B:$B,"&lt;"&amp;EDATE($A16,1)))</f>
        <v>2</v>
      </c>
      <c r="G16" s="53">
        <f t="shared" si="2"/>
        <v>4286.39</v>
      </c>
    </row>
    <row r="17" ht="15.0" customHeight="1">
      <c r="A17" s="55">
        <f t="shared" si="3"/>
        <v>46447</v>
      </c>
      <c r="B17" s="56">
        <f>IF($A17="","",SUMIFS('Todos os Gastos'!$C:$C,'Todos os Gastos'!$A:$A,"&gt;="&amp;$A17,'Todos os Gastos'!$A:$A,"&lt;"&amp;EDATE($A17,1)))</f>
        <v>16073.59</v>
      </c>
      <c r="C17" s="56">
        <f>IF($A17="","",SUMIFS('Inventário de Lotes'!$D:$D,'Inventário de Lotes'!$B:$B,"&gt;="&amp;$A17,'Inventário de Lotes'!$B:$B,"&lt;"&amp;EDATE($A17,1)))</f>
        <v>12680</v>
      </c>
      <c r="D17" s="56">
        <f t="shared" si="1"/>
        <v>-3393.59</v>
      </c>
      <c r="E17" s="57">
        <f>IF($A17="","",COUNTIFS('Todos os Gastos'!$A:$A,"&gt;="&amp;$A17,'Todos os Gastos'!$A:$A,"&lt;"&amp;EDATE($A17,1)))</f>
        <v>16</v>
      </c>
      <c r="F17" s="57">
        <f>IF($A17="","",COUNTIFS('Inventário de Lotes'!$B:$B,"&gt;="&amp;$A17,'Inventário de Lotes'!$B:$B,"&lt;"&amp;EDATE($A17,1)))</f>
        <v>2</v>
      </c>
      <c r="G17" s="56">
        <f t="shared" si="2"/>
        <v>892.8</v>
      </c>
    </row>
    <row r="18" ht="15.0" customHeight="1">
      <c r="A18" s="52" t="str">
        <f t="shared" si="3"/>
        <v/>
      </c>
      <c r="B18" s="53" t="str">
        <f>IF($A18="","",SUMIFS('Todos os Gastos'!$C:$C,'Todos os Gastos'!$A:$A,"&gt;="&amp;$A18,'Todos os Gastos'!$A:$A,"&lt;"&amp;EDATE($A18,1)))</f>
        <v/>
      </c>
      <c r="C18" s="53" t="str">
        <f>IF($A18="","",SUMIFS('Inventário de Lotes'!$D:$D,'Inventário de Lotes'!$B:$B,"&gt;="&amp;$A18,'Inventário de Lotes'!$B:$B,"&lt;"&amp;EDATE($A18,1)))</f>
        <v/>
      </c>
      <c r="D18" s="53" t="str">
        <f t="shared" si="1"/>
        <v/>
      </c>
      <c r="E18" s="54" t="str">
        <f>IF($A18="","",COUNTIFS('Todos os Gastos'!$A:$A,"&gt;="&amp;$A18,'Todos os Gastos'!$A:$A,"&lt;"&amp;EDATE($A18,1)))</f>
        <v/>
      </c>
      <c r="F18" s="54" t="str">
        <f>IF($A18="","",COUNTIFS('Inventário de Lotes'!$B:$B,"&gt;="&amp;$A18,'Inventário de Lotes'!$B:$B,"&lt;"&amp;EDATE($A18,1)))</f>
        <v/>
      </c>
      <c r="G18" s="53" t="str">
        <f t="shared" si="2"/>
        <v/>
      </c>
    </row>
    <row r="19" ht="15.0" customHeight="1">
      <c r="A19" s="55" t="str">
        <f t="shared" si="3"/>
        <v/>
      </c>
      <c r="B19" s="56" t="str">
        <f>IF($A19="","",SUMIFS('Todos os Gastos'!$C:$C,'Todos os Gastos'!$A:$A,"&gt;="&amp;$A19,'Todos os Gastos'!$A:$A,"&lt;"&amp;EDATE($A19,1)))</f>
        <v/>
      </c>
      <c r="C19" s="56" t="str">
        <f>IF($A19="","",SUMIFS('Inventário de Lotes'!$D:$D,'Inventário de Lotes'!$B:$B,"&gt;="&amp;$A19,'Inventário de Lotes'!$B:$B,"&lt;"&amp;EDATE($A19,1)))</f>
        <v/>
      </c>
      <c r="D19" s="56" t="str">
        <f t="shared" si="1"/>
        <v/>
      </c>
      <c r="E19" s="57" t="str">
        <f>IF($A19="","",COUNTIFS('Todos os Gastos'!$A:$A,"&gt;="&amp;$A19,'Todos os Gastos'!$A:$A,"&lt;"&amp;EDATE($A19,1)))</f>
        <v/>
      </c>
      <c r="F19" s="57" t="str">
        <f>IF($A19="","",COUNTIFS('Inventário de Lotes'!$B:$B,"&gt;="&amp;$A19,'Inventário de Lotes'!$B:$B,"&lt;"&amp;EDATE($A19,1)))</f>
        <v/>
      </c>
      <c r="G19" s="56" t="str">
        <f t="shared" si="2"/>
        <v/>
      </c>
    </row>
    <row r="20" ht="15.0" customHeight="1">
      <c r="A20" s="52" t="str">
        <f t="shared" si="3"/>
        <v/>
      </c>
      <c r="B20" s="53" t="str">
        <f>IF($A20="","",SUMIFS('Todos os Gastos'!$C:$C,'Todos os Gastos'!$A:$A,"&gt;="&amp;$A20,'Todos os Gastos'!$A:$A,"&lt;"&amp;EDATE($A20,1)))</f>
        <v/>
      </c>
      <c r="C20" s="53" t="str">
        <f>IF($A20="","",SUMIFS('Inventário de Lotes'!$D:$D,'Inventário de Lotes'!$B:$B,"&gt;="&amp;$A20,'Inventário de Lotes'!$B:$B,"&lt;"&amp;EDATE($A20,1)))</f>
        <v/>
      </c>
      <c r="D20" s="53" t="str">
        <f t="shared" si="1"/>
        <v/>
      </c>
      <c r="E20" s="54" t="str">
        <f>IF($A20="","",COUNTIFS('Todos os Gastos'!$A:$A,"&gt;="&amp;$A20,'Todos os Gastos'!$A:$A,"&lt;"&amp;EDATE($A20,1)))</f>
        <v/>
      </c>
      <c r="F20" s="54" t="str">
        <f>IF($A20="","",COUNTIFS('Inventário de Lotes'!$B:$B,"&gt;="&amp;$A20,'Inventário de Lotes'!$B:$B,"&lt;"&amp;EDATE($A20,1)))</f>
        <v/>
      </c>
      <c r="G20" s="53" t="str">
        <f t="shared" si="2"/>
        <v/>
      </c>
    </row>
    <row r="21" ht="15.0" customHeight="1">
      <c r="A21" s="55" t="str">
        <f t="shared" si="3"/>
        <v/>
      </c>
      <c r="B21" s="56" t="str">
        <f>IF($A21="","",SUMIFS('Todos os Gastos'!$C:$C,'Todos os Gastos'!$A:$A,"&gt;="&amp;$A21,'Todos os Gastos'!$A:$A,"&lt;"&amp;EDATE($A21,1)))</f>
        <v/>
      </c>
      <c r="C21" s="56" t="str">
        <f>IF($A21="","",SUMIFS('Inventário de Lotes'!$D:$D,'Inventário de Lotes'!$B:$B,"&gt;="&amp;$A21,'Inventário de Lotes'!$B:$B,"&lt;"&amp;EDATE($A21,1)))</f>
        <v/>
      </c>
      <c r="D21" s="56" t="str">
        <f t="shared" si="1"/>
        <v/>
      </c>
      <c r="E21" s="57" t="str">
        <f>IF($A21="","",COUNTIFS('Todos os Gastos'!$A:$A,"&gt;="&amp;$A21,'Todos os Gastos'!$A:$A,"&lt;"&amp;EDATE($A21,1)))</f>
        <v/>
      </c>
      <c r="F21" s="57" t="str">
        <f>IF($A21="","",COUNTIFS('Inventário de Lotes'!$B:$B,"&gt;="&amp;$A21,'Inventário de Lotes'!$B:$B,"&lt;"&amp;EDATE($A21,1)))</f>
        <v/>
      </c>
      <c r="G21" s="56" t="str">
        <f t="shared" si="2"/>
        <v/>
      </c>
    </row>
    <row r="22" ht="15.0" customHeight="1">
      <c r="A22" s="52" t="str">
        <f t="shared" si="3"/>
        <v/>
      </c>
      <c r="B22" s="53" t="str">
        <f>IF($A22="","",SUMIFS('Todos os Gastos'!$C:$C,'Todos os Gastos'!$A:$A,"&gt;="&amp;$A22,'Todos os Gastos'!$A:$A,"&lt;"&amp;EDATE($A22,1)))</f>
        <v/>
      </c>
      <c r="C22" s="53" t="str">
        <f>IF($A22="","",SUMIFS('Inventário de Lotes'!$D:$D,'Inventário de Lotes'!$B:$B,"&gt;="&amp;$A22,'Inventário de Lotes'!$B:$B,"&lt;"&amp;EDATE($A22,1)))</f>
        <v/>
      </c>
      <c r="D22" s="53" t="str">
        <f t="shared" si="1"/>
        <v/>
      </c>
      <c r="E22" s="54" t="str">
        <f>IF($A22="","",COUNTIFS('Todos os Gastos'!$A:$A,"&gt;="&amp;$A22,'Todos os Gastos'!$A:$A,"&lt;"&amp;EDATE($A22,1)))</f>
        <v/>
      </c>
      <c r="F22" s="54" t="str">
        <f>IF($A22="","",COUNTIFS('Inventário de Lotes'!$B:$B,"&gt;="&amp;$A22,'Inventário de Lotes'!$B:$B,"&lt;"&amp;EDATE($A22,1)))</f>
        <v/>
      </c>
      <c r="G22" s="53" t="str">
        <f t="shared" si="2"/>
        <v/>
      </c>
    </row>
    <row r="23" ht="15.0" customHeight="1">
      <c r="A23" s="55" t="str">
        <f t="shared" si="3"/>
        <v/>
      </c>
      <c r="B23" s="56" t="str">
        <f>IF($A23="","",SUMIFS('Todos os Gastos'!$C:$C,'Todos os Gastos'!$A:$A,"&gt;="&amp;$A23,'Todos os Gastos'!$A:$A,"&lt;"&amp;EDATE($A23,1)))</f>
        <v/>
      </c>
      <c r="C23" s="56" t="str">
        <f>IF($A23="","",SUMIFS('Inventário de Lotes'!$D:$D,'Inventário de Lotes'!$B:$B,"&gt;="&amp;$A23,'Inventário de Lotes'!$B:$B,"&lt;"&amp;EDATE($A23,1)))</f>
        <v/>
      </c>
      <c r="D23" s="56" t="str">
        <f t="shared" si="1"/>
        <v/>
      </c>
      <c r="E23" s="57" t="str">
        <f>IF($A23="","",COUNTIFS('Todos os Gastos'!$A:$A,"&gt;="&amp;$A23,'Todos os Gastos'!$A:$A,"&lt;"&amp;EDATE($A23,1)))</f>
        <v/>
      </c>
      <c r="F23" s="57" t="str">
        <f>IF($A23="","",COUNTIFS('Inventário de Lotes'!$B:$B,"&gt;="&amp;$A23,'Inventário de Lotes'!$B:$B,"&lt;"&amp;EDATE($A23,1)))</f>
        <v/>
      </c>
      <c r="G23" s="56" t="str">
        <f t="shared" si="2"/>
        <v/>
      </c>
    </row>
    <row r="24" ht="15.0" customHeight="1">
      <c r="A24" s="52" t="str">
        <f t="shared" si="3"/>
        <v/>
      </c>
      <c r="B24" s="53" t="str">
        <f>IF($A24="","",SUMIFS('Todos os Gastos'!$C:$C,'Todos os Gastos'!$A:$A,"&gt;="&amp;$A24,'Todos os Gastos'!$A:$A,"&lt;"&amp;EDATE($A24,1)))</f>
        <v/>
      </c>
      <c r="C24" s="53" t="str">
        <f>IF($A24="","",SUMIFS('Inventário de Lotes'!$D:$D,'Inventário de Lotes'!$B:$B,"&gt;="&amp;$A24,'Inventário de Lotes'!$B:$B,"&lt;"&amp;EDATE($A24,1)))</f>
        <v/>
      </c>
      <c r="D24" s="53" t="str">
        <f t="shared" si="1"/>
        <v/>
      </c>
      <c r="E24" s="54" t="str">
        <f>IF($A24="","",COUNTIFS('Todos os Gastos'!$A:$A,"&gt;="&amp;$A24,'Todos os Gastos'!$A:$A,"&lt;"&amp;EDATE($A24,1)))</f>
        <v/>
      </c>
      <c r="F24" s="54" t="str">
        <f>IF($A24="","",COUNTIFS('Inventário de Lotes'!$B:$B,"&gt;="&amp;$A24,'Inventário de Lotes'!$B:$B,"&lt;"&amp;EDATE($A24,1)))</f>
        <v/>
      </c>
      <c r="G24" s="53" t="str">
        <f t="shared" si="2"/>
        <v/>
      </c>
    </row>
    <row r="25" ht="15.0" customHeight="1">
      <c r="A25" s="55" t="str">
        <f t="shared" si="3"/>
        <v/>
      </c>
      <c r="B25" s="56" t="str">
        <f>IF($A25="","",SUMIFS('Todos os Gastos'!$C:$C,'Todos os Gastos'!$A:$A,"&gt;="&amp;$A25,'Todos os Gastos'!$A:$A,"&lt;"&amp;EDATE($A25,1)))</f>
        <v/>
      </c>
      <c r="C25" s="56" t="str">
        <f>IF($A25="","",SUMIFS('Inventário de Lotes'!$D:$D,'Inventário de Lotes'!$B:$B,"&gt;="&amp;$A25,'Inventário de Lotes'!$B:$B,"&lt;"&amp;EDATE($A25,1)))</f>
        <v/>
      </c>
      <c r="D25" s="56" t="str">
        <f t="shared" si="1"/>
        <v/>
      </c>
      <c r="E25" s="57" t="str">
        <f>IF($A25="","",COUNTIFS('Todos os Gastos'!$A:$A,"&gt;="&amp;$A25,'Todos os Gastos'!$A:$A,"&lt;"&amp;EDATE($A25,1)))</f>
        <v/>
      </c>
      <c r="F25" s="57" t="str">
        <f>IF($A25="","",COUNTIFS('Inventário de Lotes'!$B:$B,"&gt;="&amp;$A25,'Inventário de Lotes'!$B:$B,"&lt;"&amp;EDATE($A25,1)))</f>
        <v/>
      </c>
      <c r="G25" s="56" t="str">
        <f t="shared" si="2"/>
        <v/>
      </c>
    </row>
    <row r="26" ht="15.0" customHeight="1">
      <c r="A26" s="52" t="str">
        <f t="shared" si="3"/>
        <v/>
      </c>
      <c r="B26" s="53" t="str">
        <f>IF($A26="","",SUMIFS('Todos os Gastos'!$C:$C,'Todos os Gastos'!$A:$A,"&gt;="&amp;$A26,'Todos os Gastos'!$A:$A,"&lt;"&amp;EDATE($A26,1)))</f>
        <v/>
      </c>
      <c r="C26" s="53" t="str">
        <f>IF($A26="","",SUMIFS('Inventário de Lotes'!$D:$D,'Inventário de Lotes'!$B:$B,"&gt;="&amp;$A26,'Inventário de Lotes'!$B:$B,"&lt;"&amp;EDATE($A26,1)))</f>
        <v/>
      </c>
      <c r="D26" s="53" t="str">
        <f t="shared" si="1"/>
        <v/>
      </c>
      <c r="E26" s="54" t="str">
        <f>IF($A26="","",COUNTIFS('Todos os Gastos'!$A:$A,"&gt;="&amp;$A26,'Todos os Gastos'!$A:$A,"&lt;"&amp;EDATE($A26,1)))</f>
        <v/>
      </c>
      <c r="F26" s="54" t="str">
        <f>IF($A26="","",COUNTIFS('Inventário de Lotes'!$B:$B,"&gt;="&amp;$A26,'Inventário de Lotes'!$B:$B,"&lt;"&amp;EDATE($A26,1)))</f>
        <v/>
      </c>
      <c r="G26" s="53" t="str">
        <f t="shared" si="2"/>
        <v/>
      </c>
    </row>
    <row r="27" ht="15.0" customHeight="1">
      <c r="A27" s="55" t="str">
        <f t="shared" si="3"/>
        <v/>
      </c>
      <c r="B27" s="56" t="str">
        <f>IF($A27="","",SUMIFS('Todos os Gastos'!$C:$C,'Todos os Gastos'!$A:$A,"&gt;="&amp;$A27,'Todos os Gastos'!$A:$A,"&lt;"&amp;EDATE($A27,1)))</f>
        <v/>
      </c>
      <c r="C27" s="56" t="str">
        <f>IF($A27="","",SUMIFS('Inventário de Lotes'!$D:$D,'Inventário de Lotes'!$B:$B,"&gt;="&amp;$A27,'Inventário de Lotes'!$B:$B,"&lt;"&amp;EDATE($A27,1)))</f>
        <v/>
      </c>
      <c r="D27" s="56" t="str">
        <f t="shared" si="1"/>
        <v/>
      </c>
      <c r="E27" s="57" t="str">
        <f>IF($A27="","",COUNTIFS('Todos os Gastos'!$A:$A,"&gt;="&amp;$A27,'Todos os Gastos'!$A:$A,"&lt;"&amp;EDATE($A27,1)))</f>
        <v/>
      </c>
      <c r="F27" s="57" t="str">
        <f>IF($A27="","",COUNTIFS('Inventário de Lotes'!$B:$B,"&gt;="&amp;$A27,'Inventário de Lotes'!$B:$B,"&lt;"&amp;EDATE($A27,1)))</f>
        <v/>
      </c>
      <c r="G27" s="56" t="str">
        <f t="shared" si="2"/>
        <v/>
      </c>
    </row>
    <row r="28" ht="15.0" customHeight="1">
      <c r="A28" s="52" t="str">
        <f t="shared" si="3"/>
        <v/>
      </c>
      <c r="B28" s="53" t="str">
        <f>IF($A28="","",SUMIFS('Todos os Gastos'!$C:$C,'Todos os Gastos'!$A:$A,"&gt;="&amp;$A28,'Todos os Gastos'!$A:$A,"&lt;"&amp;EDATE($A28,1)))</f>
        <v/>
      </c>
      <c r="C28" s="53" t="str">
        <f>IF($A28="","",SUMIFS('Inventário de Lotes'!$D:$D,'Inventário de Lotes'!$B:$B,"&gt;="&amp;$A28,'Inventário de Lotes'!$B:$B,"&lt;"&amp;EDATE($A28,1)))</f>
        <v/>
      </c>
      <c r="D28" s="53" t="str">
        <f t="shared" si="1"/>
        <v/>
      </c>
      <c r="E28" s="54" t="str">
        <f>IF($A28="","",COUNTIFS('Todos os Gastos'!$A:$A,"&gt;="&amp;$A28,'Todos os Gastos'!$A:$A,"&lt;"&amp;EDATE($A28,1)))</f>
        <v/>
      </c>
      <c r="F28" s="54" t="str">
        <f>IF($A28="","",COUNTIFS('Inventário de Lotes'!$B:$B,"&gt;="&amp;$A28,'Inventário de Lotes'!$B:$B,"&lt;"&amp;EDATE($A28,1)))</f>
        <v/>
      </c>
      <c r="G28" s="53" t="str">
        <f t="shared" si="2"/>
        <v/>
      </c>
    </row>
    <row r="29" ht="15.0" customHeight="1">
      <c r="A29" s="55" t="str">
        <f t="shared" si="3"/>
        <v/>
      </c>
      <c r="B29" s="56" t="str">
        <f>IF($A29="","",SUMIFS('Todos os Gastos'!$C:$C,'Todos os Gastos'!$A:$A,"&gt;="&amp;$A29,'Todos os Gastos'!$A:$A,"&lt;"&amp;EDATE($A29,1)))</f>
        <v/>
      </c>
      <c r="C29" s="56" t="str">
        <f>IF($A29="","",SUMIFS('Inventário de Lotes'!$D:$D,'Inventário de Lotes'!$B:$B,"&gt;="&amp;$A29,'Inventário de Lotes'!$B:$B,"&lt;"&amp;EDATE($A29,1)))</f>
        <v/>
      </c>
      <c r="D29" s="56" t="str">
        <f t="shared" si="1"/>
        <v/>
      </c>
      <c r="E29" s="57" t="str">
        <f>IF($A29="","",COUNTIFS('Todos os Gastos'!$A:$A,"&gt;="&amp;$A29,'Todos os Gastos'!$A:$A,"&lt;"&amp;EDATE($A29,1)))</f>
        <v/>
      </c>
      <c r="F29" s="57" t="str">
        <f>IF($A29="","",COUNTIFS('Inventário de Lotes'!$B:$B,"&gt;="&amp;$A29,'Inventário de Lotes'!$B:$B,"&lt;"&amp;EDATE($A29,1)))</f>
        <v/>
      </c>
      <c r="G29" s="56" t="str">
        <f t="shared" si="2"/>
        <v/>
      </c>
    </row>
    <row r="30" ht="15.0" customHeight="1">
      <c r="A30" s="52" t="str">
        <f t="shared" si="3"/>
        <v/>
      </c>
      <c r="B30" s="53" t="str">
        <f>IF($A30="","",SUMIFS('Todos os Gastos'!$C:$C,'Todos os Gastos'!$A:$A,"&gt;="&amp;$A30,'Todos os Gastos'!$A:$A,"&lt;"&amp;EDATE($A30,1)))</f>
        <v/>
      </c>
      <c r="C30" s="53" t="str">
        <f>IF($A30="","",SUMIFS('Inventário de Lotes'!$D:$D,'Inventário de Lotes'!$B:$B,"&gt;="&amp;$A30,'Inventário de Lotes'!$B:$B,"&lt;"&amp;EDATE($A30,1)))</f>
        <v/>
      </c>
      <c r="D30" s="53" t="str">
        <f t="shared" si="1"/>
        <v/>
      </c>
      <c r="E30" s="54" t="str">
        <f>IF($A30="","",COUNTIFS('Todos os Gastos'!$A:$A,"&gt;="&amp;$A30,'Todos os Gastos'!$A:$A,"&lt;"&amp;EDATE($A30,1)))</f>
        <v/>
      </c>
      <c r="F30" s="54" t="str">
        <f>IF($A30="","",COUNTIFS('Inventário de Lotes'!$B:$B,"&gt;="&amp;$A30,'Inventário de Lotes'!$B:$B,"&lt;"&amp;EDATE($A30,1)))</f>
        <v/>
      </c>
      <c r="G30" s="53" t="str">
        <f t="shared" si="2"/>
        <v/>
      </c>
    </row>
    <row r="31" ht="15.0" customHeight="1">
      <c r="A31" s="55" t="str">
        <f t="shared" si="3"/>
        <v/>
      </c>
      <c r="B31" s="56" t="str">
        <f>IF($A31="","",SUMIFS('Todos os Gastos'!$C:$C,'Todos os Gastos'!$A:$A,"&gt;="&amp;$A31,'Todos os Gastos'!$A:$A,"&lt;"&amp;EDATE($A31,1)))</f>
        <v/>
      </c>
      <c r="C31" s="56" t="str">
        <f>IF($A31="","",SUMIFS('Inventário de Lotes'!$D:$D,'Inventário de Lotes'!$B:$B,"&gt;="&amp;$A31,'Inventário de Lotes'!$B:$B,"&lt;"&amp;EDATE($A31,1)))</f>
        <v/>
      </c>
      <c r="D31" s="56" t="str">
        <f t="shared" si="1"/>
        <v/>
      </c>
      <c r="E31" s="57" t="str">
        <f>IF($A31="","",COUNTIFS('Todos os Gastos'!$A:$A,"&gt;="&amp;$A31,'Todos os Gastos'!$A:$A,"&lt;"&amp;EDATE($A31,1)))</f>
        <v/>
      </c>
      <c r="F31" s="57" t="str">
        <f>IF($A31="","",COUNTIFS('Inventário de Lotes'!$B:$B,"&gt;="&amp;$A31,'Inventário de Lotes'!$B:$B,"&lt;"&amp;EDATE($A31,1)))</f>
        <v/>
      </c>
      <c r="G31" s="56" t="str">
        <f t="shared" si="2"/>
        <v/>
      </c>
    </row>
    <row r="32" ht="15.0" customHeight="1">
      <c r="A32" s="52" t="str">
        <f t="shared" si="3"/>
        <v/>
      </c>
      <c r="B32" s="53" t="str">
        <f>IF($A32="","",SUMIFS('Todos os Gastos'!$C:$C,'Todos os Gastos'!$A:$A,"&gt;="&amp;$A32,'Todos os Gastos'!$A:$A,"&lt;"&amp;EDATE($A32,1)))</f>
        <v/>
      </c>
      <c r="C32" s="53" t="str">
        <f>IF($A32="","",SUMIFS('Inventário de Lotes'!$D:$D,'Inventário de Lotes'!$B:$B,"&gt;="&amp;$A32,'Inventário de Lotes'!$B:$B,"&lt;"&amp;EDATE($A32,1)))</f>
        <v/>
      </c>
      <c r="D32" s="53" t="str">
        <f t="shared" si="1"/>
        <v/>
      </c>
      <c r="E32" s="54" t="str">
        <f>IF($A32="","",COUNTIFS('Todos os Gastos'!$A:$A,"&gt;="&amp;$A32,'Todos os Gastos'!$A:$A,"&lt;"&amp;EDATE($A32,1)))</f>
        <v/>
      </c>
      <c r="F32" s="54" t="str">
        <f>IF($A32="","",COUNTIFS('Inventário de Lotes'!$B:$B,"&gt;="&amp;$A32,'Inventário de Lotes'!$B:$B,"&lt;"&amp;EDATE($A32,1)))</f>
        <v/>
      </c>
      <c r="G32" s="53" t="str">
        <f t="shared" si="2"/>
        <v/>
      </c>
    </row>
    <row r="33" ht="15.0" customHeight="1">
      <c r="A33" s="55" t="str">
        <f t="shared" si="3"/>
        <v/>
      </c>
      <c r="B33" s="56" t="str">
        <f>IF($A33="","",SUMIFS('Todos os Gastos'!$C:$C,'Todos os Gastos'!$A:$A,"&gt;="&amp;$A33,'Todos os Gastos'!$A:$A,"&lt;"&amp;EDATE($A33,1)))</f>
        <v/>
      </c>
      <c r="C33" s="56" t="str">
        <f>IF($A33="","",SUMIFS('Inventário de Lotes'!$D:$D,'Inventário de Lotes'!$B:$B,"&gt;="&amp;$A33,'Inventário de Lotes'!$B:$B,"&lt;"&amp;EDATE($A33,1)))</f>
        <v/>
      </c>
      <c r="D33" s="56" t="str">
        <f t="shared" si="1"/>
        <v/>
      </c>
      <c r="E33" s="57" t="str">
        <f>IF($A33="","",COUNTIFS('Todos os Gastos'!$A:$A,"&gt;="&amp;$A33,'Todos os Gastos'!$A:$A,"&lt;"&amp;EDATE($A33,1)))</f>
        <v/>
      </c>
      <c r="F33" s="57" t="str">
        <f>IF($A33="","",COUNTIFS('Inventário de Lotes'!$B:$B,"&gt;="&amp;$A33,'Inventário de Lotes'!$B:$B,"&lt;"&amp;EDATE($A33,1)))</f>
        <v/>
      </c>
      <c r="G33" s="56" t="str">
        <f t="shared" si="2"/>
        <v/>
      </c>
    </row>
    <row r="34" ht="15.0" customHeight="1">
      <c r="A34" s="52" t="str">
        <f t="shared" si="3"/>
        <v/>
      </c>
      <c r="B34" s="53" t="str">
        <f>IF($A34="","",SUMIFS('Todos os Gastos'!$C:$C,'Todos os Gastos'!$A:$A,"&gt;="&amp;$A34,'Todos os Gastos'!$A:$A,"&lt;"&amp;EDATE($A34,1)))</f>
        <v/>
      </c>
      <c r="C34" s="53" t="str">
        <f>IF($A34="","",SUMIFS('Inventário de Lotes'!$D:$D,'Inventário de Lotes'!$B:$B,"&gt;="&amp;$A34,'Inventário de Lotes'!$B:$B,"&lt;"&amp;EDATE($A34,1)))</f>
        <v/>
      </c>
      <c r="D34" s="53" t="str">
        <f t="shared" si="1"/>
        <v/>
      </c>
      <c r="E34" s="54" t="str">
        <f>IF($A34="","",COUNTIFS('Todos os Gastos'!$A:$A,"&gt;="&amp;$A34,'Todos os Gastos'!$A:$A,"&lt;"&amp;EDATE($A34,1)))</f>
        <v/>
      </c>
      <c r="F34" s="54" t="str">
        <f>IF($A34="","",COUNTIFS('Inventário de Lotes'!$B:$B,"&gt;="&amp;$A34,'Inventário de Lotes'!$B:$B,"&lt;"&amp;EDATE($A34,1)))</f>
        <v/>
      </c>
      <c r="G34" s="53" t="str">
        <f t="shared" si="2"/>
        <v/>
      </c>
    </row>
    <row r="35" ht="15.0" customHeight="1">
      <c r="A35" s="55" t="str">
        <f t="shared" si="3"/>
        <v/>
      </c>
      <c r="B35" s="56" t="str">
        <f>IF($A35="","",SUMIFS('Todos os Gastos'!$C:$C,'Todos os Gastos'!$A:$A,"&gt;="&amp;$A35,'Todos os Gastos'!$A:$A,"&lt;"&amp;EDATE($A35,1)))</f>
        <v/>
      </c>
      <c r="C35" s="56" t="str">
        <f>IF($A35="","",SUMIFS('Inventário de Lotes'!$D:$D,'Inventário de Lotes'!$B:$B,"&gt;="&amp;$A35,'Inventário de Lotes'!$B:$B,"&lt;"&amp;EDATE($A35,1)))</f>
        <v/>
      </c>
      <c r="D35" s="56" t="str">
        <f t="shared" si="1"/>
        <v/>
      </c>
      <c r="E35" s="57" t="str">
        <f>IF($A35="","",COUNTIFS('Todos os Gastos'!$A:$A,"&gt;="&amp;$A35,'Todos os Gastos'!$A:$A,"&lt;"&amp;EDATE($A35,1)))</f>
        <v/>
      </c>
      <c r="F35" s="57" t="str">
        <f>IF($A35="","",COUNTIFS('Inventário de Lotes'!$B:$B,"&gt;="&amp;$A35,'Inventário de Lotes'!$B:$B,"&lt;"&amp;EDATE($A35,1)))</f>
        <v/>
      </c>
      <c r="G35" s="56" t="str">
        <f t="shared" si="2"/>
        <v/>
      </c>
    </row>
    <row r="36" ht="15.0" customHeight="1">
      <c r="A36" s="52" t="str">
        <f t="shared" si="3"/>
        <v/>
      </c>
      <c r="B36" s="53" t="str">
        <f>IF($A36="","",SUMIFS('Todos os Gastos'!$C:$C,'Todos os Gastos'!$A:$A,"&gt;="&amp;$A36,'Todos os Gastos'!$A:$A,"&lt;"&amp;EDATE($A36,1)))</f>
        <v/>
      </c>
      <c r="C36" s="53" t="str">
        <f>IF($A36="","",SUMIFS('Inventário de Lotes'!$D:$D,'Inventário de Lotes'!$B:$B,"&gt;="&amp;$A36,'Inventário de Lotes'!$B:$B,"&lt;"&amp;EDATE($A36,1)))</f>
        <v/>
      </c>
      <c r="D36" s="53" t="str">
        <f t="shared" si="1"/>
        <v/>
      </c>
      <c r="E36" s="54" t="str">
        <f>IF($A36="","",COUNTIFS('Todos os Gastos'!$A:$A,"&gt;="&amp;$A36,'Todos os Gastos'!$A:$A,"&lt;"&amp;EDATE($A36,1)))</f>
        <v/>
      </c>
      <c r="F36" s="54" t="str">
        <f>IF($A36="","",COUNTIFS('Inventário de Lotes'!$B:$B,"&gt;="&amp;$A36,'Inventário de Lotes'!$B:$B,"&lt;"&amp;EDATE($A36,1)))</f>
        <v/>
      </c>
      <c r="G36" s="53" t="str">
        <f t="shared" si="2"/>
        <v/>
      </c>
    </row>
    <row r="37" ht="15.0" customHeight="1">
      <c r="A37" s="55" t="str">
        <f t="shared" si="3"/>
        <v/>
      </c>
      <c r="B37" s="56" t="str">
        <f>IF($A37="","",SUMIFS('Todos os Gastos'!$C:$C,'Todos os Gastos'!$A:$A,"&gt;="&amp;$A37,'Todos os Gastos'!$A:$A,"&lt;"&amp;EDATE($A37,1)))</f>
        <v/>
      </c>
      <c r="C37" s="56" t="str">
        <f>IF($A37="","",SUMIFS('Inventário de Lotes'!$D:$D,'Inventário de Lotes'!$B:$B,"&gt;="&amp;$A37,'Inventário de Lotes'!$B:$B,"&lt;"&amp;EDATE($A37,1)))</f>
        <v/>
      </c>
      <c r="D37" s="56" t="str">
        <f t="shared" si="1"/>
        <v/>
      </c>
      <c r="E37" s="57" t="str">
        <f>IF($A37="","",COUNTIFS('Todos os Gastos'!$A:$A,"&gt;="&amp;$A37,'Todos os Gastos'!$A:$A,"&lt;"&amp;EDATE($A37,1)))</f>
        <v/>
      </c>
      <c r="F37" s="57" t="str">
        <f>IF($A37="","",COUNTIFS('Inventário de Lotes'!$B:$B,"&gt;="&amp;$A37,'Inventário de Lotes'!$B:$B,"&lt;"&amp;EDATE($A37,1)))</f>
        <v/>
      </c>
      <c r="G37" s="56" t="str">
        <f t="shared" si="2"/>
        <v/>
      </c>
    </row>
    <row r="38" ht="15.0" customHeight="1">
      <c r="A38" s="52" t="str">
        <f t="shared" si="3"/>
        <v/>
      </c>
      <c r="B38" s="53" t="str">
        <f>IF($A38="","",SUMIFS('Todos os Gastos'!$C:$C,'Todos os Gastos'!$A:$A,"&gt;="&amp;$A38,'Todos os Gastos'!$A:$A,"&lt;"&amp;EDATE($A38,1)))</f>
        <v/>
      </c>
      <c r="C38" s="53" t="str">
        <f>IF($A38="","",SUMIFS('Inventário de Lotes'!$D:$D,'Inventário de Lotes'!$B:$B,"&gt;="&amp;$A38,'Inventário de Lotes'!$B:$B,"&lt;"&amp;EDATE($A38,1)))</f>
        <v/>
      </c>
      <c r="D38" s="53" t="str">
        <f t="shared" si="1"/>
        <v/>
      </c>
      <c r="E38" s="54" t="str">
        <f>IF($A38="","",COUNTIFS('Todos os Gastos'!$A:$A,"&gt;="&amp;$A38,'Todos os Gastos'!$A:$A,"&lt;"&amp;EDATE($A38,1)))</f>
        <v/>
      </c>
      <c r="F38" s="54" t="str">
        <f>IF($A38="","",COUNTIFS('Inventário de Lotes'!$B:$B,"&gt;="&amp;$A38,'Inventário de Lotes'!$B:$B,"&lt;"&amp;EDATE($A38,1)))</f>
        <v/>
      </c>
      <c r="G38" s="53" t="str">
        <f t="shared" si="2"/>
        <v/>
      </c>
    </row>
    <row r="39" ht="15.0" customHeight="1">
      <c r="A39" s="55" t="str">
        <f t="shared" si="3"/>
        <v/>
      </c>
      <c r="B39" s="56" t="str">
        <f>IF($A39="","",SUMIFS('Todos os Gastos'!$C:$C,'Todos os Gastos'!$A:$A,"&gt;="&amp;$A39,'Todos os Gastos'!$A:$A,"&lt;"&amp;EDATE($A39,1)))</f>
        <v/>
      </c>
      <c r="C39" s="56" t="str">
        <f>IF($A39="","",SUMIFS('Inventário de Lotes'!$D:$D,'Inventário de Lotes'!$B:$B,"&gt;="&amp;$A39,'Inventário de Lotes'!$B:$B,"&lt;"&amp;EDATE($A39,1)))</f>
        <v/>
      </c>
      <c r="D39" s="56" t="str">
        <f t="shared" si="1"/>
        <v/>
      </c>
      <c r="E39" s="57" t="str">
        <f>IF($A39="","",COUNTIFS('Todos os Gastos'!$A:$A,"&gt;="&amp;$A39,'Todos os Gastos'!$A:$A,"&lt;"&amp;EDATE($A39,1)))</f>
        <v/>
      </c>
      <c r="F39" s="57" t="str">
        <f>IF($A39="","",COUNTIFS('Inventário de Lotes'!$B:$B,"&gt;="&amp;$A39,'Inventário de Lotes'!$B:$B,"&lt;"&amp;EDATE($A39,1)))</f>
        <v/>
      </c>
      <c r="G39" s="56" t="str">
        <f t="shared" si="2"/>
        <v/>
      </c>
    </row>
    <row r="40" ht="15.0" customHeight="1">
      <c r="A40" s="52" t="str">
        <f t="shared" si="3"/>
        <v/>
      </c>
      <c r="B40" s="53" t="str">
        <f>IF($A40="","",SUMIFS('Todos os Gastos'!$C:$C,'Todos os Gastos'!$A:$A,"&gt;="&amp;$A40,'Todos os Gastos'!$A:$A,"&lt;"&amp;EDATE($A40,1)))</f>
        <v/>
      </c>
      <c r="C40" s="53" t="str">
        <f>IF($A40="","",SUMIFS('Inventário de Lotes'!$D:$D,'Inventário de Lotes'!$B:$B,"&gt;="&amp;$A40,'Inventário de Lotes'!$B:$B,"&lt;"&amp;EDATE($A40,1)))</f>
        <v/>
      </c>
      <c r="D40" s="53" t="str">
        <f t="shared" si="1"/>
        <v/>
      </c>
      <c r="E40" s="54" t="str">
        <f>IF($A40="","",COUNTIFS('Todos os Gastos'!$A:$A,"&gt;="&amp;$A40,'Todos os Gastos'!$A:$A,"&lt;"&amp;EDATE($A40,1)))</f>
        <v/>
      </c>
      <c r="F40" s="54" t="str">
        <f>IF($A40="","",COUNTIFS('Inventário de Lotes'!$B:$B,"&gt;="&amp;$A40,'Inventário de Lotes'!$B:$B,"&lt;"&amp;EDATE($A40,1)))</f>
        <v/>
      </c>
      <c r="G40" s="53" t="str">
        <f t="shared" si="2"/>
        <v/>
      </c>
    </row>
    <row r="41" ht="15.0" customHeight="1">
      <c r="A41" s="55" t="str">
        <f t="shared" si="3"/>
        <v/>
      </c>
      <c r="B41" s="56" t="str">
        <f>IF($A41="","",SUMIFS('Todos os Gastos'!$C:$C,'Todos os Gastos'!$A:$A,"&gt;="&amp;$A41,'Todos os Gastos'!$A:$A,"&lt;"&amp;EDATE($A41,1)))</f>
        <v/>
      </c>
      <c r="C41" s="56" t="str">
        <f>IF($A41="","",SUMIFS('Inventário de Lotes'!$D:$D,'Inventário de Lotes'!$B:$B,"&gt;="&amp;$A41,'Inventário de Lotes'!$B:$B,"&lt;"&amp;EDATE($A41,1)))</f>
        <v/>
      </c>
      <c r="D41" s="56" t="str">
        <f t="shared" si="1"/>
        <v/>
      </c>
      <c r="E41" s="57" t="str">
        <f>IF($A41="","",COUNTIFS('Todos os Gastos'!$A:$A,"&gt;="&amp;$A41,'Todos os Gastos'!$A:$A,"&lt;"&amp;EDATE($A41,1)))</f>
        <v/>
      </c>
      <c r="F41" s="57" t="str">
        <f>IF($A41="","",COUNTIFS('Inventário de Lotes'!$B:$B,"&gt;="&amp;$A41,'Inventário de Lotes'!$B:$B,"&lt;"&amp;EDATE($A41,1)))</f>
        <v/>
      </c>
      <c r="G41" s="56" t="str">
        <f t="shared" si="2"/>
        <v/>
      </c>
    </row>
    <row r="42" ht="15.0" customHeight="1">
      <c r="A42" s="52" t="str">
        <f t="shared" si="3"/>
        <v/>
      </c>
      <c r="B42" s="53" t="str">
        <f>IF($A42="","",SUMIFS('Todos os Gastos'!$C:$C,'Todos os Gastos'!$A:$A,"&gt;="&amp;$A42,'Todos os Gastos'!$A:$A,"&lt;"&amp;EDATE($A42,1)))</f>
        <v/>
      </c>
      <c r="C42" s="53" t="str">
        <f>IF($A42="","",SUMIFS('Inventário de Lotes'!$D:$D,'Inventário de Lotes'!$B:$B,"&gt;="&amp;$A42,'Inventário de Lotes'!$B:$B,"&lt;"&amp;EDATE($A42,1)))</f>
        <v/>
      </c>
      <c r="D42" s="53" t="str">
        <f t="shared" si="1"/>
        <v/>
      </c>
      <c r="E42" s="54" t="str">
        <f>IF($A42="","",COUNTIFS('Todos os Gastos'!$A:$A,"&gt;="&amp;$A42,'Todos os Gastos'!$A:$A,"&lt;"&amp;EDATE($A42,1)))</f>
        <v/>
      </c>
      <c r="F42" s="54" t="str">
        <f>IF($A42="","",COUNTIFS('Inventário de Lotes'!$B:$B,"&gt;="&amp;$A42,'Inventário de Lotes'!$B:$B,"&lt;"&amp;EDATE($A42,1)))</f>
        <v/>
      </c>
      <c r="G42" s="53" t="str">
        <f t="shared" si="2"/>
        <v/>
      </c>
    </row>
    <row r="43" ht="15.0" customHeight="1">
      <c r="A43" s="55" t="str">
        <f t="shared" si="3"/>
        <v/>
      </c>
      <c r="B43" s="56" t="str">
        <f>IF($A43="","",SUMIFS('Todos os Gastos'!$C:$C,'Todos os Gastos'!$A:$A,"&gt;="&amp;$A43,'Todos os Gastos'!$A:$A,"&lt;"&amp;EDATE($A43,1)))</f>
        <v/>
      </c>
      <c r="C43" s="56" t="str">
        <f>IF($A43="","",SUMIFS('Inventário de Lotes'!$D:$D,'Inventário de Lotes'!$B:$B,"&gt;="&amp;$A43,'Inventário de Lotes'!$B:$B,"&lt;"&amp;EDATE($A43,1)))</f>
        <v/>
      </c>
      <c r="D43" s="56" t="str">
        <f t="shared" si="1"/>
        <v/>
      </c>
      <c r="E43" s="57" t="str">
        <f>IF($A43="","",COUNTIFS('Todos os Gastos'!$A:$A,"&gt;="&amp;$A43,'Todos os Gastos'!$A:$A,"&lt;"&amp;EDATE($A43,1)))</f>
        <v/>
      </c>
      <c r="F43" s="57" t="str">
        <f>IF($A43="","",COUNTIFS('Inventário de Lotes'!$B:$B,"&gt;="&amp;$A43,'Inventário de Lotes'!$B:$B,"&lt;"&amp;EDATE($A43,1)))</f>
        <v/>
      </c>
      <c r="G43" s="56" t="str">
        <f t="shared" si="2"/>
        <v/>
      </c>
    </row>
    <row r="44" ht="15.0" customHeight="1">
      <c r="A44" s="52" t="str">
        <f t="shared" si="3"/>
        <v/>
      </c>
      <c r="B44" s="53" t="str">
        <f>IF($A44="","",SUMIFS('Todos os Gastos'!$C:$C,'Todos os Gastos'!$A:$A,"&gt;="&amp;$A44,'Todos os Gastos'!$A:$A,"&lt;"&amp;EDATE($A44,1)))</f>
        <v/>
      </c>
      <c r="C44" s="53" t="str">
        <f>IF($A44="","",SUMIFS('Inventário de Lotes'!$D:$D,'Inventário de Lotes'!$B:$B,"&gt;="&amp;$A44,'Inventário de Lotes'!$B:$B,"&lt;"&amp;EDATE($A44,1)))</f>
        <v/>
      </c>
      <c r="D44" s="53" t="str">
        <f t="shared" si="1"/>
        <v/>
      </c>
      <c r="E44" s="54" t="str">
        <f>IF($A44="","",COUNTIFS('Todos os Gastos'!$A:$A,"&gt;="&amp;$A44,'Todos os Gastos'!$A:$A,"&lt;"&amp;EDATE($A44,1)))</f>
        <v/>
      </c>
      <c r="F44" s="54" t="str">
        <f>IF($A44="","",COUNTIFS('Inventário de Lotes'!$B:$B,"&gt;="&amp;$A44,'Inventário de Lotes'!$B:$B,"&lt;"&amp;EDATE($A44,1)))</f>
        <v/>
      </c>
      <c r="G44" s="53" t="str">
        <f t="shared" si="2"/>
        <v/>
      </c>
    </row>
    <row r="45" ht="15.0" customHeight="1">
      <c r="A45" s="55" t="str">
        <f t="shared" si="3"/>
        <v/>
      </c>
      <c r="B45" s="56" t="str">
        <f>IF($A45="","",SUMIFS('Todos os Gastos'!$C:$C,'Todos os Gastos'!$A:$A,"&gt;="&amp;$A45,'Todos os Gastos'!$A:$A,"&lt;"&amp;EDATE($A45,1)))</f>
        <v/>
      </c>
      <c r="C45" s="56" t="str">
        <f>IF($A45="","",SUMIFS('Inventário de Lotes'!$D:$D,'Inventário de Lotes'!$B:$B,"&gt;="&amp;$A45,'Inventário de Lotes'!$B:$B,"&lt;"&amp;EDATE($A45,1)))</f>
        <v/>
      </c>
      <c r="D45" s="56" t="str">
        <f t="shared" si="1"/>
        <v/>
      </c>
      <c r="E45" s="57" t="str">
        <f>IF($A45="","",COUNTIFS('Todos os Gastos'!$A:$A,"&gt;="&amp;$A45,'Todos os Gastos'!$A:$A,"&lt;"&amp;EDATE($A45,1)))</f>
        <v/>
      </c>
      <c r="F45" s="57" t="str">
        <f>IF($A45="","",COUNTIFS('Inventário de Lotes'!$B:$B,"&gt;="&amp;$A45,'Inventário de Lotes'!$B:$B,"&lt;"&amp;EDATE($A45,1)))</f>
        <v/>
      </c>
      <c r="G45" s="56" t="str">
        <f t="shared" si="2"/>
        <v/>
      </c>
    </row>
    <row r="46" ht="15.0" customHeight="1">
      <c r="A46" s="52" t="str">
        <f t="shared" si="3"/>
        <v/>
      </c>
      <c r="B46" s="53" t="str">
        <f>IF($A46="","",SUMIFS('Todos os Gastos'!$C:$C,'Todos os Gastos'!$A:$A,"&gt;="&amp;$A46,'Todos os Gastos'!$A:$A,"&lt;"&amp;EDATE($A46,1)))</f>
        <v/>
      </c>
      <c r="C46" s="53" t="str">
        <f>IF($A46="","",SUMIFS('Inventário de Lotes'!$D:$D,'Inventário de Lotes'!$B:$B,"&gt;="&amp;$A46,'Inventário de Lotes'!$B:$B,"&lt;"&amp;EDATE($A46,1)))</f>
        <v/>
      </c>
      <c r="D46" s="53" t="str">
        <f t="shared" si="1"/>
        <v/>
      </c>
      <c r="E46" s="54" t="str">
        <f>IF($A46="","",COUNTIFS('Todos os Gastos'!$A:$A,"&gt;="&amp;$A46,'Todos os Gastos'!$A:$A,"&lt;"&amp;EDATE($A46,1)))</f>
        <v/>
      </c>
      <c r="F46" s="54" t="str">
        <f>IF($A46="","",COUNTIFS('Inventário de Lotes'!$B:$B,"&gt;="&amp;$A46,'Inventário de Lotes'!$B:$B,"&lt;"&amp;EDATE($A46,1)))</f>
        <v/>
      </c>
      <c r="G46" s="53" t="str">
        <f t="shared" si="2"/>
        <v/>
      </c>
    </row>
    <row r="47" ht="15.0" customHeight="1">
      <c r="A47" s="55" t="str">
        <f t="shared" si="3"/>
        <v/>
      </c>
      <c r="B47" s="56" t="str">
        <f>IF($A47="","",SUMIFS('Todos os Gastos'!$C:$C,'Todos os Gastos'!$A:$A,"&gt;="&amp;$A47,'Todos os Gastos'!$A:$A,"&lt;"&amp;EDATE($A47,1)))</f>
        <v/>
      </c>
      <c r="C47" s="56" t="str">
        <f>IF($A47="","",SUMIFS('Inventário de Lotes'!$D:$D,'Inventário de Lotes'!$B:$B,"&gt;="&amp;$A47,'Inventário de Lotes'!$B:$B,"&lt;"&amp;EDATE($A47,1)))</f>
        <v/>
      </c>
      <c r="D47" s="56" t="str">
        <f t="shared" si="1"/>
        <v/>
      </c>
      <c r="E47" s="57" t="str">
        <f>IF($A47="","",COUNTIFS('Todos os Gastos'!$A:$A,"&gt;="&amp;$A47,'Todos os Gastos'!$A:$A,"&lt;"&amp;EDATE($A47,1)))</f>
        <v/>
      </c>
      <c r="F47" s="57" t="str">
        <f>IF($A47="","",COUNTIFS('Inventário de Lotes'!$B:$B,"&gt;="&amp;$A47,'Inventário de Lotes'!$B:$B,"&lt;"&amp;EDATE($A47,1)))</f>
        <v/>
      </c>
      <c r="G47" s="56" t="str">
        <f t="shared" si="2"/>
        <v/>
      </c>
    </row>
    <row r="48" ht="15.0" customHeight="1">
      <c r="A48" s="52" t="str">
        <f t="shared" si="3"/>
        <v/>
      </c>
      <c r="B48" s="53" t="str">
        <f>IF($A48="","",SUMIFS('Todos os Gastos'!$C:$C,'Todos os Gastos'!$A:$A,"&gt;="&amp;$A48,'Todos os Gastos'!$A:$A,"&lt;"&amp;EDATE($A48,1)))</f>
        <v/>
      </c>
      <c r="C48" s="53" t="str">
        <f>IF($A48="","",SUMIFS('Inventário de Lotes'!$D:$D,'Inventário de Lotes'!$B:$B,"&gt;="&amp;$A48,'Inventário de Lotes'!$B:$B,"&lt;"&amp;EDATE($A48,1)))</f>
        <v/>
      </c>
      <c r="D48" s="53" t="str">
        <f t="shared" si="1"/>
        <v/>
      </c>
      <c r="E48" s="54" t="str">
        <f>IF($A48="","",COUNTIFS('Todos os Gastos'!$A:$A,"&gt;="&amp;$A48,'Todos os Gastos'!$A:$A,"&lt;"&amp;EDATE($A48,1)))</f>
        <v/>
      </c>
      <c r="F48" s="54" t="str">
        <f>IF($A48="","",COUNTIFS('Inventário de Lotes'!$B:$B,"&gt;="&amp;$A48,'Inventário de Lotes'!$B:$B,"&lt;"&amp;EDATE($A48,1)))</f>
        <v/>
      </c>
      <c r="G48" s="53" t="str">
        <f t="shared" si="2"/>
        <v/>
      </c>
    </row>
    <row r="49" ht="15.0" customHeight="1">
      <c r="A49" s="55" t="str">
        <f t="shared" si="3"/>
        <v/>
      </c>
      <c r="B49" s="56" t="str">
        <f>IF($A49="","",SUMIFS('Todos os Gastos'!$C:$C,'Todos os Gastos'!$A:$A,"&gt;="&amp;$A49,'Todos os Gastos'!$A:$A,"&lt;"&amp;EDATE($A49,1)))</f>
        <v/>
      </c>
      <c r="C49" s="56" t="str">
        <f>IF($A49="","",SUMIFS('Inventário de Lotes'!$D:$D,'Inventário de Lotes'!$B:$B,"&gt;="&amp;$A49,'Inventário de Lotes'!$B:$B,"&lt;"&amp;EDATE($A49,1)))</f>
        <v/>
      </c>
      <c r="D49" s="56" t="str">
        <f t="shared" si="1"/>
        <v/>
      </c>
      <c r="E49" s="57" t="str">
        <f>IF($A49="","",COUNTIFS('Todos os Gastos'!$A:$A,"&gt;="&amp;$A49,'Todos os Gastos'!$A:$A,"&lt;"&amp;EDATE($A49,1)))</f>
        <v/>
      </c>
      <c r="F49" s="57" t="str">
        <f>IF($A49="","",COUNTIFS('Inventário de Lotes'!$B:$B,"&gt;="&amp;$A49,'Inventário de Lotes'!$B:$B,"&lt;"&amp;EDATE($A49,1)))</f>
        <v/>
      </c>
      <c r="G49" s="56" t="str">
        <f t="shared" si="2"/>
        <v/>
      </c>
    </row>
    <row r="50" ht="15.0" customHeight="1">
      <c r="A50" s="52" t="str">
        <f t="shared" si="3"/>
        <v/>
      </c>
      <c r="B50" s="53" t="str">
        <f>IF($A50="","",SUMIFS('Todos os Gastos'!$C:$C,'Todos os Gastos'!$A:$A,"&gt;="&amp;$A50,'Todos os Gastos'!$A:$A,"&lt;"&amp;EDATE($A50,1)))</f>
        <v/>
      </c>
      <c r="C50" s="53" t="str">
        <f>IF($A50="","",SUMIFS('Inventário de Lotes'!$D:$D,'Inventário de Lotes'!$B:$B,"&gt;="&amp;$A50,'Inventário de Lotes'!$B:$B,"&lt;"&amp;EDATE($A50,1)))</f>
        <v/>
      </c>
      <c r="D50" s="53" t="str">
        <f t="shared" si="1"/>
        <v/>
      </c>
      <c r="E50" s="54" t="str">
        <f>IF($A50="","",COUNTIFS('Todos os Gastos'!$A:$A,"&gt;="&amp;$A50,'Todos os Gastos'!$A:$A,"&lt;"&amp;EDATE($A50,1)))</f>
        <v/>
      </c>
      <c r="F50" s="54" t="str">
        <f>IF($A50="","",COUNTIFS('Inventário de Lotes'!$B:$B,"&gt;="&amp;$A50,'Inventário de Lotes'!$B:$B,"&lt;"&amp;EDATE($A50,1)))</f>
        <v/>
      </c>
      <c r="G50" s="53" t="str">
        <f t="shared" si="2"/>
        <v/>
      </c>
    </row>
    <row r="51" ht="15.0" customHeight="1">
      <c r="A51" s="55" t="str">
        <f t="shared" si="3"/>
        <v/>
      </c>
      <c r="B51" s="56" t="str">
        <f>IF($A51="","",SUMIFS('Todos os Gastos'!$C:$C,'Todos os Gastos'!$A:$A,"&gt;="&amp;$A51,'Todos os Gastos'!$A:$A,"&lt;"&amp;EDATE($A51,1)))</f>
        <v/>
      </c>
      <c r="C51" s="56" t="str">
        <f>IF($A51="","",SUMIFS('Inventário de Lotes'!$D:$D,'Inventário de Lotes'!$B:$B,"&gt;="&amp;$A51,'Inventário de Lotes'!$B:$B,"&lt;"&amp;EDATE($A51,1)))</f>
        <v/>
      </c>
      <c r="D51" s="56" t="str">
        <f t="shared" si="1"/>
        <v/>
      </c>
      <c r="E51" s="57" t="str">
        <f>IF($A51="","",COUNTIFS('Todos os Gastos'!$A:$A,"&gt;="&amp;$A51,'Todos os Gastos'!$A:$A,"&lt;"&amp;EDATE($A51,1)))</f>
        <v/>
      </c>
      <c r="F51" s="57" t="str">
        <f>IF($A51="","",COUNTIFS('Inventário de Lotes'!$B:$B,"&gt;="&amp;$A51,'Inventário de Lotes'!$B:$B,"&lt;"&amp;EDATE($A51,1)))</f>
        <v/>
      </c>
      <c r="G51" s="56" t="str">
        <f t="shared" si="2"/>
        <v/>
      </c>
    </row>
    <row r="52" ht="15.0" customHeight="1">
      <c r="A52" s="52" t="str">
        <f t="shared" si="3"/>
        <v/>
      </c>
      <c r="B52" s="53" t="str">
        <f>IF($A52="","",SUMIFS('Todos os Gastos'!$C:$C,'Todos os Gastos'!$A:$A,"&gt;="&amp;$A52,'Todos os Gastos'!$A:$A,"&lt;"&amp;EDATE($A52,1)))</f>
        <v/>
      </c>
      <c r="C52" s="53" t="str">
        <f>IF($A52="","",SUMIFS('Inventário de Lotes'!$D:$D,'Inventário de Lotes'!$B:$B,"&gt;="&amp;$A52,'Inventário de Lotes'!$B:$B,"&lt;"&amp;EDATE($A52,1)))</f>
        <v/>
      </c>
      <c r="D52" s="53" t="str">
        <f t="shared" si="1"/>
        <v/>
      </c>
      <c r="E52" s="54" t="str">
        <f>IF($A52="","",COUNTIFS('Todos os Gastos'!$A:$A,"&gt;="&amp;$A52,'Todos os Gastos'!$A:$A,"&lt;"&amp;EDATE($A52,1)))</f>
        <v/>
      </c>
      <c r="F52" s="54" t="str">
        <f>IF($A52="","",COUNTIFS('Inventário de Lotes'!$B:$B,"&gt;="&amp;$A52,'Inventário de Lotes'!$B:$B,"&lt;"&amp;EDATE($A52,1)))</f>
        <v/>
      </c>
      <c r="G52" s="53" t="str">
        <f t="shared" si="2"/>
        <v/>
      </c>
    </row>
    <row r="53" ht="15.0" customHeight="1">
      <c r="A53" s="55" t="str">
        <f t="shared" si="3"/>
        <v/>
      </c>
      <c r="B53" s="56" t="str">
        <f>IF($A53="","",SUMIFS('Todos os Gastos'!$C:$C,'Todos os Gastos'!$A:$A,"&gt;="&amp;$A53,'Todos os Gastos'!$A:$A,"&lt;"&amp;EDATE($A53,1)))</f>
        <v/>
      </c>
      <c r="C53" s="56" t="str">
        <f>IF($A53="","",SUMIFS('Inventário de Lotes'!$D:$D,'Inventário de Lotes'!$B:$B,"&gt;="&amp;$A53,'Inventário de Lotes'!$B:$B,"&lt;"&amp;EDATE($A53,1)))</f>
        <v/>
      </c>
      <c r="D53" s="56" t="str">
        <f t="shared" si="1"/>
        <v/>
      </c>
      <c r="E53" s="57" t="str">
        <f>IF($A53="","",COUNTIFS('Todos os Gastos'!$A:$A,"&gt;="&amp;$A53,'Todos os Gastos'!$A:$A,"&lt;"&amp;EDATE($A53,1)))</f>
        <v/>
      </c>
      <c r="F53" s="57" t="str">
        <f>IF($A53="","",COUNTIFS('Inventário de Lotes'!$B:$B,"&gt;="&amp;$A53,'Inventário de Lotes'!$B:$B,"&lt;"&amp;EDATE($A53,1)))</f>
        <v/>
      </c>
      <c r="G53" s="56" t="str">
        <f t="shared" si="2"/>
        <v/>
      </c>
    </row>
    <row r="54" ht="15.0" customHeight="1">
      <c r="A54" s="52" t="str">
        <f t="shared" si="3"/>
        <v/>
      </c>
      <c r="B54" s="53" t="str">
        <f>IF($A54="","",SUMIFS('Todos os Gastos'!$C:$C,'Todos os Gastos'!$A:$A,"&gt;="&amp;$A54,'Todos os Gastos'!$A:$A,"&lt;"&amp;EDATE($A54,1)))</f>
        <v/>
      </c>
      <c r="C54" s="53" t="str">
        <f>IF($A54="","",SUMIFS('Inventário de Lotes'!$D:$D,'Inventário de Lotes'!$B:$B,"&gt;="&amp;$A54,'Inventário de Lotes'!$B:$B,"&lt;"&amp;EDATE($A54,1)))</f>
        <v/>
      </c>
      <c r="D54" s="53" t="str">
        <f t="shared" si="1"/>
        <v/>
      </c>
      <c r="E54" s="54" t="str">
        <f>IF($A54="","",COUNTIFS('Todos os Gastos'!$A:$A,"&gt;="&amp;$A54,'Todos os Gastos'!$A:$A,"&lt;"&amp;EDATE($A54,1)))</f>
        <v/>
      </c>
      <c r="F54" s="54" t="str">
        <f>IF($A54="","",COUNTIFS('Inventário de Lotes'!$B:$B,"&gt;="&amp;$A54,'Inventário de Lotes'!$B:$B,"&lt;"&amp;EDATE($A54,1)))</f>
        <v/>
      </c>
      <c r="G54" s="53" t="str">
        <f t="shared" si="2"/>
        <v/>
      </c>
    </row>
    <row r="55" ht="15.0" customHeight="1">
      <c r="A55" s="55" t="str">
        <f t="shared" si="3"/>
        <v/>
      </c>
      <c r="B55" s="56" t="str">
        <f>IF($A55="","",SUMIFS('Todos os Gastos'!$C:$C,'Todos os Gastos'!$A:$A,"&gt;="&amp;$A55,'Todos os Gastos'!$A:$A,"&lt;"&amp;EDATE($A55,1)))</f>
        <v/>
      </c>
      <c r="C55" s="56" t="str">
        <f>IF($A55="","",SUMIFS('Inventário de Lotes'!$D:$D,'Inventário de Lotes'!$B:$B,"&gt;="&amp;$A55,'Inventário de Lotes'!$B:$B,"&lt;"&amp;EDATE($A55,1)))</f>
        <v/>
      </c>
      <c r="D55" s="56" t="str">
        <f t="shared" si="1"/>
        <v/>
      </c>
      <c r="E55" s="57" t="str">
        <f>IF($A55="","",COUNTIFS('Todos os Gastos'!$A:$A,"&gt;="&amp;$A55,'Todos os Gastos'!$A:$A,"&lt;"&amp;EDATE($A55,1)))</f>
        <v/>
      </c>
      <c r="F55" s="57" t="str">
        <f>IF($A55="","",COUNTIFS('Inventário de Lotes'!$B:$B,"&gt;="&amp;$A55,'Inventário de Lotes'!$B:$B,"&lt;"&amp;EDATE($A55,1)))</f>
        <v/>
      </c>
      <c r="G55" s="56" t="str">
        <f t="shared" si="2"/>
        <v/>
      </c>
    </row>
    <row r="56" ht="15.0" customHeight="1">
      <c r="A56" s="52" t="str">
        <f t="shared" si="3"/>
        <v/>
      </c>
      <c r="B56" s="53" t="str">
        <f>IF($A56="","",SUMIFS('Todos os Gastos'!$C:$C,'Todos os Gastos'!$A:$A,"&gt;="&amp;$A56,'Todos os Gastos'!$A:$A,"&lt;"&amp;EDATE($A56,1)))</f>
        <v/>
      </c>
      <c r="C56" s="53" t="str">
        <f>IF($A56="","",SUMIFS('Inventário de Lotes'!$D:$D,'Inventário de Lotes'!$B:$B,"&gt;="&amp;$A56,'Inventário de Lotes'!$B:$B,"&lt;"&amp;EDATE($A56,1)))</f>
        <v/>
      </c>
      <c r="D56" s="53" t="str">
        <f t="shared" si="1"/>
        <v/>
      </c>
      <c r="E56" s="54" t="str">
        <f>IF($A56="","",COUNTIFS('Todos os Gastos'!$A:$A,"&gt;="&amp;$A56,'Todos os Gastos'!$A:$A,"&lt;"&amp;EDATE($A56,1)))</f>
        <v/>
      </c>
      <c r="F56" s="54" t="str">
        <f>IF($A56="","",COUNTIFS('Inventário de Lotes'!$B:$B,"&gt;="&amp;$A56,'Inventário de Lotes'!$B:$B,"&lt;"&amp;EDATE($A56,1)))</f>
        <v/>
      </c>
      <c r="G56" s="53" t="str">
        <f t="shared" si="2"/>
        <v/>
      </c>
    </row>
    <row r="57" ht="15.0" customHeight="1">
      <c r="A57" s="55" t="str">
        <f t="shared" si="3"/>
        <v/>
      </c>
      <c r="B57" s="56" t="str">
        <f>IF($A57="","",SUMIFS('Todos os Gastos'!$C:$C,'Todos os Gastos'!$A:$A,"&gt;="&amp;$A57,'Todos os Gastos'!$A:$A,"&lt;"&amp;EDATE($A57,1)))</f>
        <v/>
      </c>
      <c r="C57" s="56" t="str">
        <f>IF($A57="","",SUMIFS('Inventário de Lotes'!$D:$D,'Inventário de Lotes'!$B:$B,"&gt;="&amp;$A57,'Inventário de Lotes'!$B:$B,"&lt;"&amp;EDATE($A57,1)))</f>
        <v/>
      </c>
      <c r="D57" s="56" t="str">
        <f t="shared" si="1"/>
        <v/>
      </c>
      <c r="E57" s="57" t="str">
        <f>IF($A57="","",COUNTIFS('Todos os Gastos'!$A:$A,"&gt;="&amp;$A57,'Todos os Gastos'!$A:$A,"&lt;"&amp;EDATE($A57,1)))</f>
        <v/>
      </c>
      <c r="F57" s="57" t="str">
        <f>IF($A57="","",COUNTIFS('Inventário de Lotes'!$B:$B,"&gt;="&amp;$A57,'Inventário de Lotes'!$B:$B,"&lt;"&amp;EDATE($A57,1)))</f>
        <v/>
      </c>
      <c r="G57" s="56" t="str">
        <f t="shared" si="2"/>
        <v/>
      </c>
    </row>
    <row r="58" ht="15.0" customHeight="1">
      <c r="A58" s="52" t="str">
        <f t="shared" si="3"/>
        <v/>
      </c>
      <c r="B58" s="53" t="str">
        <f>IF($A58="","",SUMIFS('Todos os Gastos'!$C:$C,'Todos os Gastos'!$A:$A,"&gt;="&amp;$A58,'Todos os Gastos'!$A:$A,"&lt;"&amp;EDATE($A58,1)))</f>
        <v/>
      </c>
      <c r="C58" s="53" t="str">
        <f>IF($A58="","",SUMIFS('Inventário de Lotes'!$D:$D,'Inventário de Lotes'!$B:$B,"&gt;="&amp;$A58,'Inventário de Lotes'!$B:$B,"&lt;"&amp;EDATE($A58,1)))</f>
        <v/>
      </c>
      <c r="D58" s="53" t="str">
        <f t="shared" si="1"/>
        <v/>
      </c>
      <c r="E58" s="54" t="str">
        <f>IF($A58="","",COUNTIFS('Todos os Gastos'!$A:$A,"&gt;="&amp;$A58,'Todos os Gastos'!$A:$A,"&lt;"&amp;EDATE($A58,1)))</f>
        <v/>
      </c>
      <c r="F58" s="54" t="str">
        <f>IF($A58="","",COUNTIFS('Inventário de Lotes'!$B:$B,"&gt;="&amp;$A58,'Inventário de Lotes'!$B:$B,"&lt;"&amp;EDATE($A58,1)))</f>
        <v/>
      </c>
      <c r="G58" s="53" t="str">
        <f t="shared" si="2"/>
        <v/>
      </c>
    </row>
    <row r="59" ht="15.0" customHeight="1">
      <c r="A59" s="55" t="str">
        <f t="shared" si="3"/>
        <v/>
      </c>
      <c r="B59" s="56" t="str">
        <f>IF($A59="","",SUMIFS('Todos os Gastos'!$C:$C,'Todos os Gastos'!$A:$A,"&gt;="&amp;$A59,'Todos os Gastos'!$A:$A,"&lt;"&amp;EDATE($A59,1)))</f>
        <v/>
      </c>
      <c r="C59" s="56" t="str">
        <f>IF($A59="","",SUMIFS('Inventário de Lotes'!$D:$D,'Inventário de Lotes'!$B:$B,"&gt;="&amp;$A59,'Inventário de Lotes'!$B:$B,"&lt;"&amp;EDATE($A59,1)))</f>
        <v/>
      </c>
      <c r="D59" s="56" t="str">
        <f t="shared" si="1"/>
        <v/>
      </c>
      <c r="E59" s="57" t="str">
        <f>IF($A59="","",COUNTIFS('Todos os Gastos'!$A:$A,"&gt;="&amp;$A59,'Todos os Gastos'!$A:$A,"&lt;"&amp;EDATE($A59,1)))</f>
        <v/>
      </c>
      <c r="F59" s="57" t="str">
        <f>IF($A59="","",COUNTIFS('Inventário de Lotes'!$B:$B,"&gt;="&amp;$A59,'Inventário de Lotes'!$B:$B,"&lt;"&amp;EDATE($A59,1)))</f>
        <v/>
      </c>
      <c r="G59" s="56" t="str">
        <f t="shared" si="2"/>
        <v/>
      </c>
    </row>
    <row r="60" ht="15.0" customHeight="1">
      <c r="A60" s="52" t="str">
        <f t="shared" si="3"/>
        <v/>
      </c>
      <c r="B60" s="53" t="str">
        <f>IF($A60="","",SUMIFS('Todos os Gastos'!$C:$C,'Todos os Gastos'!$A:$A,"&gt;="&amp;$A60,'Todos os Gastos'!$A:$A,"&lt;"&amp;EDATE($A60,1)))</f>
        <v/>
      </c>
      <c r="C60" s="53" t="str">
        <f>IF($A60="","",SUMIFS('Inventário de Lotes'!$D:$D,'Inventário de Lotes'!$B:$B,"&gt;="&amp;$A60,'Inventário de Lotes'!$B:$B,"&lt;"&amp;EDATE($A60,1)))</f>
        <v/>
      </c>
      <c r="D60" s="53" t="str">
        <f t="shared" si="1"/>
        <v/>
      </c>
      <c r="E60" s="54" t="str">
        <f>IF($A60="","",COUNTIFS('Todos os Gastos'!$A:$A,"&gt;="&amp;$A60,'Todos os Gastos'!$A:$A,"&lt;"&amp;EDATE($A60,1)))</f>
        <v/>
      </c>
      <c r="F60" s="54" t="str">
        <f>IF($A60="","",COUNTIFS('Inventário de Lotes'!$B:$B,"&gt;="&amp;$A60,'Inventário de Lotes'!$B:$B,"&lt;"&amp;EDATE($A60,1)))</f>
        <v/>
      </c>
      <c r="G60" s="53" t="str">
        <f t="shared" si="2"/>
        <v/>
      </c>
    </row>
    <row r="61" ht="15.0" customHeight="1">
      <c r="A61" s="55" t="str">
        <f t="shared" si="3"/>
        <v/>
      </c>
      <c r="B61" s="56" t="str">
        <f>IF($A61="","",SUMIFS('Todos os Gastos'!$C:$C,'Todos os Gastos'!$A:$A,"&gt;="&amp;$A61,'Todos os Gastos'!$A:$A,"&lt;"&amp;EDATE($A61,1)))</f>
        <v/>
      </c>
      <c r="C61" s="56" t="str">
        <f>IF($A61="","",SUMIFS('Inventário de Lotes'!$D:$D,'Inventário de Lotes'!$B:$B,"&gt;="&amp;$A61,'Inventário de Lotes'!$B:$B,"&lt;"&amp;EDATE($A61,1)))</f>
        <v/>
      </c>
      <c r="D61" s="56" t="str">
        <f t="shared" si="1"/>
        <v/>
      </c>
      <c r="E61" s="57" t="str">
        <f>IF($A61="","",COUNTIFS('Todos os Gastos'!$A:$A,"&gt;="&amp;$A61,'Todos os Gastos'!$A:$A,"&lt;"&amp;EDATE($A61,1)))</f>
        <v/>
      </c>
      <c r="F61" s="57" t="str">
        <f>IF($A61="","",COUNTIFS('Inventário de Lotes'!$B:$B,"&gt;="&amp;$A61,'Inventário de Lotes'!$B:$B,"&lt;"&amp;EDATE($A61,1)))</f>
        <v/>
      </c>
      <c r="G61" s="56" t="str">
        <f t="shared" si="2"/>
        <v/>
      </c>
    </row>
    <row r="62" ht="15.0" customHeight="1">
      <c r="A62" s="52" t="str">
        <f t="shared" si="3"/>
        <v/>
      </c>
      <c r="B62" s="53" t="str">
        <f>IF($A62="","",SUMIFS('Todos os Gastos'!$C:$C,'Todos os Gastos'!$A:$A,"&gt;="&amp;$A62,'Todos os Gastos'!$A:$A,"&lt;"&amp;EDATE($A62,1)))</f>
        <v/>
      </c>
      <c r="C62" s="53" t="str">
        <f>IF($A62="","",SUMIFS('Inventário de Lotes'!$D:$D,'Inventário de Lotes'!$B:$B,"&gt;="&amp;$A62,'Inventário de Lotes'!$B:$B,"&lt;"&amp;EDATE($A62,1)))</f>
        <v/>
      </c>
      <c r="D62" s="53" t="str">
        <f t="shared" si="1"/>
        <v/>
      </c>
      <c r="E62" s="54" t="str">
        <f>IF($A62="","",COUNTIFS('Todos os Gastos'!$A:$A,"&gt;="&amp;$A62,'Todos os Gastos'!$A:$A,"&lt;"&amp;EDATE($A62,1)))</f>
        <v/>
      </c>
      <c r="F62" s="54" t="str">
        <f>IF($A62="","",COUNTIFS('Inventário de Lotes'!$B:$B,"&gt;="&amp;$A62,'Inventário de Lotes'!$B:$B,"&lt;"&amp;EDATE($A62,1)))</f>
        <v/>
      </c>
      <c r="G62" s="53" t="str">
        <f t="shared" si="2"/>
        <v/>
      </c>
    </row>
    <row r="63" ht="15.0" customHeight="1">
      <c r="A63" s="55" t="str">
        <f t="shared" si="3"/>
        <v/>
      </c>
      <c r="B63" s="56" t="str">
        <f>IF($A63="","",SUMIFS('Todos os Gastos'!$C:$C,'Todos os Gastos'!$A:$A,"&gt;="&amp;$A63,'Todos os Gastos'!$A:$A,"&lt;"&amp;EDATE($A63,1)))</f>
        <v/>
      </c>
      <c r="C63" s="56" t="str">
        <f>IF($A63="","",SUMIFS('Inventário de Lotes'!$D:$D,'Inventário de Lotes'!$B:$B,"&gt;="&amp;$A63,'Inventário de Lotes'!$B:$B,"&lt;"&amp;EDATE($A63,1)))</f>
        <v/>
      </c>
      <c r="D63" s="56" t="str">
        <f t="shared" si="1"/>
        <v/>
      </c>
      <c r="E63" s="57" t="str">
        <f>IF($A63="","",COUNTIFS('Todos os Gastos'!$A:$A,"&gt;="&amp;$A63,'Todos os Gastos'!$A:$A,"&lt;"&amp;EDATE($A63,1)))</f>
        <v/>
      </c>
      <c r="F63" s="57" t="str">
        <f>IF($A63="","",COUNTIFS('Inventário de Lotes'!$B:$B,"&gt;="&amp;$A63,'Inventário de Lotes'!$B:$B,"&lt;"&amp;EDATE($A63,1)))</f>
        <v/>
      </c>
      <c r="G63" s="56" t="str">
        <f t="shared" si="2"/>
        <v/>
      </c>
    </row>
    <row r="64" ht="15.0" customHeight="1">
      <c r="A64" s="52" t="str">
        <f t="shared" si="3"/>
        <v/>
      </c>
      <c r="B64" s="53" t="str">
        <f>IF($A64="","",SUMIFS('Todos os Gastos'!$C:$C,'Todos os Gastos'!$A:$A,"&gt;="&amp;$A64,'Todos os Gastos'!$A:$A,"&lt;"&amp;EDATE($A64,1)))</f>
        <v/>
      </c>
      <c r="C64" s="53" t="str">
        <f>IF($A64="","",SUMIFS('Inventário de Lotes'!$D:$D,'Inventário de Lotes'!$B:$B,"&gt;="&amp;$A64,'Inventário de Lotes'!$B:$B,"&lt;"&amp;EDATE($A64,1)))</f>
        <v/>
      </c>
      <c r="D64" s="53" t="str">
        <f t="shared" si="1"/>
        <v/>
      </c>
      <c r="E64" s="54" t="str">
        <f>IF($A64="","",COUNTIFS('Todos os Gastos'!$A:$A,"&gt;="&amp;$A64,'Todos os Gastos'!$A:$A,"&lt;"&amp;EDATE($A64,1)))</f>
        <v/>
      </c>
      <c r="F64" s="54" t="str">
        <f>IF($A64="","",COUNTIFS('Inventário de Lotes'!$B:$B,"&gt;="&amp;$A64,'Inventário de Lotes'!$B:$B,"&lt;"&amp;EDATE($A64,1)))</f>
        <v/>
      </c>
      <c r="G64" s="53" t="str">
        <f t="shared" si="2"/>
        <v/>
      </c>
    </row>
    <row r="65" ht="15.0" customHeight="1">
      <c r="A65" s="55" t="str">
        <f t="shared" si="3"/>
        <v/>
      </c>
      <c r="B65" s="56" t="str">
        <f>IF($A65="","",SUMIFS('Todos os Gastos'!$C:$C,'Todos os Gastos'!$A:$A,"&gt;="&amp;$A65,'Todos os Gastos'!$A:$A,"&lt;"&amp;EDATE($A65,1)))</f>
        <v/>
      </c>
      <c r="C65" s="56" t="str">
        <f>IF($A65="","",SUMIFS('Inventário de Lotes'!$D:$D,'Inventário de Lotes'!$B:$B,"&gt;="&amp;$A65,'Inventário de Lotes'!$B:$B,"&lt;"&amp;EDATE($A65,1)))</f>
        <v/>
      </c>
      <c r="D65" s="56" t="str">
        <f t="shared" si="1"/>
        <v/>
      </c>
      <c r="E65" s="57" t="str">
        <f>IF($A65="","",COUNTIFS('Todos os Gastos'!$A:$A,"&gt;="&amp;$A65,'Todos os Gastos'!$A:$A,"&lt;"&amp;EDATE($A65,1)))</f>
        <v/>
      </c>
      <c r="F65" s="57" t="str">
        <f>IF($A65="","",COUNTIFS('Inventário de Lotes'!$B:$B,"&gt;="&amp;$A65,'Inventário de Lotes'!$B:$B,"&lt;"&amp;EDATE($A65,1)))</f>
        <v/>
      </c>
      <c r="G65" s="56" t="str">
        <f t="shared" si="2"/>
        <v/>
      </c>
    </row>
    <row r="66" ht="15.0" customHeight="1">
      <c r="A66" s="52" t="str">
        <f t="shared" si="3"/>
        <v/>
      </c>
      <c r="B66" s="53" t="str">
        <f>IF($A66="","",SUMIFS('Todos os Gastos'!$C:$C,'Todos os Gastos'!$A:$A,"&gt;="&amp;$A66,'Todos os Gastos'!$A:$A,"&lt;"&amp;EDATE($A66,1)))</f>
        <v/>
      </c>
      <c r="C66" s="53" t="str">
        <f>IF($A66="","",SUMIFS('Inventário de Lotes'!$D:$D,'Inventário de Lotes'!$B:$B,"&gt;="&amp;$A66,'Inventário de Lotes'!$B:$B,"&lt;"&amp;EDATE($A66,1)))</f>
        <v/>
      </c>
      <c r="D66" s="53" t="str">
        <f t="shared" si="1"/>
        <v/>
      </c>
      <c r="E66" s="54" t="str">
        <f>IF($A66="","",COUNTIFS('Todos os Gastos'!$A:$A,"&gt;="&amp;$A66,'Todos os Gastos'!$A:$A,"&lt;"&amp;EDATE($A66,1)))</f>
        <v/>
      </c>
      <c r="F66" s="54" t="str">
        <f>IF($A66="","",COUNTIFS('Inventário de Lotes'!$B:$B,"&gt;="&amp;$A66,'Inventário de Lotes'!$B:$B,"&lt;"&amp;EDATE($A66,1)))</f>
        <v/>
      </c>
      <c r="G66" s="53" t="str">
        <f t="shared" si="2"/>
        <v/>
      </c>
    </row>
    <row r="67" ht="15.0" customHeight="1">
      <c r="A67" s="55" t="str">
        <f t="shared" si="3"/>
        <v/>
      </c>
      <c r="B67" s="56" t="str">
        <f>IF($A67="","",SUMIFS('Todos os Gastos'!$C:$C,'Todos os Gastos'!$A:$A,"&gt;="&amp;$A67,'Todos os Gastos'!$A:$A,"&lt;"&amp;EDATE($A67,1)))</f>
        <v/>
      </c>
      <c r="C67" s="56" t="str">
        <f>IF($A67="","",SUMIFS('Inventário de Lotes'!$D:$D,'Inventário de Lotes'!$B:$B,"&gt;="&amp;$A67,'Inventário de Lotes'!$B:$B,"&lt;"&amp;EDATE($A67,1)))</f>
        <v/>
      </c>
      <c r="D67" s="56" t="str">
        <f t="shared" si="1"/>
        <v/>
      </c>
      <c r="E67" s="57" t="str">
        <f>IF($A67="","",COUNTIFS('Todos os Gastos'!$A:$A,"&gt;="&amp;$A67,'Todos os Gastos'!$A:$A,"&lt;"&amp;EDATE($A67,1)))</f>
        <v/>
      </c>
      <c r="F67" s="57" t="str">
        <f>IF($A67="","",COUNTIFS('Inventário de Lotes'!$B:$B,"&gt;="&amp;$A67,'Inventário de Lotes'!$B:$B,"&lt;"&amp;EDATE($A67,1)))</f>
        <v/>
      </c>
      <c r="G67" s="56" t="str">
        <f t="shared" si="2"/>
        <v/>
      </c>
    </row>
    <row r="68" ht="15.0" customHeight="1">
      <c r="A68" s="52" t="str">
        <f t="shared" si="3"/>
        <v/>
      </c>
      <c r="B68" s="53" t="str">
        <f>IF($A68="","",SUMIFS('Todos os Gastos'!$C:$C,'Todos os Gastos'!$A:$A,"&gt;="&amp;$A68,'Todos os Gastos'!$A:$A,"&lt;"&amp;EDATE($A68,1)))</f>
        <v/>
      </c>
      <c r="C68" s="53" t="str">
        <f>IF($A68="","",SUMIFS('Inventário de Lotes'!$D:$D,'Inventário de Lotes'!$B:$B,"&gt;="&amp;$A68,'Inventário de Lotes'!$B:$B,"&lt;"&amp;EDATE($A68,1)))</f>
        <v/>
      </c>
      <c r="D68" s="53" t="str">
        <f t="shared" si="1"/>
        <v/>
      </c>
      <c r="E68" s="54" t="str">
        <f>IF($A68="","",COUNTIFS('Todos os Gastos'!$A:$A,"&gt;="&amp;$A68,'Todos os Gastos'!$A:$A,"&lt;"&amp;EDATE($A68,1)))</f>
        <v/>
      </c>
      <c r="F68" s="54" t="str">
        <f>IF($A68="","",COUNTIFS('Inventário de Lotes'!$B:$B,"&gt;="&amp;$A68,'Inventário de Lotes'!$B:$B,"&lt;"&amp;EDATE($A68,1)))</f>
        <v/>
      </c>
      <c r="G68" s="53" t="str">
        <f t="shared" si="2"/>
        <v/>
      </c>
    </row>
    <row r="69" ht="15.0" customHeight="1">
      <c r="A69" s="55" t="str">
        <f t="shared" si="3"/>
        <v/>
      </c>
      <c r="B69" s="56" t="str">
        <f>IF($A69="","",SUMIFS('Todos os Gastos'!$C:$C,'Todos os Gastos'!$A:$A,"&gt;="&amp;$A69,'Todos os Gastos'!$A:$A,"&lt;"&amp;EDATE($A69,1)))</f>
        <v/>
      </c>
      <c r="C69" s="56" t="str">
        <f>IF($A69="","",SUMIFS('Inventário de Lotes'!$D:$D,'Inventário de Lotes'!$B:$B,"&gt;="&amp;$A69,'Inventário de Lotes'!$B:$B,"&lt;"&amp;EDATE($A69,1)))</f>
        <v/>
      </c>
      <c r="D69" s="56" t="str">
        <f t="shared" si="1"/>
        <v/>
      </c>
      <c r="E69" s="57" t="str">
        <f>IF($A69="","",COUNTIFS('Todos os Gastos'!$A:$A,"&gt;="&amp;$A69,'Todos os Gastos'!$A:$A,"&lt;"&amp;EDATE($A69,1)))</f>
        <v/>
      </c>
      <c r="F69" s="57" t="str">
        <f>IF($A69="","",COUNTIFS('Inventário de Lotes'!$B:$B,"&gt;="&amp;$A69,'Inventário de Lotes'!$B:$B,"&lt;"&amp;EDATE($A69,1)))</f>
        <v/>
      </c>
      <c r="G69" s="56" t="str">
        <f t="shared" si="2"/>
        <v/>
      </c>
    </row>
    <row r="70" ht="15.0" customHeight="1">
      <c r="A70" s="52" t="str">
        <f t="shared" si="3"/>
        <v/>
      </c>
      <c r="B70" s="53" t="str">
        <f>IF($A70="","",SUMIFS('Todos os Gastos'!$C:$C,'Todos os Gastos'!$A:$A,"&gt;="&amp;$A70,'Todos os Gastos'!$A:$A,"&lt;"&amp;EDATE($A70,1)))</f>
        <v/>
      </c>
      <c r="C70" s="53" t="str">
        <f>IF($A70="","",SUMIFS('Inventário de Lotes'!$D:$D,'Inventário de Lotes'!$B:$B,"&gt;="&amp;$A70,'Inventário de Lotes'!$B:$B,"&lt;"&amp;EDATE($A70,1)))</f>
        <v/>
      </c>
      <c r="D70" s="53" t="str">
        <f t="shared" si="1"/>
        <v/>
      </c>
      <c r="E70" s="54" t="str">
        <f>IF($A70="","",COUNTIFS('Todos os Gastos'!$A:$A,"&gt;="&amp;$A70,'Todos os Gastos'!$A:$A,"&lt;"&amp;EDATE($A70,1)))</f>
        <v/>
      </c>
      <c r="F70" s="54" t="str">
        <f>IF($A70="","",COUNTIFS('Inventário de Lotes'!$B:$B,"&gt;="&amp;$A70,'Inventário de Lotes'!$B:$B,"&lt;"&amp;EDATE($A70,1)))</f>
        <v/>
      </c>
      <c r="G70" s="53" t="str">
        <f t="shared" si="2"/>
        <v/>
      </c>
    </row>
    <row r="71" ht="15.0" customHeight="1">
      <c r="A71" s="55" t="str">
        <f t="shared" si="3"/>
        <v/>
      </c>
      <c r="B71" s="56" t="str">
        <f>IF($A71="","",SUMIFS('Todos os Gastos'!$C:$C,'Todos os Gastos'!$A:$A,"&gt;="&amp;$A71,'Todos os Gastos'!$A:$A,"&lt;"&amp;EDATE($A71,1)))</f>
        <v/>
      </c>
      <c r="C71" s="56" t="str">
        <f>IF($A71="","",SUMIFS('Inventário de Lotes'!$D:$D,'Inventário de Lotes'!$B:$B,"&gt;="&amp;$A71,'Inventário de Lotes'!$B:$B,"&lt;"&amp;EDATE($A71,1)))</f>
        <v/>
      </c>
      <c r="D71" s="56" t="str">
        <f t="shared" si="1"/>
        <v/>
      </c>
      <c r="E71" s="57" t="str">
        <f>IF($A71="","",COUNTIFS('Todos os Gastos'!$A:$A,"&gt;="&amp;$A71,'Todos os Gastos'!$A:$A,"&lt;"&amp;EDATE($A71,1)))</f>
        <v/>
      </c>
      <c r="F71" s="57" t="str">
        <f>IF($A71="","",COUNTIFS('Inventário de Lotes'!$B:$B,"&gt;="&amp;$A71,'Inventário de Lotes'!$B:$B,"&lt;"&amp;EDATE($A71,1)))</f>
        <v/>
      </c>
      <c r="G71" s="56" t="str">
        <f t="shared" si="2"/>
        <v/>
      </c>
    </row>
    <row r="72" ht="15.0" customHeight="1">
      <c r="A72" s="52" t="str">
        <f t="shared" si="3"/>
        <v/>
      </c>
      <c r="B72" s="53" t="str">
        <f>IF($A72="","",SUMIFS('Todos os Gastos'!$C:$C,'Todos os Gastos'!$A:$A,"&gt;="&amp;$A72,'Todos os Gastos'!$A:$A,"&lt;"&amp;EDATE($A72,1)))</f>
        <v/>
      </c>
      <c r="C72" s="53" t="str">
        <f>IF($A72="","",SUMIFS('Inventário de Lotes'!$D:$D,'Inventário de Lotes'!$B:$B,"&gt;="&amp;$A72,'Inventário de Lotes'!$B:$B,"&lt;"&amp;EDATE($A72,1)))</f>
        <v/>
      </c>
      <c r="D72" s="53" t="str">
        <f t="shared" si="1"/>
        <v/>
      </c>
      <c r="E72" s="54" t="str">
        <f>IF($A72="","",COUNTIFS('Todos os Gastos'!$A:$A,"&gt;="&amp;$A72,'Todos os Gastos'!$A:$A,"&lt;"&amp;EDATE($A72,1)))</f>
        <v/>
      </c>
      <c r="F72" s="54" t="str">
        <f>IF($A72="","",COUNTIFS('Inventário de Lotes'!$B:$B,"&gt;="&amp;$A72,'Inventário de Lotes'!$B:$B,"&lt;"&amp;EDATE($A72,1)))</f>
        <v/>
      </c>
      <c r="G72" s="53" t="str">
        <f t="shared" si="2"/>
        <v/>
      </c>
    </row>
    <row r="73" ht="15.0" customHeight="1">
      <c r="A73" s="55" t="str">
        <f t="shared" si="3"/>
        <v/>
      </c>
      <c r="B73" s="56" t="str">
        <f>IF($A73="","",SUMIFS('Todos os Gastos'!$C:$C,'Todos os Gastos'!$A:$A,"&gt;="&amp;$A73,'Todos os Gastos'!$A:$A,"&lt;"&amp;EDATE($A73,1)))</f>
        <v/>
      </c>
      <c r="C73" s="56" t="str">
        <f>IF($A73="","",SUMIFS('Inventário de Lotes'!$D:$D,'Inventário de Lotes'!$B:$B,"&gt;="&amp;$A73,'Inventário de Lotes'!$B:$B,"&lt;"&amp;EDATE($A73,1)))</f>
        <v/>
      </c>
      <c r="D73" s="56" t="str">
        <f t="shared" si="1"/>
        <v/>
      </c>
      <c r="E73" s="57" t="str">
        <f>IF($A73="","",COUNTIFS('Todos os Gastos'!$A:$A,"&gt;="&amp;$A73,'Todos os Gastos'!$A:$A,"&lt;"&amp;EDATE($A73,1)))</f>
        <v/>
      </c>
      <c r="F73" s="57" t="str">
        <f>IF($A73="","",COUNTIFS('Inventário de Lotes'!$B:$B,"&gt;="&amp;$A73,'Inventário de Lotes'!$B:$B,"&lt;"&amp;EDATE($A73,1)))</f>
        <v/>
      </c>
      <c r="G73" s="56" t="str">
        <f t="shared" si="2"/>
        <v/>
      </c>
    </row>
    <row r="74" ht="15.0" customHeight="1">
      <c r="A74" s="52" t="str">
        <f t="shared" si="3"/>
        <v/>
      </c>
      <c r="B74" s="53" t="str">
        <f>IF($A74="","",SUMIFS('Todos os Gastos'!$C:$C,'Todos os Gastos'!$A:$A,"&gt;="&amp;$A74,'Todos os Gastos'!$A:$A,"&lt;"&amp;EDATE($A74,1)))</f>
        <v/>
      </c>
      <c r="C74" s="53" t="str">
        <f>IF($A74="","",SUMIFS('Inventário de Lotes'!$D:$D,'Inventário de Lotes'!$B:$B,"&gt;="&amp;$A74,'Inventário de Lotes'!$B:$B,"&lt;"&amp;EDATE($A74,1)))</f>
        <v/>
      </c>
      <c r="D74" s="53" t="str">
        <f t="shared" si="1"/>
        <v/>
      </c>
      <c r="E74" s="54" t="str">
        <f>IF($A74="","",COUNTIFS('Todos os Gastos'!$A:$A,"&gt;="&amp;$A74,'Todos os Gastos'!$A:$A,"&lt;"&amp;EDATE($A74,1)))</f>
        <v/>
      </c>
      <c r="F74" s="54" t="str">
        <f>IF($A74="","",COUNTIFS('Inventário de Lotes'!$B:$B,"&gt;="&amp;$A74,'Inventário de Lotes'!$B:$B,"&lt;"&amp;EDATE($A74,1)))</f>
        <v/>
      </c>
      <c r="G74" s="53" t="str">
        <f t="shared" si="2"/>
        <v/>
      </c>
    </row>
    <row r="75" ht="15.0" customHeight="1">
      <c r="A75" s="55" t="str">
        <f t="shared" si="3"/>
        <v/>
      </c>
      <c r="B75" s="56" t="str">
        <f>IF($A75="","",SUMIFS('Todos os Gastos'!$C:$C,'Todos os Gastos'!$A:$A,"&gt;="&amp;$A75,'Todos os Gastos'!$A:$A,"&lt;"&amp;EDATE($A75,1)))</f>
        <v/>
      </c>
      <c r="C75" s="56" t="str">
        <f>IF($A75="","",SUMIFS('Inventário de Lotes'!$D:$D,'Inventário de Lotes'!$B:$B,"&gt;="&amp;$A75,'Inventário de Lotes'!$B:$B,"&lt;"&amp;EDATE($A75,1)))</f>
        <v/>
      </c>
      <c r="D75" s="56" t="str">
        <f t="shared" si="1"/>
        <v/>
      </c>
      <c r="E75" s="57" t="str">
        <f>IF($A75="","",COUNTIFS('Todos os Gastos'!$A:$A,"&gt;="&amp;$A75,'Todos os Gastos'!$A:$A,"&lt;"&amp;EDATE($A75,1)))</f>
        <v/>
      </c>
      <c r="F75" s="57" t="str">
        <f>IF($A75="","",COUNTIFS('Inventário de Lotes'!$B:$B,"&gt;="&amp;$A75,'Inventário de Lotes'!$B:$B,"&lt;"&amp;EDATE($A75,1)))</f>
        <v/>
      </c>
      <c r="G75" s="56" t="str">
        <f t="shared" si="2"/>
        <v/>
      </c>
    </row>
    <row r="76" ht="15.0" customHeight="1">
      <c r="A76" s="52" t="str">
        <f t="shared" si="3"/>
        <v/>
      </c>
      <c r="B76" s="53" t="str">
        <f>IF($A76="","",SUMIFS('Todos os Gastos'!$C:$C,'Todos os Gastos'!$A:$A,"&gt;="&amp;$A76,'Todos os Gastos'!$A:$A,"&lt;"&amp;EDATE($A76,1)))</f>
        <v/>
      </c>
      <c r="C76" s="53" t="str">
        <f>IF($A76="","",SUMIFS('Inventário de Lotes'!$D:$D,'Inventário de Lotes'!$B:$B,"&gt;="&amp;$A76,'Inventário de Lotes'!$B:$B,"&lt;"&amp;EDATE($A76,1)))</f>
        <v/>
      </c>
      <c r="D76" s="53" t="str">
        <f t="shared" si="1"/>
        <v/>
      </c>
      <c r="E76" s="54" t="str">
        <f>IF($A76="","",COUNTIFS('Todos os Gastos'!$A:$A,"&gt;="&amp;$A76,'Todos os Gastos'!$A:$A,"&lt;"&amp;EDATE($A76,1)))</f>
        <v/>
      </c>
      <c r="F76" s="54" t="str">
        <f>IF($A76="","",COUNTIFS('Inventário de Lotes'!$B:$B,"&gt;="&amp;$A76,'Inventário de Lotes'!$B:$B,"&lt;"&amp;EDATE($A76,1)))</f>
        <v/>
      </c>
      <c r="G76" s="53" t="str">
        <f t="shared" si="2"/>
        <v/>
      </c>
    </row>
    <row r="77" ht="15.0" customHeight="1">
      <c r="A77" s="55" t="str">
        <f t="shared" si="3"/>
        <v/>
      </c>
      <c r="B77" s="56" t="str">
        <f>IF($A77="","",SUMIFS('Todos os Gastos'!$C:$C,'Todos os Gastos'!$A:$A,"&gt;="&amp;$A77,'Todos os Gastos'!$A:$A,"&lt;"&amp;EDATE($A77,1)))</f>
        <v/>
      </c>
      <c r="C77" s="56" t="str">
        <f>IF($A77="","",SUMIFS('Inventário de Lotes'!$D:$D,'Inventário de Lotes'!$B:$B,"&gt;="&amp;$A77,'Inventário de Lotes'!$B:$B,"&lt;"&amp;EDATE($A77,1)))</f>
        <v/>
      </c>
      <c r="D77" s="56" t="str">
        <f t="shared" si="1"/>
        <v/>
      </c>
      <c r="E77" s="57" t="str">
        <f>IF($A77="","",COUNTIFS('Todos os Gastos'!$A:$A,"&gt;="&amp;$A77,'Todos os Gastos'!$A:$A,"&lt;"&amp;EDATE($A77,1)))</f>
        <v/>
      </c>
      <c r="F77" s="57" t="str">
        <f>IF($A77="","",COUNTIFS('Inventário de Lotes'!$B:$B,"&gt;="&amp;$A77,'Inventário de Lotes'!$B:$B,"&lt;"&amp;EDATE($A77,1)))</f>
        <v/>
      </c>
      <c r="G77" s="56" t="str">
        <f t="shared" si="2"/>
        <v/>
      </c>
    </row>
    <row r="78" ht="15.0" customHeight="1">
      <c r="A78" s="52" t="str">
        <f t="shared" si="3"/>
        <v/>
      </c>
      <c r="B78" s="53" t="str">
        <f>IF($A78="","",SUMIFS('Todos os Gastos'!$C:$C,'Todos os Gastos'!$A:$A,"&gt;="&amp;$A78,'Todos os Gastos'!$A:$A,"&lt;"&amp;EDATE($A78,1)))</f>
        <v/>
      </c>
      <c r="C78" s="53" t="str">
        <f>IF($A78="","",SUMIFS('Inventário de Lotes'!$D:$D,'Inventário de Lotes'!$B:$B,"&gt;="&amp;$A78,'Inventário de Lotes'!$B:$B,"&lt;"&amp;EDATE($A78,1)))</f>
        <v/>
      </c>
      <c r="D78" s="53" t="str">
        <f t="shared" si="1"/>
        <v/>
      </c>
      <c r="E78" s="54" t="str">
        <f>IF($A78="","",COUNTIFS('Todos os Gastos'!$A:$A,"&gt;="&amp;$A78,'Todos os Gastos'!$A:$A,"&lt;"&amp;EDATE($A78,1)))</f>
        <v/>
      </c>
      <c r="F78" s="54" t="str">
        <f>IF($A78="","",COUNTIFS('Inventário de Lotes'!$B:$B,"&gt;="&amp;$A78,'Inventário de Lotes'!$B:$B,"&lt;"&amp;EDATE($A78,1)))</f>
        <v/>
      </c>
      <c r="G78" s="53" t="str">
        <f t="shared" si="2"/>
        <v/>
      </c>
    </row>
    <row r="79" ht="15.0" customHeight="1">
      <c r="A79" s="55" t="str">
        <f t="shared" si="3"/>
        <v/>
      </c>
      <c r="B79" s="56" t="str">
        <f>IF($A79="","",SUMIFS('Todos os Gastos'!$C:$C,'Todos os Gastos'!$A:$A,"&gt;="&amp;$A79,'Todos os Gastos'!$A:$A,"&lt;"&amp;EDATE($A79,1)))</f>
        <v/>
      </c>
      <c r="C79" s="56" t="str">
        <f>IF($A79="","",SUMIFS('Inventário de Lotes'!$D:$D,'Inventário de Lotes'!$B:$B,"&gt;="&amp;$A79,'Inventário de Lotes'!$B:$B,"&lt;"&amp;EDATE($A79,1)))</f>
        <v/>
      </c>
      <c r="D79" s="56" t="str">
        <f t="shared" si="1"/>
        <v/>
      </c>
      <c r="E79" s="57" t="str">
        <f>IF($A79="","",COUNTIFS('Todos os Gastos'!$A:$A,"&gt;="&amp;$A79,'Todos os Gastos'!$A:$A,"&lt;"&amp;EDATE($A79,1)))</f>
        <v/>
      </c>
      <c r="F79" s="57" t="str">
        <f>IF($A79="","",COUNTIFS('Inventário de Lotes'!$B:$B,"&gt;="&amp;$A79,'Inventário de Lotes'!$B:$B,"&lt;"&amp;EDATE($A79,1)))</f>
        <v/>
      </c>
      <c r="G79" s="56" t="str">
        <f t="shared" si="2"/>
        <v/>
      </c>
    </row>
    <row r="80" ht="15.0" customHeight="1">
      <c r="A80" s="52" t="str">
        <f t="shared" si="3"/>
        <v/>
      </c>
      <c r="B80" s="53" t="str">
        <f>IF($A80="","",SUMIFS('Todos os Gastos'!$C:$C,'Todos os Gastos'!$A:$A,"&gt;="&amp;$A80,'Todos os Gastos'!$A:$A,"&lt;"&amp;EDATE($A80,1)))</f>
        <v/>
      </c>
      <c r="C80" s="53" t="str">
        <f>IF($A80="","",SUMIFS('Inventário de Lotes'!$D:$D,'Inventário de Lotes'!$B:$B,"&gt;="&amp;$A80,'Inventário de Lotes'!$B:$B,"&lt;"&amp;EDATE($A80,1)))</f>
        <v/>
      </c>
      <c r="D80" s="53" t="str">
        <f t="shared" si="1"/>
        <v/>
      </c>
      <c r="E80" s="54" t="str">
        <f>IF($A80="","",COUNTIFS('Todos os Gastos'!$A:$A,"&gt;="&amp;$A80,'Todos os Gastos'!$A:$A,"&lt;"&amp;EDATE($A80,1)))</f>
        <v/>
      </c>
      <c r="F80" s="54" t="str">
        <f>IF($A80="","",COUNTIFS('Inventário de Lotes'!$B:$B,"&gt;="&amp;$A80,'Inventário de Lotes'!$B:$B,"&lt;"&amp;EDATE($A80,1)))</f>
        <v/>
      </c>
      <c r="G80" s="53" t="str">
        <f t="shared" si="2"/>
        <v/>
      </c>
    </row>
    <row r="81" ht="15.0" customHeight="1">
      <c r="A81" s="55" t="str">
        <f t="shared" si="3"/>
        <v/>
      </c>
      <c r="B81" s="56" t="str">
        <f>IF($A81="","",SUMIFS('Todos os Gastos'!$C:$C,'Todos os Gastos'!$A:$A,"&gt;="&amp;$A81,'Todos os Gastos'!$A:$A,"&lt;"&amp;EDATE($A81,1)))</f>
        <v/>
      </c>
      <c r="C81" s="56" t="str">
        <f>IF($A81="","",SUMIFS('Inventário de Lotes'!$D:$D,'Inventário de Lotes'!$B:$B,"&gt;="&amp;$A81,'Inventário de Lotes'!$B:$B,"&lt;"&amp;EDATE($A81,1)))</f>
        <v/>
      </c>
      <c r="D81" s="56" t="str">
        <f t="shared" si="1"/>
        <v/>
      </c>
      <c r="E81" s="57" t="str">
        <f>IF($A81="","",COUNTIFS('Todos os Gastos'!$A:$A,"&gt;="&amp;$A81,'Todos os Gastos'!$A:$A,"&lt;"&amp;EDATE($A81,1)))</f>
        <v/>
      </c>
      <c r="F81" s="57" t="str">
        <f>IF($A81="","",COUNTIFS('Inventário de Lotes'!$B:$B,"&gt;="&amp;$A81,'Inventário de Lotes'!$B:$B,"&lt;"&amp;EDATE($A81,1)))</f>
        <v/>
      </c>
      <c r="G81" s="56" t="str">
        <f t="shared" si="2"/>
        <v/>
      </c>
    </row>
    <row r="82" ht="15.0" customHeight="1">
      <c r="A82" s="52" t="str">
        <f t="shared" si="3"/>
        <v/>
      </c>
      <c r="B82" s="53" t="str">
        <f>IF($A82="","",SUMIFS('Todos os Gastos'!$C:$C,'Todos os Gastos'!$A:$A,"&gt;="&amp;$A82,'Todos os Gastos'!$A:$A,"&lt;"&amp;EDATE($A82,1)))</f>
        <v/>
      </c>
      <c r="C82" s="53" t="str">
        <f>IF($A82="","",SUMIFS('Inventário de Lotes'!$D:$D,'Inventário de Lotes'!$B:$B,"&gt;="&amp;$A82,'Inventário de Lotes'!$B:$B,"&lt;"&amp;EDATE($A82,1)))</f>
        <v/>
      </c>
      <c r="D82" s="53" t="str">
        <f t="shared" si="1"/>
        <v/>
      </c>
      <c r="E82" s="54" t="str">
        <f>IF($A82="","",COUNTIFS('Todos os Gastos'!$A:$A,"&gt;="&amp;$A82,'Todos os Gastos'!$A:$A,"&lt;"&amp;EDATE($A82,1)))</f>
        <v/>
      </c>
      <c r="F82" s="54" t="str">
        <f>IF($A82="","",COUNTIFS('Inventário de Lotes'!$B:$B,"&gt;="&amp;$A82,'Inventário de Lotes'!$B:$B,"&lt;"&amp;EDATE($A82,1)))</f>
        <v/>
      </c>
      <c r="G82" s="53" t="str">
        <f t="shared" si="2"/>
        <v/>
      </c>
    </row>
    <row r="83" ht="15.0" customHeight="1">
      <c r="A83" s="55" t="str">
        <f t="shared" si="3"/>
        <v/>
      </c>
      <c r="B83" s="56" t="str">
        <f>IF($A83="","",SUMIFS('Todos os Gastos'!$C:$C,'Todos os Gastos'!$A:$A,"&gt;="&amp;$A83,'Todos os Gastos'!$A:$A,"&lt;"&amp;EDATE($A83,1)))</f>
        <v/>
      </c>
      <c r="C83" s="56" t="str">
        <f>IF($A83="","",SUMIFS('Inventário de Lotes'!$D:$D,'Inventário de Lotes'!$B:$B,"&gt;="&amp;$A83,'Inventário de Lotes'!$B:$B,"&lt;"&amp;EDATE($A83,1)))</f>
        <v/>
      </c>
      <c r="D83" s="56" t="str">
        <f t="shared" si="1"/>
        <v/>
      </c>
      <c r="E83" s="57" t="str">
        <f>IF($A83="","",COUNTIFS('Todos os Gastos'!$A:$A,"&gt;="&amp;$A83,'Todos os Gastos'!$A:$A,"&lt;"&amp;EDATE($A83,1)))</f>
        <v/>
      </c>
      <c r="F83" s="57" t="str">
        <f>IF($A83="","",COUNTIFS('Inventário de Lotes'!$B:$B,"&gt;="&amp;$A83,'Inventário de Lotes'!$B:$B,"&lt;"&amp;EDATE($A83,1)))</f>
        <v/>
      </c>
      <c r="G83" s="56" t="str">
        <f t="shared" si="2"/>
        <v/>
      </c>
    </row>
    <row r="84" ht="15.0" customHeight="1">
      <c r="A84" s="52" t="str">
        <f t="shared" si="3"/>
        <v/>
      </c>
      <c r="B84" s="53" t="str">
        <f>IF($A84="","",SUMIFS('Todos os Gastos'!$C:$C,'Todos os Gastos'!$A:$A,"&gt;="&amp;$A84,'Todos os Gastos'!$A:$A,"&lt;"&amp;EDATE($A84,1)))</f>
        <v/>
      </c>
      <c r="C84" s="53" t="str">
        <f>IF($A84="","",SUMIFS('Inventário de Lotes'!$D:$D,'Inventário de Lotes'!$B:$B,"&gt;="&amp;$A84,'Inventário de Lotes'!$B:$B,"&lt;"&amp;EDATE($A84,1)))</f>
        <v/>
      </c>
      <c r="D84" s="53" t="str">
        <f t="shared" si="1"/>
        <v/>
      </c>
      <c r="E84" s="54" t="str">
        <f>IF($A84="","",COUNTIFS('Todos os Gastos'!$A:$A,"&gt;="&amp;$A84,'Todos os Gastos'!$A:$A,"&lt;"&amp;EDATE($A84,1)))</f>
        <v/>
      </c>
      <c r="F84" s="54" t="str">
        <f>IF($A84="","",COUNTIFS('Inventário de Lotes'!$B:$B,"&gt;="&amp;$A84,'Inventário de Lotes'!$B:$B,"&lt;"&amp;EDATE($A84,1)))</f>
        <v/>
      </c>
      <c r="G84" s="53" t="str">
        <f t="shared" si="2"/>
        <v/>
      </c>
    </row>
    <row r="85" ht="15.0" customHeight="1">
      <c r="A85" s="55" t="str">
        <f t="shared" si="3"/>
        <v/>
      </c>
      <c r="B85" s="56" t="str">
        <f>IF($A85="","",SUMIFS('Todos os Gastos'!$C:$C,'Todos os Gastos'!$A:$A,"&gt;="&amp;$A85,'Todos os Gastos'!$A:$A,"&lt;"&amp;EDATE($A85,1)))</f>
        <v/>
      </c>
      <c r="C85" s="56" t="str">
        <f>IF($A85="","",SUMIFS('Inventário de Lotes'!$D:$D,'Inventário de Lotes'!$B:$B,"&gt;="&amp;$A85,'Inventário de Lotes'!$B:$B,"&lt;"&amp;EDATE($A85,1)))</f>
        <v/>
      </c>
      <c r="D85" s="56" t="str">
        <f t="shared" si="1"/>
        <v/>
      </c>
      <c r="E85" s="57" t="str">
        <f>IF($A85="","",COUNTIFS('Todos os Gastos'!$A:$A,"&gt;="&amp;$A85,'Todos os Gastos'!$A:$A,"&lt;"&amp;EDATE($A85,1)))</f>
        <v/>
      </c>
      <c r="F85" s="57" t="str">
        <f>IF($A85="","",COUNTIFS('Inventário de Lotes'!$B:$B,"&gt;="&amp;$A85,'Inventário de Lotes'!$B:$B,"&lt;"&amp;EDATE($A85,1)))</f>
        <v/>
      </c>
      <c r="G85" s="56" t="str">
        <f t="shared" si="2"/>
        <v/>
      </c>
    </row>
    <row r="86" ht="15.0" customHeight="1">
      <c r="A86" s="52" t="str">
        <f t="shared" si="3"/>
        <v/>
      </c>
      <c r="B86" s="53" t="str">
        <f>IF($A86="","",SUMIFS('Todos os Gastos'!$C:$C,'Todos os Gastos'!$A:$A,"&gt;="&amp;$A86,'Todos os Gastos'!$A:$A,"&lt;"&amp;EDATE($A86,1)))</f>
        <v/>
      </c>
      <c r="C86" s="53" t="str">
        <f>IF($A86="","",SUMIFS('Inventário de Lotes'!$D:$D,'Inventário de Lotes'!$B:$B,"&gt;="&amp;$A86,'Inventário de Lotes'!$B:$B,"&lt;"&amp;EDATE($A86,1)))</f>
        <v/>
      </c>
      <c r="D86" s="53" t="str">
        <f t="shared" si="1"/>
        <v/>
      </c>
      <c r="E86" s="54" t="str">
        <f>IF($A86="","",COUNTIFS('Todos os Gastos'!$A:$A,"&gt;="&amp;$A86,'Todos os Gastos'!$A:$A,"&lt;"&amp;EDATE($A86,1)))</f>
        <v/>
      </c>
      <c r="F86" s="54" t="str">
        <f>IF($A86="","",COUNTIFS('Inventário de Lotes'!$B:$B,"&gt;="&amp;$A86,'Inventário de Lotes'!$B:$B,"&lt;"&amp;EDATE($A86,1)))</f>
        <v/>
      </c>
      <c r="G86" s="53" t="str">
        <f t="shared" si="2"/>
        <v/>
      </c>
    </row>
    <row r="87" ht="15.0" customHeight="1">
      <c r="A87" s="55" t="str">
        <f t="shared" si="3"/>
        <v/>
      </c>
      <c r="B87" s="56" t="str">
        <f>IF($A87="","",SUMIFS('Todos os Gastos'!$C:$C,'Todos os Gastos'!$A:$A,"&gt;="&amp;$A87,'Todos os Gastos'!$A:$A,"&lt;"&amp;EDATE($A87,1)))</f>
        <v/>
      </c>
      <c r="C87" s="56" t="str">
        <f>IF($A87="","",SUMIFS('Inventário de Lotes'!$D:$D,'Inventário de Lotes'!$B:$B,"&gt;="&amp;$A87,'Inventário de Lotes'!$B:$B,"&lt;"&amp;EDATE($A87,1)))</f>
        <v/>
      </c>
      <c r="D87" s="56" t="str">
        <f t="shared" si="1"/>
        <v/>
      </c>
      <c r="E87" s="57" t="str">
        <f>IF($A87="","",COUNTIFS('Todos os Gastos'!$A:$A,"&gt;="&amp;$A87,'Todos os Gastos'!$A:$A,"&lt;"&amp;EDATE($A87,1)))</f>
        <v/>
      </c>
      <c r="F87" s="57" t="str">
        <f>IF($A87="","",COUNTIFS('Inventário de Lotes'!$B:$B,"&gt;="&amp;$A87,'Inventário de Lotes'!$B:$B,"&lt;"&amp;EDATE($A87,1)))</f>
        <v/>
      </c>
      <c r="G87" s="56" t="str">
        <f t="shared" si="2"/>
        <v/>
      </c>
    </row>
    <row r="88" ht="15.0" customHeight="1">
      <c r="A88" s="52" t="str">
        <f t="shared" si="3"/>
        <v/>
      </c>
      <c r="B88" s="53" t="str">
        <f>IF($A88="","",SUMIFS('Todos os Gastos'!$C:$C,'Todos os Gastos'!$A:$A,"&gt;="&amp;$A88,'Todos os Gastos'!$A:$A,"&lt;"&amp;EDATE($A88,1)))</f>
        <v/>
      </c>
      <c r="C88" s="53" t="str">
        <f>IF($A88="","",SUMIFS('Inventário de Lotes'!$D:$D,'Inventário de Lotes'!$B:$B,"&gt;="&amp;$A88,'Inventário de Lotes'!$B:$B,"&lt;"&amp;EDATE($A88,1)))</f>
        <v/>
      </c>
      <c r="D88" s="53" t="str">
        <f t="shared" si="1"/>
        <v/>
      </c>
      <c r="E88" s="54" t="str">
        <f>IF($A88="","",COUNTIFS('Todos os Gastos'!$A:$A,"&gt;="&amp;$A88,'Todos os Gastos'!$A:$A,"&lt;"&amp;EDATE($A88,1)))</f>
        <v/>
      </c>
      <c r="F88" s="54" t="str">
        <f>IF($A88="","",COUNTIFS('Inventário de Lotes'!$B:$B,"&gt;="&amp;$A88,'Inventário de Lotes'!$B:$B,"&lt;"&amp;EDATE($A88,1)))</f>
        <v/>
      </c>
      <c r="G88" s="53" t="str">
        <f t="shared" si="2"/>
        <v/>
      </c>
    </row>
    <row r="89" ht="15.0" customHeight="1">
      <c r="A89" s="55" t="str">
        <f t="shared" si="3"/>
        <v/>
      </c>
      <c r="B89" s="56" t="str">
        <f>IF($A89="","",SUMIFS('Todos os Gastos'!$C:$C,'Todos os Gastos'!$A:$A,"&gt;="&amp;$A89,'Todos os Gastos'!$A:$A,"&lt;"&amp;EDATE($A89,1)))</f>
        <v/>
      </c>
      <c r="C89" s="56" t="str">
        <f>IF($A89="","",SUMIFS('Inventário de Lotes'!$D:$D,'Inventário de Lotes'!$B:$B,"&gt;="&amp;$A89,'Inventário de Lotes'!$B:$B,"&lt;"&amp;EDATE($A89,1)))</f>
        <v/>
      </c>
      <c r="D89" s="56" t="str">
        <f t="shared" si="1"/>
        <v/>
      </c>
      <c r="E89" s="57" t="str">
        <f>IF($A89="","",COUNTIFS('Todos os Gastos'!$A:$A,"&gt;="&amp;$A89,'Todos os Gastos'!$A:$A,"&lt;"&amp;EDATE($A89,1)))</f>
        <v/>
      </c>
      <c r="F89" s="57" t="str">
        <f>IF($A89="","",COUNTIFS('Inventário de Lotes'!$B:$B,"&gt;="&amp;$A89,'Inventário de Lotes'!$B:$B,"&lt;"&amp;EDATE($A89,1)))</f>
        <v/>
      </c>
      <c r="G89" s="56" t="str">
        <f t="shared" si="2"/>
        <v/>
      </c>
    </row>
    <row r="90" ht="15.0" customHeight="1">
      <c r="A90" s="52" t="str">
        <f t="shared" si="3"/>
        <v/>
      </c>
      <c r="B90" s="53" t="str">
        <f>IF($A90="","",SUMIFS('Todos os Gastos'!$C:$C,'Todos os Gastos'!$A:$A,"&gt;="&amp;$A90,'Todos os Gastos'!$A:$A,"&lt;"&amp;EDATE($A90,1)))</f>
        <v/>
      </c>
      <c r="C90" s="53" t="str">
        <f>IF($A90="","",SUMIFS('Inventário de Lotes'!$D:$D,'Inventário de Lotes'!$B:$B,"&gt;="&amp;$A90,'Inventário de Lotes'!$B:$B,"&lt;"&amp;EDATE($A90,1)))</f>
        <v/>
      </c>
      <c r="D90" s="53" t="str">
        <f t="shared" si="1"/>
        <v/>
      </c>
      <c r="E90" s="54" t="str">
        <f>IF($A90="","",COUNTIFS('Todos os Gastos'!$A:$A,"&gt;="&amp;$A90,'Todos os Gastos'!$A:$A,"&lt;"&amp;EDATE($A90,1)))</f>
        <v/>
      </c>
      <c r="F90" s="54" t="str">
        <f>IF($A90="","",COUNTIFS('Inventário de Lotes'!$B:$B,"&gt;="&amp;$A90,'Inventário de Lotes'!$B:$B,"&lt;"&amp;EDATE($A90,1)))</f>
        <v/>
      </c>
      <c r="G90" s="53" t="str">
        <f t="shared" si="2"/>
        <v/>
      </c>
    </row>
    <row r="91" ht="15.0" customHeight="1">
      <c r="A91" s="55" t="str">
        <f t="shared" si="3"/>
        <v/>
      </c>
      <c r="B91" s="56" t="str">
        <f>IF($A91="","",SUMIFS('Todos os Gastos'!$C:$C,'Todos os Gastos'!$A:$A,"&gt;="&amp;$A91,'Todos os Gastos'!$A:$A,"&lt;"&amp;EDATE($A91,1)))</f>
        <v/>
      </c>
      <c r="C91" s="56" t="str">
        <f>IF($A91="","",SUMIFS('Inventário de Lotes'!$D:$D,'Inventário de Lotes'!$B:$B,"&gt;="&amp;$A91,'Inventário de Lotes'!$B:$B,"&lt;"&amp;EDATE($A91,1)))</f>
        <v/>
      </c>
      <c r="D91" s="56" t="str">
        <f t="shared" si="1"/>
        <v/>
      </c>
      <c r="E91" s="57" t="str">
        <f>IF($A91="","",COUNTIFS('Todos os Gastos'!$A:$A,"&gt;="&amp;$A91,'Todos os Gastos'!$A:$A,"&lt;"&amp;EDATE($A91,1)))</f>
        <v/>
      </c>
      <c r="F91" s="57" t="str">
        <f>IF($A91="","",COUNTIFS('Inventário de Lotes'!$B:$B,"&gt;="&amp;$A91,'Inventário de Lotes'!$B:$B,"&lt;"&amp;EDATE($A91,1)))</f>
        <v/>
      </c>
      <c r="G91" s="56" t="str">
        <f t="shared" si="2"/>
        <v/>
      </c>
    </row>
    <row r="92" ht="15.0" customHeight="1">
      <c r="A92" s="52" t="str">
        <f t="shared" si="3"/>
        <v/>
      </c>
      <c r="B92" s="53" t="str">
        <f>IF($A92="","",SUMIFS('Todos os Gastos'!$C:$C,'Todos os Gastos'!$A:$A,"&gt;="&amp;$A92,'Todos os Gastos'!$A:$A,"&lt;"&amp;EDATE($A92,1)))</f>
        <v/>
      </c>
      <c r="C92" s="53" t="str">
        <f>IF($A92="","",SUMIFS('Inventário de Lotes'!$D:$D,'Inventário de Lotes'!$B:$B,"&gt;="&amp;$A92,'Inventário de Lotes'!$B:$B,"&lt;"&amp;EDATE($A92,1)))</f>
        <v/>
      </c>
      <c r="D92" s="53" t="str">
        <f t="shared" si="1"/>
        <v/>
      </c>
      <c r="E92" s="54" t="str">
        <f>IF($A92="","",COUNTIFS('Todos os Gastos'!$A:$A,"&gt;="&amp;$A92,'Todos os Gastos'!$A:$A,"&lt;"&amp;EDATE($A92,1)))</f>
        <v/>
      </c>
      <c r="F92" s="54" t="str">
        <f>IF($A92="","",COUNTIFS('Inventário de Lotes'!$B:$B,"&gt;="&amp;$A92,'Inventário de Lotes'!$B:$B,"&lt;"&amp;EDATE($A92,1)))</f>
        <v/>
      </c>
      <c r="G92" s="53" t="str">
        <f t="shared" si="2"/>
        <v/>
      </c>
    </row>
    <row r="93" ht="15.0" customHeight="1">
      <c r="A93" s="55" t="str">
        <f t="shared" si="3"/>
        <v/>
      </c>
      <c r="B93" s="56" t="str">
        <f>IF($A93="","",SUMIFS('Todos os Gastos'!$C:$C,'Todos os Gastos'!$A:$A,"&gt;="&amp;$A93,'Todos os Gastos'!$A:$A,"&lt;"&amp;EDATE($A93,1)))</f>
        <v/>
      </c>
      <c r="C93" s="56" t="str">
        <f>IF($A93="","",SUMIFS('Inventário de Lotes'!$D:$D,'Inventário de Lotes'!$B:$B,"&gt;="&amp;$A93,'Inventário de Lotes'!$B:$B,"&lt;"&amp;EDATE($A93,1)))</f>
        <v/>
      </c>
      <c r="D93" s="56" t="str">
        <f t="shared" si="1"/>
        <v/>
      </c>
      <c r="E93" s="57" t="str">
        <f>IF($A93="","",COUNTIFS('Todos os Gastos'!$A:$A,"&gt;="&amp;$A93,'Todos os Gastos'!$A:$A,"&lt;"&amp;EDATE($A93,1)))</f>
        <v/>
      </c>
      <c r="F93" s="57" t="str">
        <f>IF($A93="","",COUNTIFS('Inventário de Lotes'!$B:$B,"&gt;="&amp;$A93,'Inventário de Lotes'!$B:$B,"&lt;"&amp;EDATE($A93,1)))</f>
        <v/>
      </c>
      <c r="G93" s="56" t="str">
        <f t="shared" si="2"/>
        <v/>
      </c>
    </row>
    <row r="94" ht="15.0" customHeight="1">
      <c r="A94" s="52" t="str">
        <f t="shared" si="3"/>
        <v/>
      </c>
      <c r="B94" s="53" t="str">
        <f>IF($A94="","",SUMIFS('Todos os Gastos'!$C:$C,'Todos os Gastos'!$A:$A,"&gt;="&amp;$A94,'Todos os Gastos'!$A:$A,"&lt;"&amp;EDATE($A94,1)))</f>
        <v/>
      </c>
      <c r="C94" s="53" t="str">
        <f>IF($A94="","",SUMIFS('Inventário de Lotes'!$D:$D,'Inventário de Lotes'!$B:$B,"&gt;="&amp;$A94,'Inventário de Lotes'!$B:$B,"&lt;"&amp;EDATE($A94,1)))</f>
        <v/>
      </c>
      <c r="D94" s="53" t="str">
        <f t="shared" si="1"/>
        <v/>
      </c>
      <c r="E94" s="54" t="str">
        <f>IF($A94="","",COUNTIFS('Todos os Gastos'!$A:$A,"&gt;="&amp;$A94,'Todos os Gastos'!$A:$A,"&lt;"&amp;EDATE($A94,1)))</f>
        <v/>
      </c>
      <c r="F94" s="54" t="str">
        <f>IF($A94="","",COUNTIFS('Inventário de Lotes'!$B:$B,"&gt;="&amp;$A94,'Inventário de Lotes'!$B:$B,"&lt;"&amp;EDATE($A94,1)))</f>
        <v/>
      </c>
      <c r="G94" s="53" t="str">
        <f t="shared" si="2"/>
        <v/>
      </c>
    </row>
    <row r="95" ht="15.0" customHeight="1">
      <c r="A95" s="55" t="str">
        <f t="shared" si="3"/>
        <v/>
      </c>
      <c r="B95" s="56" t="str">
        <f>IF($A95="","",SUMIFS('Todos os Gastos'!$C:$C,'Todos os Gastos'!$A:$A,"&gt;="&amp;$A95,'Todos os Gastos'!$A:$A,"&lt;"&amp;EDATE($A95,1)))</f>
        <v/>
      </c>
      <c r="C95" s="56" t="str">
        <f>IF($A95="","",SUMIFS('Inventário de Lotes'!$D:$D,'Inventário de Lotes'!$B:$B,"&gt;="&amp;$A95,'Inventário de Lotes'!$B:$B,"&lt;"&amp;EDATE($A95,1)))</f>
        <v/>
      </c>
      <c r="D95" s="56" t="str">
        <f t="shared" si="1"/>
        <v/>
      </c>
      <c r="E95" s="57" t="str">
        <f>IF($A95="","",COUNTIFS('Todos os Gastos'!$A:$A,"&gt;="&amp;$A95,'Todos os Gastos'!$A:$A,"&lt;"&amp;EDATE($A95,1)))</f>
        <v/>
      </c>
      <c r="F95" s="57" t="str">
        <f>IF($A95="","",COUNTIFS('Inventário de Lotes'!$B:$B,"&gt;="&amp;$A95,'Inventário de Lotes'!$B:$B,"&lt;"&amp;EDATE($A95,1)))</f>
        <v/>
      </c>
      <c r="G95" s="56" t="str">
        <f t="shared" si="2"/>
        <v/>
      </c>
    </row>
    <row r="96" ht="15.0" customHeight="1">
      <c r="A96" s="52" t="str">
        <f t="shared" si="3"/>
        <v/>
      </c>
      <c r="B96" s="53" t="str">
        <f>IF($A96="","",SUMIFS('Todos os Gastos'!$C:$C,'Todos os Gastos'!$A:$A,"&gt;="&amp;$A96,'Todos os Gastos'!$A:$A,"&lt;"&amp;EDATE($A96,1)))</f>
        <v/>
      </c>
      <c r="C96" s="53" t="str">
        <f>IF($A96="","",SUMIFS('Inventário de Lotes'!$D:$D,'Inventário de Lotes'!$B:$B,"&gt;="&amp;$A96,'Inventário de Lotes'!$B:$B,"&lt;"&amp;EDATE($A96,1)))</f>
        <v/>
      </c>
      <c r="D96" s="53" t="str">
        <f t="shared" si="1"/>
        <v/>
      </c>
      <c r="E96" s="54" t="str">
        <f>IF($A96="","",COUNTIFS('Todos os Gastos'!$A:$A,"&gt;="&amp;$A96,'Todos os Gastos'!$A:$A,"&lt;"&amp;EDATE($A96,1)))</f>
        <v/>
      </c>
      <c r="F96" s="54" t="str">
        <f>IF($A96="","",COUNTIFS('Inventário de Lotes'!$B:$B,"&gt;="&amp;$A96,'Inventário de Lotes'!$B:$B,"&lt;"&amp;EDATE($A96,1)))</f>
        <v/>
      </c>
      <c r="G96" s="53" t="str">
        <f t="shared" si="2"/>
        <v/>
      </c>
    </row>
    <row r="97" ht="15.0" customHeight="1">
      <c r="A97" s="55" t="str">
        <f t="shared" si="3"/>
        <v/>
      </c>
      <c r="B97" s="56" t="str">
        <f>IF($A97="","",SUMIFS('Todos os Gastos'!$C:$C,'Todos os Gastos'!$A:$A,"&gt;="&amp;$A97,'Todos os Gastos'!$A:$A,"&lt;"&amp;EDATE($A97,1)))</f>
        <v/>
      </c>
      <c r="C97" s="56" t="str">
        <f>IF($A97="","",SUMIFS('Inventário de Lotes'!$D:$D,'Inventário de Lotes'!$B:$B,"&gt;="&amp;$A97,'Inventário de Lotes'!$B:$B,"&lt;"&amp;EDATE($A97,1)))</f>
        <v/>
      </c>
      <c r="D97" s="56" t="str">
        <f t="shared" si="1"/>
        <v/>
      </c>
      <c r="E97" s="57" t="str">
        <f>IF($A97="","",COUNTIFS('Todos os Gastos'!$A:$A,"&gt;="&amp;$A97,'Todos os Gastos'!$A:$A,"&lt;"&amp;EDATE($A97,1)))</f>
        <v/>
      </c>
      <c r="F97" s="57" t="str">
        <f>IF($A97="","",COUNTIFS('Inventário de Lotes'!$B:$B,"&gt;="&amp;$A97,'Inventário de Lotes'!$B:$B,"&lt;"&amp;EDATE($A97,1)))</f>
        <v/>
      </c>
      <c r="G97" s="56" t="str">
        <f t="shared" si="2"/>
        <v/>
      </c>
    </row>
    <row r="98" ht="15.0" customHeight="1">
      <c r="A98" s="52" t="str">
        <f t="shared" si="3"/>
        <v/>
      </c>
      <c r="B98" s="53" t="str">
        <f>IF($A98="","",SUMIFS('Todos os Gastos'!$C:$C,'Todos os Gastos'!$A:$A,"&gt;="&amp;$A98,'Todos os Gastos'!$A:$A,"&lt;"&amp;EDATE($A98,1)))</f>
        <v/>
      </c>
      <c r="C98" s="53" t="str">
        <f>IF($A98="","",SUMIFS('Inventário de Lotes'!$D:$D,'Inventário de Lotes'!$B:$B,"&gt;="&amp;$A98,'Inventário de Lotes'!$B:$B,"&lt;"&amp;EDATE($A98,1)))</f>
        <v/>
      </c>
      <c r="D98" s="53" t="str">
        <f t="shared" si="1"/>
        <v/>
      </c>
      <c r="E98" s="54" t="str">
        <f>IF($A98="","",COUNTIFS('Todos os Gastos'!$A:$A,"&gt;="&amp;$A98,'Todos os Gastos'!$A:$A,"&lt;"&amp;EDATE($A98,1)))</f>
        <v/>
      </c>
      <c r="F98" s="54" t="str">
        <f>IF($A98="","",COUNTIFS('Inventário de Lotes'!$B:$B,"&gt;="&amp;$A98,'Inventário de Lotes'!$B:$B,"&lt;"&amp;EDATE($A98,1)))</f>
        <v/>
      </c>
      <c r="G98" s="53" t="str">
        <f t="shared" si="2"/>
        <v/>
      </c>
    </row>
    <row r="99" ht="15.0" customHeight="1">
      <c r="A99" s="55" t="str">
        <f t="shared" si="3"/>
        <v/>
      </c>
      <c r="B99" s="56" t="str">
        <f>IF($A99="","",SUMIFS('Todos os Gastos'!$C:$C,'Todos os Gastos'!$A:$A,"&gt;="&amp;$A99,'Todos os Gastos'!$A:$A,"&lt;"&amp;EDATE($A99,1)))</f>
        <v/>
      </c>
      <c r="C99" s="56" t="str">
        <f>IF($A99="","",SUMIFS('Inventário de Lotes'!$D:$D,'Inventário de Lotes'!$B:$B,"&gt;="&amp;$A99,'Inventário de Lotes'!$B:$B,"&lt;"&amp;EDATE($A99,1)))</f>
        <v/>
      </c>
      <c r="D99" s="56" t="str">
        <f t="shared" si="1"/>
        <v/>
      </c>
      <c r="E99" s="57" t="str">
        <f>IF($A99="","",COUNTIFS('Todos os Gastos'!$A:$A,"&gt;="&amp;$A99,'Todos os Gastos'!$A:$A,"&lt;"&amp;EDATE($A99,1)))</f>
        <v/>
      </c>
      <c r="F99" s="57" t="str">
        <f>IF($A99="","",COUNTIFS('Inventário de Lotes'!$B:$B,"&gt;="&amp;$A99,'Inventário de Lotes'!$B:$B,"&lt;"&amp;EDATE($A99,1)))</f>
        <v/>
      </c>
      <c r="G99" s="56" t="str">
        <f t="shared" si="2"/>
        <v/>
      </c>
    </row>
    <row r="100" ht="15.0" customHeight="1">
      <c r="A100" s="52" t="str">
        <f t="shared" si="3"/>
        <v/>
      </c>
      <c r="B100" s="53" t="str">
        <f>IF($A100="","",SUMIFS('Todos os Gastos'!$C:$C,'Todos os Gastos'!$A:$A,"&gt;="&amp;$A100,'Todos os Gastos'!$A:$A,"&lt;"&amp;EDATE($A100,1)))</f>
        <v/>
      </c>
      <c r="C100" s="53" t="str">
        <f>IF($A100="","",SUMIFS('Inventário de Lotes'!$D:$D,'Inventário de Lotes'!$B:$B,"&gt;="&amp;$A100,'Inventário de Lotes'!$B:$B,"&lt;"&amp;EDATE($A100,1)))</f>
        <v/>
      </c>
      <c r="D100" s="53" t="str">
        <f t="shared" si="1"/>
        <v/>
      </c>
      <c r="E100" s="54" t="str">
        <f>IF($A100="","",COUNTIFS('Todos os Gastos'!$A:$A,"&gt;="&amp;$A100,'Todos os Gastos'!$A:$A,"&lt;"&amp;EDATE($A100,1)))</f>
        <v/>
      </c>
      <c r="F100" s="54" t="str">
        <f>IF($A100="","",COUNTIFS('Inventário de Lotes'!$B:$B,"&gt;="&amp;$A100,'Inventário de Lotes'!$B:$B,"&lt;"&amp;EDATE($A100,1)))</f>
        <v/>
      </c>
      <c r="G100" s="53" t="str">
        <f t="shared" si="2"/>
        <v/>
      </c>
    </row>
    <row r="101" ht="15.0" customHeight="1">
      <c r="A101" s="55" t="str">
        <f t="shared" si="3"/>
        <v/>
      </c>
      <c r="B101" s="56" t="str">
        <f>IF($A101="","",SUMIFS('Todos os Gastos'!$C:$C,'Todos os Gastos'!$A:$A,"&gt;="&amp;$A101,'Todos os Gastos'!$A:$A,"&lt;"&amp;EDATE($A101,1)))</f>
        <v/>
      </c>
      <c r="C101" s="56" t="str">
        <f>IF($A101="","",SUMIFS('Inventário de Lotes'!$D:$D,'Inventário de Lotes'!$B:$B,"&gt;="&amp;$A101,'Inventário de Lotes'!$B:$B,"&lt;"&amp;EDATE($A101,1)))</f>
        <v/>
      </c>
      <c r="D101" s="56" t="str">
        <f t="shared" si="1"/>
        <v/>
      </c>
      <c r="E101" s="57" t="str">
        <f>IF($A101="","",COUNTIFS('Todos os Gastos'!$A:$A,"&gt;="&amp;$A101,'Todos os Gastos'!$A:$A,"&lt;"&amp;EDATE($A101,1)))</f>
        <v/>
      </c>
      <c r="F101" s="57" t="str">
        <f>IF($A101="","",COUNTIFS('Inventário de Lotes'!$B:$B,"&gt;="&amp;$A101,'Inventário de Lotes'!$B:$B,"&lt;"&amp;EDATE($A101,1)))</f>
        <v/>
      </c>
      <c r="G101" s="56" t="str">
        <f t="shared" si="2"/>
        <v/>
      </c>
    </row>
    <row r="102" ht="15.0" customHeight="1">
      <c r="A102" s="52" t="str">
        <f t="shared" si="3"/>
        <v/>
      </c>
      <c r="B102" s="53" t="str">
        <f>IF($A102="","",SUMIFS('Todos os Gastos'!$C:$C,'Todos os Gastos'!$A:$A,"&gt;="&amp;$A102,'Todos os Gastos'!$A:$A,"&lt;"&amp;EDATE($A102,1)))</f>
        <v/>
      </c>
      <c r="C102" s="53" t="str">
        <f>IF($A102="","",SUMIFS('Inventário de Lotes'!$D:$D,'Inventário de Lotes'!$B:$B,"&gt;="&amp;$A102,'Inventário de Lotes'!$B:$B,"&lt;"&amp;EDATE($A102,1)))</f>
        <v/>
      </c>
      <c r="D102" s="53" t="str">
        <f t="shared" si="1"/>
        <v/>
      </c>
      <c r="E102" s="54" t="str">
        <f>IF($A102="","",COUNTIFS('Todos os Gastos'!$A:$A,"&gt;="&amp;$A102,'Todos os Gastos'!$A:$A,"&lt;"&amp;EDATE($A102,1)))</f>
        <v/>
      </c>
      <c r="F102" s="54" t="str">
        <f>IF($A102="","",COUNTIFS('Inventário de Lotes'!$B:$B,"&gt;="&amp;$A102,'Inventário de Lotes'!$B:$B,"&lt;"&amp;EDATE($A102,1)))</f>
        <v/>
      </c>
      <c r="G102" s="53" t="str">
        <f t="shared" si="2"/>
        <v/>
      </c>
    </row>
    <row r="103" ht="15.0" customHeight="1">
      <c r="A103" s="55" t="str">
        <f t="shared" si="3"/>
        <v/>
      </c>
      <c r="B103" s="56" t="str">
        <f>IF($A103="","",SUMIFS('Todos os Gastos'!$C:$C,'Todos os Gastos'!$A:$A,"&gt;="&amp;$A103,'Todos os Gastos'!$A:$A,"&lt;"&amp;EDATE($A103,1)))</f>
        <v/>
      </c>
      <c r="C103" s="56" t="str">
        <f>IF($A103="","",SUMIFS('Inventário de Lotes'!$D:$D,'Inventário de Lotes'!$B:$B,"&gt;="&amp;$A103,'Inventário de Lotes'!$B:$B,"&lt;"&amp;EDATE($A103,1)))</f>
        <v/>
      </c>
      <c r="D103" s="56" t="str">
        <f t="shared" si="1"/>
        <v/>
      </c>
      <c r="E103" s="57" t="str">
        <f>IF($A103="","",COUNTIFS('Todos os Gastos'!$A:$A,"&gt;="&amp;$A103,'Todos os Gastos'!$A:$A,"&lt;"&amp;EDATE($A103,1)))</f>
        <v/>
      </c>
      <c r="F103" s="57" t="str">
        <f>IF($A103="","",COUNTIFS('Inventário de Lotes'!$B:$B,"&gt;="&amp;$A103,'Inventário de Lotes'!$B:$B,"&lt;"&amp;EDATE($A103,1)))</f>
        <v/>
      </c>
      <c r="G103" s="56" t="str">
        <f t="shared" si="2"/>
        <v/>
      </c>
    </row>
    <row r="104" ht="15.0" customHeight="1">
      <c r="A104" s="52" t="str">
        <f t="shared" si="3"/>
        <v/>
      </c>
      <c r="B104" s="53" t="str">
        <f>IF($A104="","",SUMIFS('Todos os Gastos'!$C:$C,'Todos os Gastos'!$A:$A,"&gt;="&amp;$A104,'Todos os Gastos'!$A:$A,"&lt;"&amp;EDATE($A104,1)))</f>
        <v/>
      </c>
      <c r="C104" s="53" t="str">
        <f>IF($A104="","",SUMIFS('Inventário de Lotes'!$D:$D,'Inventário de Lotes'!$B:$B,"&gt;="&amp;$A104,'Inventário de Lotes'!$B:$B,"&lt;"&amp;EDATE($A104,1)))</f>
        <v/>
      </c>
      <c r="D104" s="53" t="str">
        <f t="shared" si="1"/>
        <v/>
      </c>
      <c r="E104" s="54" t="str">
        <f>IF($A104="","",COUNTIFS('Todos os Gastos'!$A:$A,"&gt;="&amp;$A104,'Todos os Gastos'!$A:$A,"&lt;"&amp;EDATE($A104,1)))</f>
        <v/>
      </c>
      <c r="F104" s="54" t="str">
        <f>IF($A104="","",COUNTIFS('Inventário de Lotes'!$B:$B,"&gt;="&amp;$A104,'Inventário de Lotes'!$B:$B,"&lt;"&amp;EDATE($A104,1)))</f>
        <v/>
      </c>
      <c r="G104" s="53" t="str">
        <f t="shared" si="2"/>
        <v/>
      </c>
    </row>
    <row r="105" ht="15.0" customHeight="1">
      <c r="A105" s="55" t="str">
        <f t="shared" si="3"/>
        <v/>
      </c>
      <c r="B105" s="56" t="str">
        <f>IF($A105="","",SUMIFS('Todos os Gastos'!$C:$C,'Todos os Gastos'!$A:$A,"&gt;="&amp;$A105,'Todos os Gastos'!$A:$A,"&lt;"&amp;EDATE($A105,1)))</f>
        <v/>
      </c>
      <c r="C105" s="56" t="str">
        <f>IF($A105="","",SUMIFS('Inventário de Lotes'!$D:$D,'Inventário de Lotes'!$B:$B,"&gt;="&amp;$A105,'Inventário de Lotes'!$B:$B,"&lt;"&amp;EDATE($A105,1)))</f>
        <v/>
      </c>
      <c r="D105" s="56" t="str">
        <f t="shared" si="1"/>
        <v/>
      </c>
      <c r="E105" s="57" t="str">
        <f>IF($A105="","",COUNTIFS('Todos os Gastos'!$A:$A,"&gt;="&amp;$A105,'Todos os Gastos'!$A:$A,"&lt;"&amp;EDATE($A105,1)))</f>
        <v/>
      </c>
      <c r="F105" s="57" t="str">
        <f>IF($A105="","",COUNTIFS('Inventário de Lotes'!$B:$B,"&gt;="&amp;$A105,'Inventário de Lotes'!$B:$B,"&lt;"&amp;EDATE($A105,1)))</f>
        <v/>
      </c>
      <c r="G105" s="56" t="str">
        <f t="shared" si="2"/>
        <v/>
      </c>
    </row>
    <row r="106" ht="15.0" customHeight="1">
      <c r="A106" s="52" t="str">
        <f t="shared" si="3"/>
        <v/>
      </c>
      <c r="B106" s="53" t="str">
        <f>IF($A106="","",SUMIFS('Todos os Gastos'!$C:$C,'Todos os Gastos'!$A:$A,"&gt;="&amp;$A106,'Todos os Gastos'!$A:$A,"&lt;"&amp;EDATE($A106,1)))</f>
        <v/>
      </c>
      <c r="C106" s="53" t="str">
        <f>IF($A106="","",SUMIFS('Inventário de Lotes'!$D:$D,'Inventário de Lotes'!$B:$B,"&gt;="&amp;$A106,'Inventário de Lotes'!$B:$B,"&lt;"&amp;EDATE($A106,1)))</f>
        <v/>
      </c>
      <c r="D106" s="53" t="str">
        <f t="shared" si="1"/>
        <v/>
      </c>
      <c r="E106" s="54" t="str">
        <f>IF($A106="","",COUNTIFS('Todos os Gastos'!$A:$A,"&gt;="&amp;$A106,'Todos os Gastos'!$A:$A,"&lt;"&amp;EDATE($A106,1)))</f>
        <v/>
      </c>
      <c r="F106" s="54" t="str">
        <f>IF($A106="","",COUNTIFS('Inventário de Lotes'!$B:$B,"&gt;="&amp;$A106,'Inventário de Lotes'!$B:$B,"&lt;"&amp;EDATE($A106,1)))</f>
        <v/>
      </c>
      <c r="G106" s="53" t="str">
        <f t="shared" si="2"/>
        <v/>
      </c>
    </row>
    <row r="107" ht="15.0" customHeight="1">
      <c r="A107" s="55" t="str">
        <f t="shared" si="3"/>
        <v/>
      </c>
      <c r="B107" s="56" t="str">
        <f>IF($A107="","",SUMIFS('Todos os Gastos'!$C:$C,'Todos os Gastos'!$A:$A,"&gt;="&amp;$A107,'Todos os Gastos'!$A:$A,"&lt;"&amp;EDATE($A107,1)))</f>
        <v/>
      </c>
      <c r="C107" s="56" t="str">
        <f>IF($A107="","",SUMIFS('Inventário de Lotes'!$D:$D,'Inventário de Lotes'!$B:$B,"&gt;="&amp;$A107,'Inventário de Lotes'!$B:$B,"&lt;"&amp;EDATE($A107,1)))</f>
        <v/>
      </c>
      <c r="D107" s="56" t="str">
        <f t="shared" si="1"/>
        <v/>
      </c>
      <c r="E107" s="57" t="str">
        <f>IF($A107="","",COUNTIFS('Todos os Gastos'!$A:$A,"&gt;="&amp;$A107,'Todos os Gastos'!$A:$A,"&lt;"&amp;EDATE($A107,1)))</f>
        <v/>
      </c>
      <c r="F107" s="57" t="str">
        <f>IF($A107="","",COUNTIFS('Inventário de Lotes'!$B:$B,"&gt;="&amp;$A107,'Inventário de Lotes'!$B:$B,"&lt;"&amp;EDATE($A107,1)))</f>
        <v/>
      </c>
      <c r="G107" s="56" t="str">
        <f t="shared" si="2"/>
        <v/>
      </c>
    </row>
    <row r="108" ht="15.0" customHeight="1">
      <c r="A108" s="52" t="str">
        <f t="shared" si="3"/>
        <v/>
      </c>
      <c r="B108" s="53" t="str">
        <f>IF($A108="","",SUMIFS('Todos os Gastos'!$C:$C,'Todos os Gastos'!$A:$A,"&gt;="&amp;$A108,'Todos os Gastos'!$A:$A,"&lt;"&amp;EDATE($A108,1)))</f>
        <v/>
      </c>
      <c r="C108" s="53" t="str">
        <f>IF($A108="","",SUMIFS('Inventário de Lotes'!$D:$D,'Inventário de Lotes'!$B:$B,"&gt;="&amp;$A108,'Inventário de Lotes'!$B:$B,"&lt;"&amp;EDATE($A108,1)))</f>
        <v/>
      </c>
      <c r="D108" s="53" t="str">
        <f t="shared" si="1"/>
        <v/>
      </c>
      <c r="E108" s="54" t="str">
        <f>IF($A108="","",COUNTIFS('Todos os Gastos'!$A:$A,"&gt;="&amp;$A108,'Todos os Gastos'!$A:$A,"&lt;"&amp;EDATE($A108,1)))</f>
        <v/>
      </c>
      <c r="F108" s="54" t="str">
        <f>IF($A108="","",COUNTIFS('Inventário de Lotes'!$B:$B,"&gt;="&amp;$A108,'Inventário de Lotes'!$B:$B,"&lt;"&amp;EDATE($A108,1)))</f>
        <v/>
      </c>
      <c r="G108" s="53" t="str">
        <f t="shared" si="2"/>
        <v/>
      </c>
    </row>
    <row r="109" ht="15.0" customHeight="1">
      <c r="A109" s="55" t="str">
        <f t="shared" si="3"/>
        <v/>
      </c>
      <c r="B109" s="56" t="str">
        <f>IF($A109="","",SUMIFS('Todos os Gastos'!$C:$C,'Todos os Gastos'!$A:$A,"&gt;="&amp;$A109,'Todos os Gastos'!$A:$A,"&lt;"&amp;EDATE($A109,1)))</f>
        <v/>
      </c>
      <c r="C109" s="56" t="str">
        <f>IF($A109="","",SUMIFS('Inventário de Lotes'!$D:$D,'Inventário de Lotes'!$B:$B,"&gt;="&amp;$A109,'Inventário de Lotes'!$B:$B,"&lt;"&amp;EDATE($A109,1)))</f>
        <v/>
      </c>
      <c r="D109" s="56" t="str">
        <f t="shared" si="1"/>
        <v/>
      </c>
      <c r="E109" s="57" t="str">
        <f>IF($A109="","",COUNTIFS('Todos os Gastos'!$A:$A,"&gt;="&amp;$A109,'Todos os Gastos'!$A:$A,"&lt;"&amp;EDATE($A109,1)))</f>
        <v/>
      </c>
      <c r="F109" s="57" t="str">
        <f>IF($A109="","",COUNTIFS('Inventário de Lotes'!$B:$B,"&gt;="&amp;$A109,'Inventário de Lotes'!$B:$B,"&lt;"&amp;EDATE($A109,1)))</f>
        <v/>
      </c>
      <c r="G109" s="56" t="str">
        <f t="shared" si="2"/>
        <v/>
      </c>
    </row>
    <row r="110" ht="15.0" customHeight="1">
      <c r="A110" s="52" t="str">
        <f t="shared" si="3"/>
        <v/>
      </c>
      <c r="B110" s="53" t="str">
        <f>IF($A110="","",SUMIFS('Todos os Gastos'!$C:$C,'Todos os Gastos'!$A:$A,"&gt;="&amp;$A110,'Todos os Gastos'!$A:$A,"&lt;"&amp;EDATE($A110,1)))</f>
        <v/>
      </c>
      <c r="C110" s="53" t="str">
        <f>IF($A110="","",SUMIFS('Inventário de Lotes'!$D:$D,'Inventário de Lotes'!$B:$B,"&gt;="&amp;$A110,'Inventário de Lotes'!$B:$B,"&lt;"&amp;EDATE($A110,1)))</f>
        <v/>
      </c>
      <c r="D110" s="53" t="str">
        <f t="shared" si="1"/>
        <v/>
      </c>
      <c r="E110" s="54" t="str">
        <f>IF($A110="","",COUNTIFS('Todos os Gastos'!$A:$A,"&gt;="&amp;$A110,'Todos os Gastos'!$A:$A,"&lt;"&amp;EDATE($A110,1)))</f>
        <v/>
      </c>
      <c r="F110" s="54" t="str">
        <f>IF($A110="","",COUNTIFS('Inventário de Lotes'!$B:$B,"&gt;="&amp;$A110,'Inventário de Lotes'!$B:$B,"&lt;"&amp;EDATE($A110,1)))</f>
        <v/>
      </c>
      <c r="G110" s="53" t="str">
        <f t="shared" si="2"/>
        <v/>
      </c>
    </row>
    <row r="111" ht="15.0" customHeight="1">
      <c r="A111" s="55" t="str">
        <f t="shared" si="3"/>
        <v/>
      </c>
      <c r="B111" s="56" t="str">
        <f>IF($A111="","",SUMIFS('Todos os Gastos'!$C:$C,'Todos os Gastos'!$A:$A,"&gt;="&amp;$A111,'Todos os Gastos'!$A:$A,"&lt;"&amp;EDATE($A111,1)))</f>
        <v/>
      </c>
      <c r="C111" s="56" t="str">
        <f>IF($A111="","",SUMIFS('Inventário de Lotes'!$D:$D,'Inventário de Lotes'!$B:$B,"&gt;="&amp;$A111,'Inventário de Lotes'!$B:$B,"&lt;"&amp;EDATE($A111,1)))</f>
        <v/>
      </c>
      <c r="D111" s="56" t="str">
        <f t="shared" si="1"/>
        <v/>
      </c>
      <c r="E111" s="57" t="str">
        <f>IF($A111="","",COUNTIFS('Todos os Gastos'!$A:$A,"&gt;="&amp;$A111,'Todos os Gastos'!$A:$A,"&lt;"&amp;EDATE($A111,1)))</f>
        <v/>
      </c>
      <c r="F111" s="57" t="str">
        <f>IF($A111="","",COUNTIFS('Inventário de Lotes'!$B:$B,"&gt;="&amp;$A111,'Inventário de Lotes'!$B:$B,"&lt;"&amp;EDATE($A111,1)))</f>
        <v/>
      </c>
      <c r="G111" s="56" t="str">
        <f t="shared" si="2"/>
        <v/>
      </c>
    </row>
    <row r="112" ht="15.0" customHeight="1">
      <c r="A112" s="52" t="str">
        <f t="shared" si="3"/>
        <v/>
      </c>
      <c r="B112" s="53" t="str">
        <f>IF($A112="","",SUMIFS('Todos os Gastos'!$C:$C,'Todos os Gastos'!$A:$A,"&gt;="&amp;$A112,'Todos os Gastos'!$A:$A,"&lt;"&amp;EDATE($A112,1)))</f>
        <v/>
      </c>
      <c r="C112" s="53" t="str">
        <f>IF($A112="","",SUMIFS('Inventário de Lotes'!$D:$D,'Inventário de Lotes'!$B:$B,"&gt;="&amp;$A112,'Inventário de Lotes'!$B:$B,"&lt;"&amp;EDATE($A112,1)))</f>
        <v/>
      </c>
      <c r="D112" s="53" t="str">
        <f t="shared" si="1"/>
        <v/>
      </c>
      <c r="E112" s="54" t="str">
        <f>IF($A112="","",COUNTIFS('Todos os Gastos'!$A:$A,"&gt;="&amp;$A112,'Todos os Gastos'!$A:$A,"&lt;"&amp;EDATE($A112,1)))</f>
        <v/>
      </c>
      <c r="F112" s="54" t="str">
        <f>IF($A112="","",COUNTIFS('Inventário de Lotes'!$B:$B,"&gt;="&amp;$A112,'Inventário de Lotes'!$B:$B,"&lt;"&amp;EDATE($A112,1)))</f>
        <v/>
      </c>
      <c r="G112" s="53" t="str">
        <f t="shared" si="2"/>
        <v/>
      </c>
    </row>
    <row r="113" ht="15.0" customHeight="1">
      <c r="A113" s="55" t="str">
        <f t="shared" si="3"/>
        <v/>
      </c>
      <c r="B113" s="56" t="str">
        <f>IF($A113="","",SUMIFS('Todos os Gastos'!$C:$C,'Todos os Gastos'!$A:$A,"&gt;="&amp;$A113,'Todos os Gastos'!$A:$A,"&lt;"&amp;EDATE($A113,1)))</f>
        <v/>
      </c>
      <c r="C113" s="56" t="str">
        <f>IF($A113="","",SUMIFS('Inventário de Lotes'!$D:$D,'Inventário de Lotes'!$B:$B,"&gt;="&amp;$A113,'Inventário de Lotes'!$B:$B,"&lt;"&amp;EDATE($A113,1)))</f>
        <v/>
      </c>
      <c r="D113" s="56" t="str">
        <f t="shared" si="1"/>
        <v/>
      </c>
      <c r="E113" s="57" t="str">
        <f>IF($A113="","",COUNTIFS('Todos os Gastos'!$A:$A,"&gt;="&amp;$A113,'Todos os Gastos'!$A:$A,"&lt;"&amp;EDATE($A113,1)))</f>
        <v/>
      </c>
      <c r="F113" s="57" t="str">
        <f>IF($A113="","",COUNTIFS('Inventário de Lotes'!$B:$B,"&gt;="&amp;$A113,'Inventário de Lotes'!$B:$B,"&lt;"&amp;EDATE($A113,1)))</f>
        <v/>
      </c>
      <c r="G113" s="56" t="str">
        <f t="shared" si="2"/>
        <v/>
      </c>
    </row>
    <row r="114" ht="15.0" customHeight="1">
      <c r="A114" s="52" t="str">
        <f t="shared" si="3"/>
        <v/>
      </c>
      <c r="B114" s="53" t="str">
        <f>IF($A114="","",SUMIFS('Todos os Gastos'!$C:$C,'Todos os Gastos'!$A:$A,"&gt;="&amp;$A114,'Todos os Gastos'!$A:$A,"&lt;"&amp;EDATE($A114,1)))</f>
        <v/>
      </c>
      <c r="C114" s="53" t="str">
        <f>IF($A114="","",SUMIFS('Inventário de Lotes'!$D:$D,'Inventário de Lotes'!$B:$B,"&gt;="&amp;$A114,'Inventário de Lotes'!$B:$B,"&lt;"&amp;EDATE($A114,1)))</f>
        <v/>
      </c>
      <c r="D114" s="53" t="str">
        <f t="shared" si="1"/>
        <v/>
      </c>
      <c r="E114" s="54" t="str">
        <f>IF($A114="","",COUNTIFS('Todos os Gastos'!$A:$A,"&gt;="&amp;$A114,'Todos os Gastos'!$A:$A,"&lt;"&amp;EDATE($A114,1)))</f>
        <v/>
      </c>
      <c r="F114" s="54" t="str">
        <f>IF($A114="","",COUNTIFS('Inventário de Lotes'!$B:$B,"&gt;="&amp;$A114,'Inventário de Lotes'!$B:$B,"&lt;"&amp;EDATE($A114,1)))</f>
        <v/>
      </c>
      <c r="G114" s="53" t="str">
        <f t="shared" si="2"/>
        <v/>
      </c>
    </row>
    <row r="115" ht="15.0" customHeight="1">
      <c r="A115" s="55" t="str">
        <f t="shared" si="3"/>
        <v/>
      </c>
      <c r="B115" s="56" t="str">
        <f>IF($A115="","",SUMIFS('Todos os Gastos'!$C:$C,'Todos os Gastos'!$A:$A,"&gt;="&amp;$A115,'Todos os Gastos'!$A:$A,"&lt;"&amp;EDATE($A115,1)))</f>
        <v/>
      </c>
      <c r="C115" s="56" t="str">
        <f>IF($A115="","",SUMIFS('Inventário de Lotes'!$D:$D,'Inventário de Lotes'!$B:$B,"&gt;="&amp;$A115,'Inventário de Lotes'!$B:$B,"&lt;"&amp;EDATE($A115,1)))</f>
        <v/>
      </c>
      <c r="D115" s="56" t="str">
        <f t="shared" si="1"/>
        <v/>
      </c>
      <c r="E115" s="57" t="str">
        <f>IF($A115="","",COUNTIFS('Todos os Gastos'!$A:$A,"&gt;="&amp;$A115,'Todos os Gastos'!$A:$A,"&lt;"&amp;EDATE($A115,1)))</f>
        <v/>
      </c>
      <c r="F115" s="57" t="str">
        <f>IF($A115="","",COUNTIFS('Inventário de Lotes'!$B:$B,"&gt;="&amp;$A115,'Inventário de Lotes'!$B:$B,"&lt;"&amp;EDATE($A115,1)))</f>
        <v/>
      </c>
      <c r="G115" s="56" t="str">
        <f t="shared" si="2"/>
        <v/>
      </c>
    </row>
    <row r="116" ht="15.0" customHeight="1">
      <c r="A116" s="52" t="str">
        <f t="shared" si="3"/>
        <v/>
      </c>
      <c r="B116" s="53" t="str">
        <f>IF($A116="","",SUMIFS('Todos os Gastos'!$C:$C,'Todos os Gastos'!$A:$A,"&gt;="&amp;$A116,'Todos os Gastos'!$A:$A,"&lt;"&amp;EDATE($A116,1)))</f>
        <v/>
      </c>
      <c r="C116" s="53" t="str">
        <f>IF($A116="","",SUMIFS('Inventário de Lotes'!$D:$D,'Inventário de Lotes'!$B:$B,"&gt;="&amp;$A116,'Inventário de Lotes'!$B:$B,"&lt;"&amp;EDATE($A116,1)))</f>
        <v/>
      </c>
      <c r="D116" s="53" t="str">
        <f t="shared" si="1"/>
        <v/>
      </c>
      <c r="E116" s="54" t="str">
        <f>IF($A116="","",COUNTIFS('Todos os Gastos'!$A:$A,"&gt;="&amp;$A116,'Todos os Gastos'!$A:$A,"&lt;"&amp;EDATE($A116,1)))</f>
        <v/>
      </c>
      <c r="F116" s="54" t="str">
        <f>IF($A116="","",COUNTIFS('Inventário de Lotes'!$B:$B,"&gt;="&amp;$A116,'Inventário de Lotes'!$B:$B,"&lt;"&amp;EDATE($A116,1)))</f>
        <v/>
      </c>
      <c r="G116" s="53" t="str">
        <f t="shared" si="2"/>
        <v/>
      </c>
    </row>
    <row r="117" ht="15.0" customHeight="1">
      <c r="A117" s="55" t="str">
        <f t="shared" si="3"/>
        <v/>
      </c>
      <c r="B117" s="56" t="str">
        <f>IF($A117="","",SUMIFS('Todos os Gastos'!$C:$C,'Todos os Gastos'!$A:$A,"&gt;="&amp;$A117,'Todos os Gastos'!$A:$A,"&lt;"&amp;EDATE($A117,1)))</f>
        <v/>
      </c>
      <c r="C117" s="56" t="str">
        <f>IF($A117="","",SUMIFS('Inventário de Lotes'!$D:$D,'Inventário de Lotes'!$B:$B,"&gt;="&amp;$A117,'Inventário de Lotes'!$B:$B,"&lt;"&amp;EDATE($A117,1)))</f>
        <v/>
      </c>
      <c r="D117" s="56" t="str">
        <f t="shared" si="1"/>
        <v/>
      </c>
      <c r="E117" s="57" t="str">
        <f>IF($A117="","",COUNTIFS('Todos os Gastos'!$A:$A,"&gt;="&amp;$A117,'Todos os Gastos'!$A:$A,"&lt;"&amp;EDATE($A117,1)))</f>
        <v/>
      </c>
      <c r="F117" s="57" t="str">
        <f>IF($A117="","",COUNTIFS('Inventário de Lotes'!$B:$B,"&gt;="&amp;$A117,'Inventário de Lotes'!$B:$B,"&lt;"&amp;EDATE($A117,1)))</f>
        <v/>
      </c>
      <c r="G117" s="56" t="str">
        <f t="shared" si="2"/>
        <v/>
      </c>
    </row>
    <row r="118" ht="15.0" customHeight="1">
      <c r="A118" s="52" t="str">
        <f t="shared" si="3"/>
        <v/>
      </c>
      <c r="B118" s="53" t="str">
        <f>IF($A118="","",SUMIFS('Todos os Gastos'!$C:$C,'Todos os Gastos'!$A:$A,"&gt;="&amp;$A118,'Todos os Gastos'!$A:$A,"&lt;"&amp;EDATE($A118,1)))</f>
        <v/>
      </c>
      <c r="C118" s="53" t="str">
        <f>IF($A118="","",SUMIFS('Inventário de Lotes'!$D:$D,'Inventário de Lotes'!$B:$B,"&gt;="&amp;$A118,'Inventário de Lotes'!$B:$B,"&lt;"&amp;EDATE($A118,1)))</f>
        <v/>
      </c>
      <c r="D118" s="53" t="str">
        <f t="shared" si="1"/>
        <v/>
      </c>
      <c r="E118" s="54" t="str">
        <f>IF($A118="","",COUNTIFS('Todos os Gastos'!$A:$A,"&gt;="&amp;$A118,'Todos os Gastos'!$A:$A,"&lt;"&amp;EDATE($A118,1)))</f>
        <v/>
      </c>
      <c r="F118" s="54" t="str">
        <f>IF($A118="","",COUNTIFS('Inventário de Lotes'!$B:$B,"&gt;="&amp;$A118,'Inventário de Lotes'!$B:$B,"&lt;"&amp;EDATE($A118,1)))</f>
        <v/>
      </c>
      <c r="G118" s="53" t="str">
        <f t="shared" si="2"/>
        <v/>
      </c>
    </row>
    <row r="119" ht="15.0" customHeight="1">
      <c r="A119" s="55" t="str">
        <f t="shared" si="3"/>
        <v/>
      </c>
      <c r="B119" s="56" t="str">
        <f>IF($A119="","",SUMIFS('Todos os Gastos'!$C:$C,'Todos os Gastos'!$A:$A,"&gt;="&amp;$A119,'Todos os Gastos'!$A:$A,"&lt;"&amp;EDATE($A119,1)))</f>
        <v/>
      </c>
      <c r="C119" s="56" t="str">
        <f>IF($A119="","",SUMIFS('Inventário de Lotes'!$D:$D,'Inventário de Lotes'!$B:$B,"&gt;="&amp;$A119,'Inventário de Lotes'!$B:$B,"&lt;"&amp;EDATE($A119,1)))</f>
        <v/>
      </c>
      <c r="D119" s="56" t="str">
        <f t="shared" si="1"/>
        <v/>
      </c>
      <c r="E119" s="57" t="str">
        <f>IF($A119="","",COUNTIFS('Todos os Gastos'!$A:$A,"&gt;="&amp;$A119,'Todos os Gastos'!$A:$A,"&lt;"&amp;EDATE($A119,1)))</f>
        <v/>
      </c>
      <c r="F119" s="57" t="str">
        <f>IF($A119="","",COUNTIFS('Inventário de Lotes'!$B:$B,"&gt;="&amp;$A119,'Inventário de Lotes'!$B:$B,"&lt;"&amp;EDATE($A119,1)))</f>
        <v/>
      </c>
      <c r="G119" s="56" t="str">
        <f t="shared" si="2"/>
        <v/>
      </c>
    </row>
    <row r="120" ht="15.0" customHeight="1">
      <c r="A120" s="52" t="str">
        <f t="shared" si="3"/>
        <v/>
      </c>
      <c r="B120" s="53" t="str">
        <f>IF($A120="","",SUMIFS('Todos os Gastos'!$C:$C,'Todos os Gastos'!$A:$A,"&gt;="&amp;$A120,'Todos os Gastos'!$A:$A,"&lt;"&amp;EDATE($A120,1)))</f>
        <v/>
      </c>
      <c r="C120" s="53" t="str">
        <f>IF($A120="","",SUMIFS('Inventário de Lotes'!$D:$D,'Inventário de Lotes'!$B:$B,"&gt;="&amp;$A120,'Inventário de Lotes'!$B:$B,"&lt;"&amp;EDATE($A120,1)))</f>
        <v/>
      </c>
      <c r="D120" s="53" t="str">
        <f t="shared" si="1"/>
        <v/>
      </c>
      <c r="E120" s="54" t="str">
        <f>IF($A120="","",COUNTIFS('Todos os Gastos'!$A:$A,"&gt;="&amp;$A120,'Todos os Gastos'!$A:$A,"&lt;"&amp;EDATE($A120,1)))</f>
        <v/>
      </c>
      <c r="F120" s="54" t="str">
        <f>IF($A120="","",COUNTIFS('Inventário de Lotes'!$B:$B,"&gt;="&amp;$A120,'Inventário de Lotes'!$B:$B,"&lt;"&amp;EDATE($A120,1)))</f>
        <v/>
      </c>
      <c r="G120" s="53" t="str">
        <f t="shared" si="2"/>
        <v/>
      </c>
    </row>
    <row r="121" ht="15.0" customHeight="1">
      <c r="A121" s="55" t="str">
        <f t="shared" si="3"/>
        <v/>
      </c>
      <c r="B121" s="56" t="str">
        <f>IF($A121="","",SUMIFS('Todos os Gastos'!$C:$C,'Todos os Gastos'!$A:$A,"&gt;="&amp;$A121,'Todos os Gastos'!$A:$A,"&lt;"&amp;EDATE($A121,1)))</f>
        <v/>
      </c>
      <c r="C121" s="56" t="str">
        <f>IF($A121="","",SUMIFS('Inventário de Lotes'!$D:$D,'Inventário de Lotes'!$B:$B,"&gt;="&amp;$A121,'Inventário de Lotes'!$B:$B,"&lt;"&amp;EDATE($A121,1)))</f>
        <v/>
      </c>
      <c r="D121" s="56" t="str">
        <f t="shared" si="1"/>
        <v/>
      </c>
      <c r="E121" s="57" t="str">
        <f>IF($A121="","",COUNTIFS('Todos os Gastos'!$A:$A,"&gt;="&amp;$A121,'Todos os Gastos'!$A:$A,"&lt;"&amp;EDATE($A121,1)))</f>
        <v/>
      </c>
      <c r="F121" s="57" t="str">
        <f>IF($A121="","",COUNTIFS('Inventário de Lotes'!$B:$B,"&gt;="&amp;$A121,'Inventário de Lotes'!$B:$B,"&lt;"&amp;EDATE($A121,1)))</f>
        <v/>
      </c>
      <c r="G121" s="56" t="str">
        <f t="shared" si="2"/>
        <v/>
      </c>
    </row>
    <row r="122" ht="15.0" customHeight="1">
      <c r="A122" s="52" t="str">
        <f t="shared" si="3"/>
        <v/>
      </c>
      <c r="B122" s="53" t="str">
        <f>IF($A122="","",SUMIFS('Todos os Gastos'!$C:$C,'Todos os Gastos'!$A:$A,"&gt;="&amp;$A122,'Todos os Gastos'!$A:$A,"&lt;"&amp;EDATE($A122,1)))</f>
        <v/>
      </c>
      <c r="C122" s="53" t="str">
        <f>IF($A122="","",SUMIFS('Inventário de Lotes'!$D:$D,'Inventário de Lotes'!$B:$B,"&gt;="&amp;$A122,'Inventário de Lotes'!$B:$B,"&lt;"&amp;EDATE($A122,1)))</f>
        <v/>
      </c>
      <c r="D122" s="53" t="str">
        <f t="shared" si="1"/>
        <v/>
      </c>
      <c r="E122" s="54" t="str">
        <f>IF($A122="","",COUNTIFS('Todos os Gastos'!$A:$A,"&gt;="&amp;$A122,'Todos os Gastos'!$A:$A,"&lt;"&amp;EDATE($A122,1)))</f>
        <v/>
      </c>
      <c r="F122" s="54" t="str">
        <f>IF($A122="","",COUNTIFS('Inventário de Lotes'!$B:$B,"&gt;="&amp;$A122,'Inventário de Lotes'!$B:$B,"&lt;"&amp;EDATE($A122,1)))</f>
        <v/>
      </c>
      <c r="G122" s="53" t="str">
        <f t="shared" si="2"/>
        <v/>
      </c>
    </row>
    <row r="123" ht="15.0" customHeight="1">
      <c r="A123" s="55" t="str">
        <f t="shared" si="3"/>
        <v/>
      </c>
      <c r="B123" s="56" t="str">
        <f>IF($A123="","",SUMIFS('Todos os Gastos'!$C:$C,'Todos os Gastos'!$A:$A,"&gt;="&amp;$A123,'Todos os Gastos'!$A:$A,"&lt;"&amp;EDATE($A123,1)))</f>
        <v/>
      </c>
      <c r="C123" s="56" t="str">
        <f>IF($A123="","",SUMIFS('Inventário de Lotes'!$D:$D,'Inventário de Lotes'!$B:$B,"&gt;="&amp;$A123,'Inventário de Lotes'!$B:$B,"&lt;"&amp;EDATE($A123,1)))</f>
        <v/>
      </c>
      <c r="D123" s="56" t="str">
        <f t="shared" si="1"/>
        <v/>
      </c>
      <c r="E123" s="57" t="str">
        <f>IF($A123="","",COUNTIFS('Todos os Gastos'!$A:$A,"&gt;="&amp;$A123,'Todos os Gastos'!$A:$A,"&lt;"&amp;EDATE($A123,1)))</f>
        <v/>
      </c>
      <c r="F123" s="57" t="str">
        <f>IF($A123="","",COUNTIFS('Inventário de Lotes'!$B:$B,"&gt;="&amp;$A123,'Inventário de Lotes'!$B:$B,"&lt;"&amp;EDATE($A123,1)))</f>
        <v/>
      </c>
      <c r="G123" s="56" t="str">
        <f t="shared" si="2"/>
        <v/>
      </c>
    </row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3:$G$123"/>
  <mergeCells count="1">
    <mergeCell ref="A1:G1"/>
  </mergeCells>
  <printOptions/>
  <pageMargins bottom="1.0" footer="0.0" header="0.0" left="0.75" right="0.75" top="1.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55.57"/>
    <col customWidth="1" min="2" max="2" width="17.0"/>
    <col customWidth="1" min="3" max="3" width="18.29"/>
    <col customWidth="1" min="4" max="4" width="14.14"/>
    <col customWidth="1" min="5" max="5" width="13.57"/>
    <col customWidth="1" min="6" max="6" width="16.14"/>
    <col customWidth="1" min="7" max="7" width="12.14"/>
    <col customWidth="1" min="8" max="9" width="23.0"/>
    <col customWidth="1" min="10" max="10" width="8.57"/>
    <col customWidth="1" min="11" max="11" width="14.86"/>
    <col customWidth="1" min="12" max="15" width="23.0"/>
    <col customWidth="1" min="16" max="16" width="19.0"/>
    <col customWidth="1" min="17" max="17" width="14.14"/>
    <col customWidth="1" min="18" max="18" width="7.43"/>
    <col customWidth="1" min="19" max="19" width="256.86"/>
    <col customWidth="1" min="20" max="21" width="23.0"/>
    <col customWidth="1" min="22" max="22" width="13.29"/>
    <col customWidth="1" min="23" max="23" width="23.0"/>
    <col customWidth="1" min="24" max="24" width="23.86"/>
    <col customWidth="1" min="25" max="25" width="22.86"/>
    <col customWidth="1" min="26" max="49" width="101.71"/>
  </cols>
  <sheetData>
    <row r="1">
      <c r="A1" s="60" t="s">
        <v>122</v>
      </c>
      <c r="B1" s="60" t="s">
        <v>123</v>
      </c>
      <c r="C1" s="60" t="s">
        <v>124</v>
      </c>
      <c r="D1" s="60" t="s">
        <v>125</v>
      </c>
      <c r="E1" s="60" t="s">
        <v>126</v>
      </c>
      <c r="F1" s="60" t="s">
        <v>127</v>
      </c>
      <c r="G1" s="60" t="s">
        <v>128</v>
      </c>
      <c r="H1" s="60" t="s">
        <v>129</v>
      </c>
      <c r="I1" s="60" t="s">
        <v>130</v>
      </c>
      <c r="J1" s="60" t="s">
        <v>131</v>
      </c>
      <c r="K1" s="60" t="s">
        <v>132</v>
      </c>
      <c r="L1" s="60" t="s">
        <v>133</v>
      </c>
      <c r="M1" s="60" t="s">
        <v>134</v>
      </c>
      <c r="N1" s="60" t="s">
        <v>135</v>
      </c>
      <c r="O1" s="60" t="s">
        <v>136</v>
      </c>
      <c r="P1" s="60" t="s">
        <v>137</v>
      </c>
      <c r="Q1" s="60" t="s">
        <v>138</v>
      </c>
      <c r="R1" s="60" t="s">
        <v>139</v>
      </c>
      <c r="S1" s="60" t="s">
        <v>140</v>
      </c>
      <c r="T1" s="60" t="s">
        <v>141</v>
      </c>
      <c r="U1" s="60" t="s">
        <v>142</v>
      </c>
      <c r="V1" s="60" t="s">
        <v>143</v>
      </c>
      <c r="W1" s="60" t="s">
        <v>144</v>
      </c>
      <c r="X1" s="60" t="s">
        <v>145</v>
      </c>
      <c r="Y1" s="60" t="s">
        <v>146</v>
      </c>
      <c r="Z1" s="60" t="s">
        <v>147</v>
      </c>
      <c r="AA1" s="61" t="s">
        <v>148</v>
      </c>
      <c r="AB1" s="61" t="s">
        <v>149</v>
      </c>
      <c r="AC1" s="61" t="s">
        <v>150</v>
      </c>
      <c r="AD1" s="61" t="s">
        <v>151</v>
      </c>
      <c r="AE1" s="61" t="s">
        <v>152</v>
      </c>
      <c r="AF1" s="61" t="s">
        <v>153</v>
      </c>
      <c r="AG1" s="61" t="s">
        <v>154</v>
      </c>
      <c r="AH1" s="61" t="s">
        <v>155</v>
      </c>
      <c r="AI1" s="61" t="s">
        <v>156</v>
      </c>
      <c r="AJ1" s="61" t="s">
        <v>157</v>
      </c>
      <c r="AK1" s="61" t="s">
        <v>158</v>
      </c>
      <c r="AL1" s="62" t="s">
        <v>159</v>
      </c>
      <c r="AM1" s="62" t="s">
        <v>160</v>
      </c>
      <c r="AN1" s="62" t="s">
        <v>161</v>
      </c>
      <c r="AO1" s="62" t="s">
        <v>162</v>
      </c>
      <c r="AP1" s="62" t="s">
        <v>163</v>
      </c>
      <c r="AQ1" s="62" t="s">
        <v>164</v>
      </c>
      <c r="AR1" s="62" t="s">
        <v>165</v>
      </c>
      <c r="AS1" s="62" t="s">
        <v>166</v>
      </c>
      <c r="AT1" s="62" t="s">
        <v>167</v>
      </c>
      <c r="AU1" s="62" t="s">
        <v>168</v>
      </c>
      <c r="AV1" s="62" t="s">
        <v>169</v>
      </c>
      <c r="AW1" s="62" t="s">
        <v>170</v>
      </c>
    </row>
    <row r="2">
      <c r="A2" s="42" t="s">
        <v>171</v>
      </c>
      <c r="B2" s="63">
        <v>266.87</v>
      </c>
      <c r="C2" s="63">
        <v>0.0</v>
      </c>
      <c r="D2" s="63">
        <v>0.0</v>
      </c>
      <c r="E2" s="63">
        <v>1.0</v>
      </c>
      <c r="F2" s="63">
        <v>17.0</v>
      </c>
      <c r="G2" s="42" t="s">
        <v>172</v>
      </c>
      <c r="H2" s="63" t="s">
        <v>173</v>
      </c>
      <c r="I2" s="64"/>
      <c r="J2" s="42" t="s">
        <v>174</v>
      </c>
      <c r="K2" s="42" t="s">
        <v>175</v>
      </c>
      <c r="L2" s="65"/>
      <c r="M2" s="65"/>
      <c r="N2" s="65"/>
      <c r="O2" s="65"/>
      <c r="P2" s="42" t="s">
        <v>172</v>
      </c>
      <c r="Q2" s="42" t="s">
        <v>176</v>
      </c>
      <c r="R2" s="42" t="s">
        <v>172</v>
      </c>
      <c r="S2" s="42" t="s">
        <v>177</v>
      </c>
      <c r="T2" s="42" t="s">
        <v>178</v>
      </c>
      <c r="U2" s="64"/>
      <c r="V2" s="42" t="s">
        <v>179</v>
      </c>
      <c r="W2" s="64"/>
      <c r="X2" s="66" t="s">
        <v>180</v>
      </c>
      <c r="Y2" s="67" t="s">
        <v>181</v>
      </c>
      <c r="Z2" s="66" t="s">
        <v>182</v>
      </c>
      <c r="AA2" s="68" t="s">
        <v>174</v>
      </c>
      <c r="AB2" s="68" t="s">
        <v>183</v>
      </c>
      <c r="AC2" s="69">
        <v>25.0</v>
      </c>
      <c r="AD2" s="69">
        <v>100.0</v>
      </c>
      <c r="AE2" s="69">
        <v>35.0</v>
      </c>
      <c r="AF2" s="69">
        <v>60.0</v>
      </c>
      <c r="AG2" s="69">
        <v>45.0</v>
      </c>
      <c r="AH2" s="69">
        <v>18.0</v>
      </c>
      <c r="AI2" s="69">
        <v>43.7</v>
      </c>
      <c r="AJ2" s="69">
        <v>40.0</v>
      </c>
      <c r="AK2" s="69">
        <v>85.0</v>
      </c>
      <c r="AL2" s="70">
        <v>51.1</v>
      </c>
      <c r="AM2" s="71">
        <v>37.0</v>
      </c>
      <c r="AN2" s="71">
        <v>64.0</v>
      </c>
      <c r="AO2" s="70">
        <v>181.0</v>
      </c>
      <c r="AP2" s="68" t="s">
        <v>184</v>
      </c>
      <c r="AQ2" s="68" t="s">
        <v>185</v>
      </c>
      <c r="AR2" s="70">
        <v>0.0</v>
      </c>
      <c r="AS2" s="71">
        <v>0.0</v>
      </c>
      <c r="AT2" s="70">
        <v>0.0</v>
      </c>
      <c r="AU2" s="70">
        <v>51.1</v>
      </c>
      <c r="AV2" s="71">
        <v>12.0</v>
      </c>
      <c r="AW2" s="71">
        <v>33.0</v>
      </c>
    </row>
    <row r="3">
      <c r="A3" s="42" t="s">
        <v>186</v>
      </c>
      <c r="B3" s="63">
        <v>100.0</v>
      </c>
      <c r="C3" s="63">
        <v>0.0</v>
      </c>
      <c r="D3" s="63">
        <v>0.0</v>
      </c>
      <c r="E3" s="63">
        <v>90.0</v>
      </c>
      <c r="F3" s="63">
        <v>90.0</v>
      </c>
      <c r="G3" s="42" t="s">
        <v>172</v>
      </c>
      <c r="H3" s="63" t="s">
        <v>187</v>
      </c>
      <c r="I3" s="64"/>
      <c r="J3" s="42" t="s">
        <v>172</v>
      </c>
      <c r="K3" s="42" t="s">
        <v>188</v>
      </c>
      <c r="L3" s="64"/>
      <c r="M3" s="64"/>
      <c r="N3" s="64"/>
      <c r="O3" s="64"/>
      <c r="P3" s="42" t="s">
        <v>174</v>
      </c>
      <c r="Q3" s="42" t="s">
        <v>189</v>
      </c>
      <c r="R3" s="42" t="s">
        <v>174</v>
      </c>
      <c r="S3" s="42" t="s">
        <v>190</v>
      </c>
      <c r="T3" s="66" t="s">
        <v>191</v>
      </c>
      <c r="U3" s="64"/>
      <c r="V3" s="42" t="s">
        <v>179</v>
      </c>
      <c r="W3" s="64"/>
      <c r="X3" s="66" t="s">
        <v>180</v>
      </c>
      <c r="Y3" s="72" t="s">
        <v>192</v>
      </c>
      <c r="Z3" s="66" t="s">
        <v>182</v>
      </c>
      <c r="AA3" s="68" t="s">
        <v>172</v>
      </c>
      <c r="AB3" s="68" t="s">
        <v>193</v>
      </c>
      <c r="AC3" s="69">
        <v>45.0</v>
      </c>
      <c r="AD3" s="69">
        <v>90.0</v>
      </c>
      <c r="AE3" s="69">
        <v>90.0</v>
      </c>
      <c r="AF3" s="69">
        <v>60.0</v>
      </c>
      <c r="AG3" s="69">
        <v>78.0</v>
      </c>
      <c r="AH3" s="69">
        <v>14.0</v>
      </c>
      <c r="AI3" s="69">
        <v>17.5</v>
      </c>
      <c r="AJ3" s="69">
        <v>75.0</v>
      </c>
      <c r="AK3" s="69">
        <v>85.0</v>
      </c>
      <c r="AL3" s="70">
        <v>58.7</v>
      </c>
      <c r="AM3" s="73"/>
      <c r="AN3" s="73"/>
      <c r="AO3" s="70">
        <v>90.0</v>
      </c>
      <c r="AP3" s="68" t="s">
        <v>194</v>
      </c>
      <c r="AQ3" s="68" t="s">
        <v>195</v>
      </c>
      <c r="AR3" s="74"/>
      <c r="AS3" s="73"/>
      <c r="AT3" s="74"/>
      <c r="AU3" s="74"/>
      <c r="AV3" s="73"/>
      <c r="AW3" s="73"/>
    </row>
    <row r="4">
      <c r="A4" s="42" t="s">
        <v>196</v>
      </c>
      <c r="B4" s="63">
        <v>100.0</v>
      </c>
      <c r="C4" s="63">
        <v>0.0</v>
      </c>
      <c r="D4" s="63">
        <v>0.0</v>
      </c>
      <c r="E4" s="63">
        <v>180.0</v>
      </c>
      <c r="F4" s="63">
        <v>180.0</v>
      </c>
      <c r="G4" s="42" t="s">
        <v>172</v>
      </c>
      <c r="H4" s="63" t="s">
        <v>187</v>
      </c>
      <c r="I4" s="64"/>
      <c r="J4" s="42" t="s">
        <v>172</v>
      </c>
      <c r="K4" s="42" t="s">
        <v>188</v>
      </c>
      <c r="L4" s="64"/>
      <c r="M4" s="64"/>
      <c r="N4" s="64"/>
      <c r="O4" s="64"/>
      <c r="P4" s="42" t="s">
        <v>174</v>
      </c>
      <c r="Q4" s="42" t="s">
        <v>189</v>
      </c>
      <c r="R4" s="42" t="s">
        <v>174</v>
      </c>
      <c r="S4" s="42" t="s">
        <v>190</v>
      </c>
      <c r="T4" s="66" t="s">
        <v>191</v>
      </c>
      <c r="U4" s="64"/>
      <c r="V4" s="42" t="s">
        <v>179</v>
      </c>
      <c r="W4" s="64"/>
      <c r="X4" s="66" t="s">
        <v>180</v>
      </c>
      <c r="Y4" s="72" t="s">
        <v>192</v>
      </c>
      <c r="Z4" s="66" t="s">
        <v>182</v>
      </c>
      <c r="AA4" s="68" t="s">
        <v>172</v>
      </c>
      <c r="AB4" s="68" t="s">
        <v>193</v>
      </c>
      <c r="AC4" s="69">
        <v>45.0</v>
      </c>
      <c r="AD4" s="69">
        <v>90.0</v>
      </c>
      <c r="AE4" s="69">
        <v>90.0</v>
      </c>
      <c r="AF4" s="69">
        <v>60.0</v>
      </c>
      <c r="AG4" s="69">
        <v>78.0</v>
      </c>
      <c r="AH4" s="69">
        <v>14.0</v>
      </c>
      <c r="AI4" s="69">
        <v>17.5</v>
      </c>
      <c r="AJ4" s="69">
        <v>75.0</v>
      </c>
      <c r="AK4" s="69">
        <v>85.0</v>
      </c>
      <c r="AL4" s="70">
        <v>58.7</v>
      </c>
      <c r="AM4" s="73"/>
      <c r="AN4" s="73"/>
      <c r="AO4" s="70">
        <v>180.0</v>
      </c>
      <c r="AP4" s="68" t="s">
        <v>194</v>
      </c>
      <c r="AQ4" s="68" t="s">
        <v>195</v>
      </c>
      <c r="AR4" s="74"/>
      <c r="AS4" s="73"/>
      <c r="AT4" s="74"/>
      <c r="AU4" s="74"/>
      <c r="AV4" s="73"/>
      <c r="AW4" s="73"/>
    </row>
    <row r="5">
      <c r="A5" s="42" t="s">
        <v>197</v>
      </c>
      <c r="B5" s="63">
        <v>109.0</v>
      </c>
      <c r="C5" s="63">
        <v>0.0</v>
      </c>
      <c r="D5" s="63">
        <v>0.0</v>
      </c>
      <c r="E5" s="63">
        <v>365.0</v>
      </c>
      <c r="F5" s="63">
        <v>365.0</v>
      </c>
      <c r="G5" s="42" t="s">
        <v>172</v>
      </c>
      <c r="H5" s="63" t="s">
        <v>173</v>
      </c>
      <c r="I5" s="64"/>
      <c r="J5" s="42" t="s">
        <v>174</v>
      </c>
      <c r="K5" s="42" t="s">
        <v>188</v>
      </c>
      <c r="L5" s="65"/>
      <c r="M5" s="65"/>
      <c r="N5" s="65"/>
      <c r="O5" s="65"/>
      <c r="P5" s="42" t="s">
        <v>172</v>
      </c>
      <c r="Q5" s="42" t="s">
        <v>189</v>
      </c>
      <c r="R5" s="42" t="s">
        <v>174</v>
      </c>
      <c r="S5" s="42" t="s">
        <v>198</v>
      </c>
      <c r="T5" s="42" t="s">
        <v>199</v>
      </c>
      <c r="U5" s="64"/>
      <c r="V5" s="42" t="s">
        <v>200</v>
      </c>
      <c r="W5" s="64"/>
      <c r="X5" s="66" t="s">
        <v>180</v>
      </c>
      <c r="Y5" s="67" t="s">
        <v>181</v>
      </c>
      <c r="Z5" s="66" t="s">
        <v>182</v>
      </c>
      <c r="AA5" s="68" t="s">
        <v>174</v>
      </c>
      <c r="AB5" s="68" t="s">
        <v>183</v>
      </c>
      <c r="AC5" s="69">
        <v>25.0</v>
      </c>
      <c r="AD5" s="69">
        <v>100.0</v>
      </c>
      <c r="AE5" s="69">
        <v>90.0</v>
      </c>
      <c r="AF5" s="69">
        <v>95.0</v>
      </c>
      <c r="AG5" s="69">
        <v>92.0</v>
      </c>
      <c r="AH5" s="69">
        <v>15.26</v>
      </c>
      <c r="AI5" s="69">
        <v>25.7</v>
      </c>
      <c r="AJ5" s="69">
        <v>75.0</v>
      </c>
      <c r="AK5" s="69">
        <v>85.0</v>
      </c>
      <c r="AL5" s="70">
        <v>60.1</v>
      </c>
      <c r="AM5" s="71">
        <v>3.0</v>
      </c>
      <c r="AN5" s="71">
        <v>26.0</v>
      </c>
      <c r="AO5" s="70">
        <v>365.0</v>
      </c>
      <c r="AP5" s="68" t="s">
        <v>194</v>
      </c>
      <c r="AQ5" s="68" t="s">
        <v>195</v>
      </c>
      <c r="AR5" s="70">
        <v>2.0</v>
      </c>
      <c r="AS5" s="71">
        <v>2.0</v>
      </c>
      <c r="AT5" s="70">
        <v>14.0</v>
      </c>
      <c r="AU5" s="70">
        <v>46.1</v>
      </c>
      <c r="AV5" s="71">
        <v>25.0</v>
      </c>
      <c r="AW5" s="71">
        <v>49.0</v>
      </c>
    </row>
    <row r="6">
      <c r="A6" s="42" t="s">
        <v>201</v>
      </c>
      <c r="B6" s="63">
        <v>110.0</v>
      </c>
      <c r="C6" s="63">
        <v>0.0</v>
      </c>
      <c r="D6" s="63">
        <v>0.0</v>
      </c>
      <c r="E6" s="63">
        <v>2190.0</v>
      </c>
      <c r="F6" s="63">
        <v>2190.0</v>
      </c>
      <c r="G6" s="42" t="s">
        <v>172</v>
      </c>
      <c r="H6" s="63" t="s">
        <v>173</v>
      </c>
      <c r="I6" s="64"/>
      <c r="J6" s="42" t="s">
        <v>174</v>
      </c>
      <c r="K6" s="42" t="s">
        <v>188</v>
      </c>
      <c r="L6" s="65"/>
      <c r="M6" s="65"/>
      <c r="N6" s="65"/>
      <c r="O6" s="65"/>
      <c r="P6" s="42" t="s">
        <v>172</v>
      </c>
      <c r="Q6" s="42" t="s">
        <v>189</v>
      </c>
      <c r="R6" s="42" t="s">
        <v>174</v>
      </c>
      <c r="S6" s="42" t="s">
        <v>202</v>
      </c>
      <c r="T6" s="42" t="s">
        <v>199</v>
      </c>
      <c r="U6" s="64"/>
      <c r="V6" s="42" t="s">
        <v>203</v>
      </c>
      <c r="W6" s="64"/>
      <c r="X6" s="66" t="s">
        <v>180</v>
      </c>
      <c r="Y6" s="67" t="s">
        <v>181</v>
      </c>
      <c r="Z6" s="66" t="s">
        <v>182</v>
      </c>
      <c r="AA6" s="68" t="s">
        <v>174</v>
      </c>
      <c r="AB6" s="68" t="s">
        <v>183</v>
      </c>
      <c r="AC6" s="69">
        <v>10.0</v>
      </c>
      <c r="AD6" s="69">
        <v>100.0</v>
      </c>
      <c r="AE6" s="69">
        <v>90.0</v>
      </c>
      <c r="AF6" s="69">
        <v>50.0</v>
      </c>
      <c r="AG6" s="69">
        <v>74.0</v>
      </c>
      <c r="AH6" s="69">
        <v>15.4</v>
      </c>
      <c r="AI6" s="69">
        <v>26.7</v>
      </c>
      <c r="AJ6" s="69">
        <v>75.0</v>
      </c>
      <c r="AK6" s="69">
        <v>85.0</v>
      </c>
      <c r="AL6" s="70">
        <v>52.9</v>
      </c>
      <c r="AM6" s="71">
        <v>33.0</v>
      </c>
      <c r="AN6" s="71">
        <v>60.0</v>
      </c>
      <c r="AO6" s="70">
        <v>2190.0</v>
      </c>
      <c r="AP6" s="68" t="s">
        <v>194</v>
      </c>
      <c r="AQ6" s="68" t="s">
        <v>195</v>
      </c>
      <c r="AR6" s="70">
        <v>5.0</v>
      </c>
      <c r="AS6" s="71">
        <v>3.0</v>
      </c>
      <c r="AT6" s="70">
        <v>18.0</v>
      </c>
      <c r="AU6" s="70">
        <v>34.9</v>
      </c>
      <c r="AV6" s="71">
        <v>41.0</v>
      </c>
      <c r="AW6" s="71">
        <v>68.0</v>
      </c>
    </row>
    <row r="7">
      <c r="A7" s="42" t="s">
        <v>204</v>
      </c>
      <c r="B7" s="63">
        <v>111.0</v>
      </c>
      <c r="C7" s="63">
        <v>0.0</v>
      </c>
      <c r="D7" s="63">
        <v>0.0</v>
      </c>
      <c r="E7" s="63">
        <v>730.0</v>
      </c>
      <c r="F7" s="63">
        <v>730.0</v>
      </c>
      <c r="G7" s="42" t="s">
        <v>172</v>
      </c>
      <c r="H7" s="63" t="s">
        <v>173</v>
      </c>
      <c r="I7" s="64"/>
      <c r="J7" s="42" t="s">
        <v>174</v>
      </c>
      <c r="K7" s="42" t="s">
        <v>188</v>
      </c>
      <c r="L7" s="65"/>
      <c r="M7" s="65"/>
      <c r="N7" s="65"/>
      <c r="O7" s="65"/>
      <c r="P7" s="42" t="s">
        <v>172</v>
      </c>
      <c r="Q7" s="42" t="s">
        <v>189</v>
      </c>
      <c r="R7" s="42" t="s">
        <v>174</v>
      </c>
      <c r="S7" s="42" t="s">
        <v>205</v>
      </c>
      <c r="T7" s="42" t="s">
        <v>199</v>
      </c>
      <c r="U7" s="64"/>
      <c r="V7" s="42" t="s">
        <v>200</v>
      </c>
      <c r="W7" s="64"/>
      <c r="X7" s="66" t="s">
        <v>180</v>
      </c>
      <c r="Y7" s="67" t="s">
        <v>181</v>
      </c>
      <c r="Z7" s="66" t="s">
        <v>182</v>
      </c>
      <c r="AA7" s="68" t="s">
        <v>174</v>
      </c>
      <c r="AB7" s="68" t="s">
        <v>183</v>
      </c>
      <c r="AC7" s="69">
        <v>10.0</v>
      </c>
      <c r="AD7" s="69">
        <v>100.0</v>
      </c>
      <c r="AE7" s="69">
        <v>90.0</v>
      </c>
      <c r="AF7" s="69">
        <v>95.0</v>
      </c>
      <c r="AG7" s="69">
        <v>92.0</v>
      </c>
      <c r="AH7" s="69">
        <v>15.54</v>
      </c>
      <c r="AI7" s="69">
        <v>27.6</v>
      </c>
      <c r="AJ7" s="69">
        <v>75.0</v>
      </c>
      <c r="AK7" s="69">
        <v>85.0</v>
      </c>
      <c r="AL7" s="70">
        <v>56.7</v>
      </c>
      <c r="AM7" s="71">
        <v>10.0</v>
      </c>
      <c r="AN7" s="71">
        <v>36.0</v>
      </c>
      <c r="AO7" s="70">
        <v>730.0</v>
      </c>
      <c r="AP7" s="68" t="s">
        <v>194</v>
      </c>
      <c r="AQ7" s="68" t="s">
        <v>195</v>
      </c>
      <c r="AR7" s="70">
        <v>3.0</v>
      </c>
      <c r="AS7" s="71">
        <v>2.0</v>
      </c>
      <c r="AT7" s="70">
        <v>18.0</v>
      </c>
      <c r="AU7" s="70">
        <v>38.7</v>
      </c>
      <c r="AV7" s="71">
        <v>32.0</v>
      </c>
      <c r="AW7" s="71">
        <v>58.0</v>
      </c>
    </row>
    <row r="8">
      <c r="A8" s="42" t="s">
        <v>206</v>
      </c>
      <c r="B8" s="63">
        <v>112.0</v>
      </c>
      <c r="C8" s="63">
        <v>0.0</v>
      </c>
      <c r="D8" s="63">
        <v>0.0</v>
      </c>
      <c r="E8" s="63">
        <v>1095.0</v>
      </c>
      <c r="F8" s="63">
        <v>1095.0</v>
      </c>
      <c r="G8" s="42" t="s">
        <v>172</v>
      </c>
      <c r="H8" s="63" t="s">
        <v>173</v>
      </c>
      <c r="I8" s="64"/>
      <c r="J8" s="42" t="s">
        <v>174</v>
      </c>
      <c r="K8" s="42" t="s">
        <v>188</v>
      </c>
      <c r="L8" s="65"/>
      <c r="M8" s="65"/>
      <c r="N8" s="65"/>
      <c r="O8" s="65"/>
      <c r="P8" s="42" t="s">
        <v>172</v>
      </c>
      <c r="Q8" s="42" t="s">
        <v>189</v>
      </c>
      <c r="R8" s="42" t="s">
        <v>174</v>
      </c>
      <c r="S8" s="42" t="s">
        <v>205</v>
      </c>
      <c r="T8" s="42" t="s">
        <v>199</v>
      </c>
      <c r="U8" s="64"/>
      <c r="V8" s="42" t="s">
        <v>200</v>
      </c>
      <c r="W8" s="64"/>
      <c r="X8" s="66" t="s">
        <v>180</v>
      </c>
      <c r="Y8" s="67" t="s">
        <v>181</v>
      </c>
      <c r="Z8" s="66" t="s">
        <v>182</v>
      </c>
      <c r="AA8" s="68" t="s">
        <v>174</v>
      </c>
      <c r="AB8" s="68" t="s">
        <v>183</v>
      </c>
      <c r="AC8" s="69">
        <v>10.0</v>
      </c>
      <c r="AD8" s="69">
        <v>100.0</v>
      </c>
      <c r="AE8" s="69">
        <v>90.0</v>
      </c>
      <c r="AF8" s="69">
        <v>95.0</v>
      </c>
      <c r="AG8" s="69">
        <v>92.0</v>
      </c>
      <c r="AH8" s="69">
        <v>15.68</v>
      </c>
      <c r="AI8" s="69">
        <v>28.5</v>
      </c>
      <c r="AJ8" s="69">
        <v>75.0</v>
      </c>
      <c r="AK8" s="69">
        <v>85.0</v>
      </c>
      <c r="AL8" s="70">
        <v>56.9</v>
      </c>
      <c r="AM8" s="71">
        <v>8.0</v>
      </c>
      <c r="AN8" s="71">
        <v>34.0</v>
      </c>
      <c r="AO8" s="70">
        <v>1095.0</v>
      </c>
      <c r="AP8" s="68" t="s">
        <v>194</v>
      </c>
      <c r="AQ8" s="68" t="s">
        <v>195</v>
      </c>
      <c r="AR8" s="70">
        <v>3.0</v>
      </c>
      <c r="AS8" s="71">
        <v>2.0</v>
      </c>
      <c r="AT8" s="70">
        <v>18.0</v>
      </c>
      <c r="AU8" s="70">
        <v>38.9</v>
      </c>
      <c r="AV8" s="71">
        <v>31.0</v>
      </c>
      <c r="AW8" s="71">
        <v>57.0</v>
      </c>
    </row>
    <row r="9">
      <c r="A9" s="42" t="s">
        <v>207</v>
      </c>
      <c r="B9" s="63">
        <v>113.0</v>
      </c>
      <c r="C9" s="63">
        <v>0.0</v>
      </c>
      <c r="D9" s="63">
        <v>0.0</v>
      </c>
      <c r="E9" s="63">
        <v>1460.0</v>
      </c>
      <c r="F9" s="63">
        <v>1460.0</v>
      </c>
      <c r="G9" s="42" t="s">
        <v>172</v>
      </c>
      <c r="H9" s="63" t="s">
        <v>173</v>
      </c>
      <c r="I9" s="64"/>
      <c r="J9" s="42" t="s">
        <v>174</v>
      </c>
      <c r="K9" s="42" t="s">
        <v>188</v>
      </c>
      <c r="L9" s="65"/>
      <c r="M9" s="65"/>
      <c r="N9" s="65"/>
      <c r="O9" s="65"/>
      <c r="P9" s="42" t="s">
        <v>172</v>
      </c>
      <c r="Q9" s="42" t="s">
        <v>189</v>
      </c>
      <c r="R9" s="42" t="s">
        <v>174</v>
      </c>
      <c r="S9" s="42" t="s">
        <v>202</v>
      </c>
      <c r="T9" s="42" t="s">
        <v>199</v>
      </c>
      <c r="U9" s="64"/>
      <c r="V9" s="42" t="s">
        <v>203</v>
      </c>
      <c r="W9" s="64"/>
      <c r="X9" s="66" t="s">
        <v>180</v>
      </c>
      <c r="Y9" s="67" t="s">
        <v>181</v>
      </c>
      <c r="Z9" s="66" t="s">
        <v>182</v>
      </c>
      <c r="AA9" s="68" t="s">
        <v>174</v>
      </c>
      <c r="AB9" s="68" t="s">
        <v>183</v>
      </c>
      <c r="AC9" s="69">
        <v>10.0</v>
      </c>
      <c r="AD9" s="69">
        <v>100.0</v>
      </c>
      <c r="AE9" s="69">
        <v>90.0</v>
      </c>
      <c r="AF9" s="69">
        <v>50.0</v>
      </c>
      <c r="AG9" s="69">
        <v>74.0</v>
      </c>
      <c r="AH9" s="69">
        <v>15.82</v>
      </c>
      <c r="AI9" s="69">
        <v>29.4</v>
      </c>
      <c r="AJ9" s="69">
        <v>75.0</v>
      </c>
      <c r="AK9" s="69">
        <v>85.0</v>
      </c>
      <c r="AL9" s="70">
        <v>53.5</v>
      </c>
      <c r="AM9" s="71">
        <v>30.0</v>
      </c>
      <c r="AN9" s="71">
        <v>56.0</v>
      </c>
      <c r="AO9" s="70">
        <v>1460.0</v>
      </c>
      <c r="AP9" s="68" t="s">
        <v>194</v>
      </c>
      <c r="AQ9" s="68" t="s">
        <v>195</v>
      </c>
      <c r="AR9" s="70">
        <v>3.0</v>
      </c>
      <c r="AS9" s="71">
        <v>2.0</v>
      </c>
      <c r="AT9" s="70">
        <v>18.0</v>
      </c>
      <c r="AU9" s="70">
        <v>35.5</v>
      </c>
      <c r="AV9" s="71">
        <v>39.0</v>
      </c>
      <c r="AW9" s="71">
        <v>65.0</v>
      </c>
    </row>
    <row r="10">
      <c r="A10" s="42" t="s">
        <v>208</v>
      </c>
      <c r="B10" s="63">
        <v>114.0</v>
      </c>
      <c r="C10" s="63">
        <v>0.0</v>
      </c>
      <c r="D10" s="63">
        <v>0.0</v>
      </c>
      <c r="E10" s="63">
        <v>1825.0</v>
      </c>
      <c r="F10" s="63">
        <v>1825.0</v>
      </c>
      <c r="G10" s="42" t="s">
        <v>172</v>
      </c>
      <c r="H10" s="63" t="s">
        <v>173</v>
      </c>
      <c r="I10" s="64"/>
      <c r="J10" s="42" t="s">
        <v>174</v>
      </c>
      <c r="K10" s="42" t="s">
        <v>188</v>
      </c>
      <c r="L10" s="65"/>
      <c r="M10" s="65"/>
      <c r="N10" s="65"/>
      <c r="O10" s="65"/>
      <c r="P10" s="42" t="s">
        <v>172</v>
      </c>
      <c r="Q10" s="42" t="s">
        <v>189</v>
      </c>
      <c r="R10" s="42" t="s">
        <v>174</v>
      </c>
      <c r="S10" s="42" t="s">
        <v>202</v>
      </c>
      <c r="T10" s="42" t="s">
        <v>199</v>
      </c>
      <c r="U10" s="64"/>
      <c r="V10" s="42" t="s">
        <v>203</v>
      </c>
      <c r="W10" s="64"/>
      <c r="X10" s="66" t="s">
        <v>180</v>
      </c>
      <c r="Y10" s="67" t="s">
        <v>181</v>
      </c>
      <c r="Z10" s="66" t="s">
        <v>182</v>
      </c>
      <c r="AA10" s="68" t="s">
        <v>174</v>
      </c>
      <c r="AB10" s="68" t="s">
        <v>183</v>
      </c>
      <c r="AC10" s="69">
        <v>10.0</v>
      </c>
      <c r="AD10" s="69">
        <v>100.0</v>
      </c>
      <c r="AE10" s="69">
        <v>90.0</v>
      </c>
      <c r="AF10" s="69">
        <v>50.0</v>
      </c>
      <c r="AG10" s="69">
        <v>74.0</v>
      </c>
      <c r="AH10" s="69">
        <v>15.96</v>
      </c>
      <c r="AI10" s="69">
        <v>30.3</v>
      </c>
      <c r="AJ10" s="69">
        <v>75.0</v>
      </c>
      <c r="AK10" s="69">
        <v>85.0</v>
      </c>
      <c r="AL10" s="70">
        <v>53.7</v>
      </c>
      <c r="AM10" s="71">
        <v>29.0</v>
      </c>
      <c r="AN10" s="71">
        <v>55.0</v>
      </c>
      <c r="AO10" s="70">
        <v>1825.0</v>
      </c>
      <c r="AP10" s="68" t="s">
        <v>194</v>
      </c>
      <c r="AQ10" s="68" t="s">
        <v>195</v>
      </c>
      <c r="AR10" s="70">
        <v>2.0</v>
      </c>
      <c r="AS10" s="71">
        <v>1.0</v>
      </c>
      <c r="AT10" s="70">
        <v>14.0</v>
      </c>
      <c r="AU10" s="70">
        <v>39.7</v>
      </c>
      <c r="AV10" s="71">
        <v>30.0</v>
      </c>
      <c r="AW10" s="71">
        <v>56.0</v>
      </c>
    </row>
    <row r="11">
      <c r="A11" s="42" t="s">
        <v>209</v>
      </c>
      <c r="B11" s="63">
        <v>108.0</v>
      </c>
      <c r="C11" s="63">
        <v>0.0</v>
      </c>
      <c r="D11" s="63">
        <v>0.0</v>
      </c>
      <c r="E11" s="63">
        <v>1095.0</v>
      </c>
      <c r="F11" s="63">
        <v>1095.0</v>
      </c>
      <c r="G11" s="42" t="s">
        <v>172</v>
      </c>
      <c r="H11" s="66" t="s">
        <v>210</v>
      </c>
      <c r="I11" s="64"/>
      <c r="J11" s="42" t="s">
        <v>174</v>
      </c>
      <c r="K11" s="42" t="s">
        <v>188</v>
      </c>
      <c r="L11" s="65"/>
      <c r="M11" s="65"/>
      <c r="N11" s="65"/>
      <c r="O11" s="65"/>
      <c r="P11" s="42" t="s">
        <v>172</v>
      </c>
      <c r="Q11" s="42" t="s">
        <v>189</v>
      </c>
      <c r="R11" s="42" t="s">
        <v>174</v>
      </c>
      <c r="S11" s="42" t="s">
        <v>211</v>
      </c>
      <c r="T11" s="42" t="s">
        <v>199</v>
      </c>
      <c r="U11" s="64"/>
      <c r="V11" s="42" t="s">
        <v>200</v>
      </c>
      <c r="W11" s="64"/>
      <c r="X11" s="66" t="s">
        <v>180</v>
      </c>
      <c r="Y11" s="67" t="s">
        <v>181</v>
      </c>
      <c r="Z11" s="66" t="s">
        <v>182</v>
      </c>
      <c r="AA11" s="68" t="s">
        <v>174</v>
      </c>
      <c r="AB11" s="68" t="s">
        <v>183</v>
      </c>
      <c r="AC11" s="69">
        <v>10.0</v>
      </c>
      <c r="AD11" s="69">
        <v>0.0</v>
      </c>
      <c r="AE11" s="69">
        <v>90.0</v>
      </c>
      <c r="AF11" s="69">
        <v>95.0</v>
      </c>
      <c r="AG11" s="69">
        <v>92.0</v>
      </c>
      <c r="AH11" s="69">
        <v>15.12</v>
      </c>
      <c r="AI11" s="69">
        <v>24.8</v>
      </c>
      <c r="AJ11" s="69">
        <v>75.0</v>
      </c>
      <c r="AK11" s="69">
        <v>85.0</v>
      </c>
      <c r="AL11" s="70">
        <v>38.1</v>
      </c>
      <c r="AM11" s="71">
        <v>51.0</v>
      </c>
      <c r="AN11" s="71">
        <v>77.0</v>
      </c>
      <c r="AO11" s="70">
        <v>1095.0</v>
      </c>
      <c r="AP11" s="68" t="s">
        <v>194</v>
      </c>
      <c r="AQ11" s="68" t="s">
        <v>195</v>
      </c>
      <c r="AR11" s="70">
        <v>5.0</v>
      </c>
      <c r="AS11" s="71">
        <v>3.0</v>
      </c>
      <c r="AT11" s="70">
        <v>18.0</v>
      </c>
      <c r="AU11" s="70">
        <v>20.1</v>
      </c>
      <c r="AV11" s="71">
        <v>51.0</v>
      </c>
      <c r="AW11" s="71">
        <v>77.0</v>
      </c>
    </row>
    <row r="12">
      <c r="A12" s="42" t="s">
        <v>212</v>
      </c>
      <c r="B12" s="63">
        <v>100.0</v>
      </c>
      <c r="C12" s="63">
        <v>13.16</v>
      </c>
      <c r="D12" s="63">
        <v>0.0</v>
      </c>
      <c r="E12" s="63">
        <v>730.0</v>
      </c>
      <c r="F12" s="63">
        <v>730.0</v>
      </c>
      <c r="G12" s="42" t="s">
        <v>172</v>
      </c>
      <c r="H12" s="66" t="s">
        <v>213</v>
      </c>
      <c r="I12" s="64"/>
      <c r="J12" s="42" t="s">
        <v>174</v>
      </c>
      <c r="K12" s="42" t="s">
        <v>188</v>
      </c>
      <c r="L12" s="65"/>
      <c r="M12" s="65"/>
      <c r="N12" s="65"/>
      <c r="O12" s="65"/>
      <c r="P12" s="42" t="s">
        <v>172</v>
      </c>
      <c r="Q12" s="42" t="s">
        <v>214</v>
      </c>
      <c r="R12" s="42" t="s">
        <v>174</v>
      </c>
      <c r="S12" s="42" t="s">
        <v>215</v>
      </c>
      <c r="T12" s="42" t="s">
        <v>199</v>
      </c>
      <c r="U12" s="64"/>
      <c r="V12" s="42" t="s">
        <v>200</v>
      </c>
      <c r="W12" s="64"/>
      <c r="X12" s="66" t="s">
        <v>180</v>
      </c>
      <c r="Y12" s="67" t="s">
        <v>181</v>
      </c>
      <c r="Z12" s="66" t="s">
        <v>182</v>
      </c>
      <c r="AA12" s="68" t="s">
        <v>174</v>
      </c>
      <c r="AB12" s="68" t="s">
        <v>183</v>
      </c>
      <c r="AC12" s="69">
        <v>10.0</v>
      </c>
      <c r="AD12" s="69">
        <v>80.0</v>
      </c>
      <c r="AE12" s="69">
        <v>90.0</v>
      </c>
      <c r="AF12" s="69">
        <v>95.0</v>
      </c>
      <c r="AG12" s="69">
        <v>92.0</v>
      </c>
      <c r="AH12" s="69">
        <v>14.0</v>
      </c>
      <c r="AI12" s="69">
        <v>17.5</v>
      </c>
      <c r="AJ12" s="69">
        <v>75.0</v>
      </c>
      <c r="AK12" s="69">
        <v>85.0</v>
      </c>
      <c r="AL12" s="70">
        <v>50.9</v>
      </c>
      <c r="AM12" s="71">
        <v>41.0</v>
      </c>
      <c r="AN12" s="71">
        <v>68.0</v>
      </c>
      <c r="AO12" s="70">
        <v>730.0</v>
      </c>
      <c r="AP12" s="68" t="s">
        <v>194</v>
      </c>
      <c r="AQ12" s="68" t="s">
        <v>195</v>
      </c>
      <c r="AR12" s="70">
        <v>11.0</v>
      </c>
      <c r="AS12" s="71">
        <v>11.0</v>
      </c>
      <c r="AT12" s="70">
        <v>18.0</v>
      </c>
      <c r="AU12" s="70">
        <v>32.9</v>
      </c>
      <c r="AV12" s="71">
        <v>44.0</v>
      </c>
      <c r="AW12" s="71">
        <v>71.0</v>
      </c>
    </row>
    <row r="13">
      <c r="A13" s="42" t="s">
        <v>216</v>
      </c>
      <c r="B13" s="63">
        <v>100.0</v>
      </c>
      <c r="C13" s="63">
        <v>13.12</v>
      </c>
      <c r="D13" s="63">
        <v>0.0</v>
      </c>
      <c r="E13" s="63">
        <v>1095.0</v>
      </c>
      <c r="F13" s="63">
        <v>1095.0</v>
      </c>
      <c r="G13" s="42" t="s">
        <v>172</v>
      </c>
      <c r="H13" s="66" t="s">
        <v>213</v>
      </c>
      <c r="I13" s="64"/>
      <c r="J13" s="42" t="s">
        <v>174</v>
      </c>
      <c r="K13" s="42" t="s">
        <v>188</v>
      </c>
      <c r="L13" s="65"/>
      <c r="M13" s="65"/>
      <c r="N13" s="65"/>
      <c r="O13" s="65"/>
      <c r="P13" s="42" t="s">
        <v>172</v>
      </c>
      <c r="Q13" s="42" t="s">
        <v>214</v>
      </c>
      <c r="R13" s="42" t="s">
        <v>174</v>
      </c>
      <c r="S13" s="42" t="s">
        <v>217</v>
      </c>
      <c r="T13" s="42" t="s">
        <v>199</v>
      </c>
      <c r="U13" s="64"/>
      <c r="V13" s="42" t="s">
        <v>200</v>
      </c>
      <c r="W13" s="64"/>
      <c r="X13" s="66" t="s">
        <v>180</v>
      </c>
      <c r="Y13" s="67" t="s">
        <v>181</v>
      </c>
      <c r="Z13" s="66" t="s">
        <v>182</v>
      </c>
      <c r="AA13" s="68" t="s">
        <v>174</v>
      </c>
      <c r="AB13" s="68" t="s">
        <v>183</v>
      </c>
      <c r="AC13" s="69">
        <v>10.0</v>
      </c>
      <c r="AD13" s="69">
        <v>80.0</v>
      </c>
      <c r="AE13" s="69">
        <v>90.0</v>
      </c>
      <c r="AF13" s="69">
        <v>95.0</v>
      </c>
      <c r="AG13" s="69">
        <v>92.0</v>
      </c>
      <c r="AH13" s="69">
        <v>14.0</v>
      </c>
      <c r="AI13" s="69">
        <v>17.5</v>
      </c>
      <c r="AJ13" s="69">
        <v>75.0</v>
      </c>
      <c r="AK13" s="69">
        <v>85.0</v>
      </c>
      <c r="AL13" s="70">
        <v>50.9</v>
      </c>
      <c r="AM13" s="71">
        <v>42.0</v>
      </c>
      <c r="AN13" s="71">
        <v>69.0</v>
      </c>
      <c r="AO13" s="70">
        <v>1095.0</v>
      </c>
      <c r="AP13" s="68" t="s">
        <v>194</v>
      </c>
      <c r="AQ13" s="68" t="s">
        <v>195</v>
      </c>
      <c r="AR13" s="70">
        <v>11.0</v>
      </c>
      <c r="AS13" s="71">
        <v>11.0</v>
      </c>
      <c r="AT13" s="70">
        <v>18.0</v>
      </c>
      <c r="AU13" s="70">
        <v>32.9</v>
      </c>
      <c r="AV13" s="71">
        <v>45.0</v>
      </c>
      <c r="AW13" s="71">
        <v>72.0</v>
      </c>
    </row>
    <row r="14">
      <c r="A14" s="42" t="s">
        <v>218</v>
      </c>
      <c r="B14" s="63">
        <v>105.0</v>
      </c>
      <c r="C14" s="63">
        <v>109.0</v>
      </c>
      <c r="D14" s="63">
        <v>0.0</v>
      </c>
      <c r="E14" s="63">
        <v>1825.0</v>
      </c>
      <c r="F14" s="63">
        <v>0.0</v>
      </c>
      <c r="G14" s="42" t="s">
        <v>172</v>
      </c>
      <c r="H14" s="63" t="s">
        <v>219</v>
      </c>
      <c r="I14" s="75" t="s">
        <v>220</v>
      </c>
      <c r="J14" s="42" t="s">
        <v>174</v>
      </c>
      <c r="K14" s="42" t="s">
        <v>188</v>
      </c>
      <c r="L14" s="65"/>
      <c r="M14" s="65"/>
      <c r="N14" s="65"/>
      <c r="O14" s="65"/>
      <c r="P14" s="42" t="s">
        <v>172</v>
      </c>
      <c r="Q14" s="42" t="s">
        <v>221</v>
      </c>
      <c r="R14" s="42" t="s">
        <v>174</v>
      </c>
      <c r="S14" s="42" t="s">
        <v>222</v>
      </c>
      <c r="T14" s="42" t="s">
        <v>199</v>
      </c>
      <c r="U14" s="75" t="s">
        <v>223</v>
      </c>
      <c r="V14" s="42" t="s">
        <v>200</v>
      </c>
      <c r="W14" s="75" t="s">
        <v>223</v>
      </c>
      <c r="X14" s="75" t="s">
        <v>224</v>
      </c>
      <c r="Y14" s="67" t="s">
        <v>181</v>
      </c>
      <c r="Z14" s="75" t="s">
        <v>225</v>
      </c>
      <c r="AA14" s="68" t="s">
        <v>174</v>
      </c>
      <c r="AB14" s="68" t="s">
        <v>226</v>
      </c>
      <c r="AC14" s="69">
        <v>100.0</v>
      </c>
      <c r="AD14" s="69">
        <v>100.0</v>
      </c>
      <c r="AE14" s="69">
        <v>90.0</v>
      </c>
      <c r="AF14" s="69">
        <v>95.0</v>
      </c>
      <c r="AG14" s="69">
        <v>92.0</v>
      </c>
      <c r="AH14" s="69">
        <v>14.7</v>
      </c>
      <c r="AI14" s="69">
        <v>22.1</v>
      </c>
      <c r="AJ14" s="69">
        <v>75.0</v>
      </c>
      <c r="AK14" s="69">
        <v>85.0</v>
      </c>
      <c r="AL14" s="70">
        <v>78.0</v>
      </c>
      <c r="AM14" s="71">
        <v>2.0</v>
      </c>
      <c r="AN14" s="71">
        <v>3.0</v>
      </c>
      <c r="AO14" s="70">
        <v>0.0</v>
      </c>
      <c r="AP14" s="68" t="s">
        <v>194</v>
      </c>
      <c r="AQ14" s="68" t="s">
        <v>195</v>
      </c>
      <c r="AR14" s="70">
        <v>0.0</v>
      </c>
      <c r="AS14" s="71">
        <v>0.0</v>
      </c>
      <c r="AT14" s="70">
        <v>0.0</v>
      </c>
      <c r="AU14" s="70">
        <v>78.0</v>
      </c>
      <c r="AV14" s="71">
        <v>2.0</v>
      </c>
      <c r="AW14" s="71">
        <v>3.0</v>
      </c>
    </row>
    <row r="15">
      <c r="A15" s="42" t="s">
        <v>227</v>
      </c>
      <c r="B15" s="63">
        <v>8.65</v>
      </c>
      <c r="C15" s="63">
        <v>0.0</v>
      </c>
      <c r="D15" s="63">
        <v>0.0</v>
      </c>
      <c r="E15" s="63">
        <v>1825.0</v>
      </c>
      <c r="F15" s="63">
        <v>1825.0</v>
      </c>
      <c r="G15" s="42" t="s">
        <v>172</v>
      </c>
      <c r="H15" s="63" t="s">
        <v>219</v>
      </c>
      <c r="I15" s="64"/>
      <c r="J15" s="42" t="s">
        <v>174</v>
      </c>
      <c r="K15" s="42" t="s">
        <v>188</v>
      </c>
      <c r="L15" s="65"/>
      <c r="M15" s="65"/>
      <c r="N15" s="65"/>
      <c r="O15" s="65"/>
      <c r="P15" s="42" t="s">
        <v>172</v>
      </c>
      <c r="Q15" s="42" t="s">
        <v>228</v>
      </c>
      <c r="R15" s="42" t="s">
        <v>174</v>
      </c>
      <c r="S15" s="42" t="s">
        <v>202</v>
      </c>
      <c r="T15" s="42" t="s">
        <v>199</v>
      </c>
      <c r="U15" s="64"/>
      <c r="V15" s="42" t="s">
        <v>203</v>
      </c>
      <c r="W15" s="64"/>
      <c r="X15" s="66" t="s">
        <v>180</v>
      </c>
      <c r="Y15" s="67" t="s">
        <v>181</v>
      </c>
      <c r="Z15" s="66" t="s">
        <v>182</v>
      </c>
      <c r="AA15" s="68" t="s">
        <v>174</v>
      </c>
      <c r="AB15" s="68" t="s">
        <v>183</v>
      </c>
      <c r="AC15" s="69">
        <v>10.0</v>
      </c>
      <c r="AD15" s="69">
        <v>100.0</v>
      </c>
      <c r="AE15" s="69">
        <v>90.0</v>
      </c>
      <c r="AF15" s="69">
        <v>50.0</v>
      </c>
      <c r="AG15" s="69">
        <v>74.0</v>
      </c>
      <c r="AH15" s="69">
        <v>13.15</v>
      </c>
      <c r="AI15" s="69">
        <v>11.9</v>
      </c>
      <c r="AJ15" s="69">
        <v>75.0</v>
      </c>
      <c r="AK15" s="69">
        <v>85.0</v>
      </c>
      <c r="AL15" s="70">
        <v>49.7</v>
      </c>
      <c r="AM15" s="71">
        <v>46.0</v>
      </c>
      <c r="AN15" s="71">
        <v>73.0</v>
      </c>
      <c r="AO15" s="70">
        <v>1825.0</v>
      </c>
      <c r="AP15" s="68" t="s">
        <v>194</v>
      </c>
      <c r="AQ15" s="68" t="s">
        <v>195</v>
      </c>
      <c r="AR15" s="70">
        <v>15.0</v>
      </c>
      <c r="AS15" s="71">
        <v>15.0</v>
      </c>
      <c r="AT15" s="70">
        <v>18.0</v>
      </c>
      <c r="AU15" s="70">
        <v>31.7</v>
      </c>
      <c r="AV15" s="71">
        <v>46.0</v>
      </c>
      <c r="AW15" s="71">
        <v>73.0</v>
      </c>
    </row>
    <row r="16">
      <c r="A16" s="42" t="s">
        <v>229</v>
      </c>
      <c r="B16" s="63">
        <v>8.68</v>
      </c>
      <c r="C16" s="63">
        <v>0.0</v>
      </c>
      <c r="D16" s="63">
        <v>0.0</v>
      </c>
      <c r="E16" s="63">
        <v>1095.0</v>
      </c>
      <c r="F16" s="63">
        <v>1095.0</v>
      </c>
      <c r="G16" s="42" t="s">
        <v>172</v>
      </c>
      <c r="H16" s="63" t="s">
        <v>219</v>
      </c>
      <c r="I16" s="64"/>
      <c r="J16" s="42" t="s">
        <v>174</v>
      </c>
      <c r="K16" s="42" t="s">
        <v>188</v>
      </c>
      <c r="L16" s="65"/>
      <c r="M16" s="65"/>
      <c r="N16" s="65"/>
      <c r="O16" s="65"/>
      <c r="P16" s="42" t="s">
        <v>172</v>
      </c>
      <c r="Q16" s="42" t="s">
        <v>228</v>
      </c>
      <c r="R16" s="42" t="s">
        <v>174</v>
      </c>
      <c r="S16" s="42" t="s">
        <v>205</v>
      </c>
      <c r="T16" s="42" t="s">
        <v>199</v>
      </c>
      <c r="U16" s="64"/>
      <c r="V16" s="42" t="s">
        <v>200</v>
      </c>
      <c r="W16" s="64"/>
      <c r="X16" s="66" t="s">
        <v>180</v>
      </c>
      <c r="Y16" s="67" t="s">
        <v>181</v>
      </c>
      <c r="Z16" s="66" t="s">
        <v>182</v>
      </c>
      <c r="AA16" s="68" t="s">
        <v>174</v>
      </c>
      <c r="AB16" s="68" t="s">
        <v>183</v>
      </c>
      <c r="AC16" s="69">
        <v>10.0</v>
      </c>
      <c r="AD16" s="69">
        <v>100.0</v>
      </c>
      <c r="AE16" s="69">
        <v>90.0</v>
      </c>
      <c r="AF16" s="69">
        <v>95.0</v>
      </c>
      <c r="AG16" s="69">
        <v>92.0</v>
      </c>
      <c r="AH16" s="69">
        <v>13.18</v>
      </c>
      <c r="AI16" s="69">
        <v>12.1</v>
      </c>
      <c r="AJ16" s="69">
        <v>75.0</v>
      </c>
      <c r="AK16" s="69">
        <v>85.0</v>
      </c>
      <c r="AL16" s="70">
        <v>53.3</v>
      </c>
      <c r="AM16" s="71">
        <v>31.0</v>
      </c>
      <c r="AN16" s="71">
        <v>57.0</v>
      </c>
      <c r="AO16" s="70">
        <v>1095.0</v>
      </c>
      <c r="AP16" s="68" t="s">
        <v>194</v>
      </c>
      <c r="AQ16" s="68" t="s">
        <v>195</v>
      </c>
      <c r="AR16" s="70">
        <v>10.0</v>
      </c>
      <c r="AS16" s="71">
        <v>10.0</v>
      </c>
      <c r="AT16" s="70">
        <v>18.0</v>
      </c>
      <c r="AU16" s="70">
        <v>35.3</v>
      </c>
      <c r="AV16" s="71">
        <v>40.0</v>
      </c>
      <c r="AW16" s="71">
        <v>66.0</v>
      </c>
    </row>
    <row r="17">
      <c r="A17" s="42" t="s">
        <v>230</v>
      </c>
      <c r="B17" s="63">
        <v>8.69</v>
      </c>
      <c r="C17" s="63">
        <v>0.0</v>
      </c>
      <c r="D17" s="63">
        <v>0.0</v>
      </c>
      <c r="E17" s="63">
        <v>1460.0</v>
      </c>
      <c r="F17" s="63">
        <v>1460.0</v>
      </c>
      <c r="G17" s="42" t="s">
        <v>172</v>
      </c>
      <c r="H17" s="63" t="s">
        <v>219</v>
      </c>
      <c r="I17" s="64"/>
      <c r="J17" s="42" t="s">
        <v>174</v>
      </c>
      <c r="K17" s="42" t="s">
        <v>188</v>
      </c>
      <c r="L17" s="65"/>
      <c r="M17" s="65"/>
      <c r="N17" s="65"/>
      <c r="O17" s="65"/>
      <c r="P17" s="42" t="s">
        <v>172</v>
      </c>
      <c r="Q17" s="42" t="s">
        <v>228</v>
      </c>
      <c r="R17" s="42" t="s">
        <v>174</v>
      </c>
      <c r="S17" s="42" t="s">
        <v>202</v>
      </c>
      <c r="T17" s="42" t="s">
        <v>199</v>
      </c>
      <c r="U17" s="64"/>
      <c r="V17" s="42" t="s">
        <v>203</v>
      </c>
      <c r="W17" s="64"/>
      <c r="X17" s="66" t="s">
        <v>180</v>
      </c>
      <c r="Y17" s="67" t="s">
        <v>181</v>
      </c>
      <c r="Z17" s="66" t="s">
        <v>182</v>
      </c>
      <c r="AA17" s="68" t="s">
        <v>174</v>
      </c>
      <c r="AB17" s="68" t="s">
        <v>183</v>
      </c>
      <c r="AC17" s="69">
        <v>10.0</v>
      </c>
      <c r="AD17" s="69">
        <v>100.0</v>
      </c>
      <c r="AE17" s="69">
        <v>90.0</v>
      </c>
      <c r="AF17" s="69">
        <v>50.0</v>
      </c>
      <c r="AG17" s="69">
        <v>74.0</v>
      </c>
      <c r="AH17" s="69">
        <v>13.19</v>
      </c>
      <c r="AI17" s="69">
        <v>12.2</v>
      </c>
      <c r="AJ17" s="69">
        <v>75.0</v>
      </c>
      <c r="AK17" s="69">
        <v>85.0</v>
      </c>
      <c r="AL17" s="70">
        <v>49.7</v>
      </c>
      <c r="AM17" s="71">
        <v>47.0</v>
      </c>
      <c r="AN17" s="71">
        <v>74.0</v>
      </c>
      <c r="AO17" s="70">
        <v>1460.0</v>
      </c>
      <c r="AP17" s="68" t="s">
        <v>194</v>
      </c>
      <c r="AQ17" s="68" t="s">
        <v>195</v>
      </c>
      <c r="AR17" s="70">
        <v>15.0</v>
      </c>
      <c r="AS17" s="71">
        <v>15.0</v>
      </c>
      <c r="AT17" s="70">
        <v>18.0</v>
      </c>
      <c r="AU17" s="70">
        <v>31.7</v>
      </c>
      <c r="AV17" s="71">
        <v>47.0</v>
      </c>
      <c r="AW17" s="71">
        <v>74.0</v>
      </c>
    </row>
    <row r="18">
      <c r="A18" s="42" t="s">
        <v>231</v>
      </c>
      <c r="B18" s="63">
        <v>9.01</v>
      </c>
      <c r="C18" s="63">
        <v>0.0</v>
      </c>
      <c r="D18" s="63">
        <v>0.0</v>
      </c>
      <c r="E18" s="63">
        <v>730.0</v>
      </c>
      <c r="F18" s="63">
        <v>730.0</v>
      </c>
      <c r="G18" s="42" t="s">
        <v>172</v>
      </c>
      <c r="H18" s="63" t="s">
        <v>219</v>
      </c>
      <c r="I18" s="76"/>
      <c r="J18" s="42" t="s">
        <v>174</v>
      </c>
      <c r="K18" s="42" t="s">
        <v>188</v>
      </c>
      <c r="L18" s="65"/>
      <c r="M18" s="65"/>
      <c r="N18" s="65"/>
      <c r="O18" s="65"/>
      <c r="P18" s="42" t="s">
        <v>172</v>
      </c>
      <c r="Q18" s="42" t="s">
        <v>228</v>
      </c>
      <c r="R18" s="42" t="s">
        <v>174</v>
      </c>
      <c r="S18" s="42" t="s">
        <v>205</v>
      </c>
      <c r="T18" s="42" t="s">
        <v>199</v>
      </c>
      <c r="U18" s="76"/>
      <c r="V18" s="42" t="s">
        <v>200</v>
      </c>
      <c r="W18" s="76"/>
      <c r="X18" s="75" t="s">
        <v>224</v>
      </c>
      <c r="Y18" s="67" t="s">
        <v>181</v>
      </c>
      <c r="Z18" s="75" t="s">
        <v>182</v>
      </c>
      <c r="AA18" s="68" t="s">
        <v>174</v>
      </c>
      <c r="AB18" s="68" t="s">
        <v>183</v>
      </c>
      <c r="AC18" s="69">
        <v>10.0</v>
      </c>
      <c r="AD18" s="69">
        <v>100.0</v>
      </c>
      <c r="AE18" s="69">
        <v>90.0</v>
      </c>
      <c r="AF18" s="69">
        <v>95.0</v>
      </c>
      <c r="AG18" s="69">
        <v>92.0</v>
      </c>
      <c r="AH18" s="69">
        <v>13.51</v>
      </c>
      <c r="AI18" s="69">
        <v>14.3</v>
      </c>
      <c r="AJ18" s="69">
        <v>75.0</v>
      </c>
      <c r="AK18" s="69">
        <v>85.0</v>
      </c>
      <c r="AL18" s="70">
        <v>53.8</v>
      </c>
      <c r="AM18" s="71">
        <v>28.0</v>
      </c>
      <c r="AN18" s="71">
        <v>54.0</v>
      </c>
      <c r="AO18" s="70">
        <v>730.0</v>
      </c>
      <c r="AP18" s="68" t="s">
        <v>194</v>
      </c>
      <c r="AQ18" s="68" t="s">
        <v>195</v>
      </c>
      <c r="AR18" s="70">
        <v>9.0</v>
      </c>
      <c r="AS18" s="71">
        <v>10.0</v>
      </c>
      <c r="AT18" s="70">
        <v>18.0</v>
      </c>
      <c r="AU18" s="70">
        <v>35.8</v>
      </c>
      <c r="AV18" s="71">
        <v>38.0</v>
      </c>
      <c r="AW18" s="71">
        <v>64.0</v>
      </c>
    </row>
    <row r="19">
      <c r="A19" s="42" t="s">
        <v>232</v>
      </c>
      <c r="B19" s="63">
        <v>14.84</v>
      </c>
      <c r="C19" s="63">
        <v>0.0</v>
      </c>
      <c r="D19" s="63">
        <v>0.0</v>
      </c>
      <c r="E19" s="63">
        <v>1095.0</v>
      </c>
      <c r="F19" s="63">
        <v>1095.0</v>
      </c>
      <c r="G19" s="42" t="s">
        <v>172</v>
      </c>
      <c r="H19" s="63" t="s">
        <v>219</v>
      </c>
      <c r="I19" s="64"/>
      <c r="J19" s="42" t="s">
        <v>174</v>
      </c>
      <c r="K19" s="42" t="s">
        <v>188</v>
      </c>
      <c r="L19" s="65"/>
      <c r="M19" s="65"/>
      <c r="N19" s="65"/>
      <c r="O19" s="65"/>
      <c r="P19" s="42" t="s">
        <v>172</v>
      </c>
      <c r="Q19" s="42" t="s">
        <v>233</v>
      </c>
      <c r="R19" s="42" t="s">
        <v>174</v>
      </c>
      <c r="S19" s="42" t="s">
        <v>205</v>
      </c>
      <c r="T19" s="42" t="s">
        <v>199</v>
      </c>
      <c r="U19" s="64"/>
      <c r="V19" s="42" t="s">
        <v>200</v>
      </c>
      <c r="W19" s="64"/>
      <c r="X19" s="66" t="s">
        <v>180</v>
      </c>
      <c r="Y19" s="67" t="s">
        <v>181</v>
      </c>
      <c r="Z19" s="66" t="s">
        <v>182</v>
      </c>
      <c r="AA19" s="68" t="s">
        <v>174</v>
      </c>
      <c r="AB19" s="68" t="s">
        <v>183</v>
      </c>
      <c r="AC19" s="69">
        <v>10.0</v>
      </c>
      <c r="AD19" s="69">
        <v>100.0</v>
      </c>
      <c r="AE19" s="69">
        <v>90.0</v>
      </c>
      <c r="AF19" s="69">
        <v>95.0</v>
      </c>
      <c r="AG19" s="69">
        <v>92.0</v>
      </c>
      <c r="AH19" s="69">
        <v>14.84</v>
      </c>
      <c r="AI19" s="69">
        <v>23.0</v>
      </c>
      <c r="AJ19" s="69">
        <v>75.0</v>
      </c>
      <c r="AK19" s="69">
        <v>85.0</v>
      </c>
      <c r="AL19" s="70">
        <v>55.7</v>
      </c>
      <c r="AM19" s="71">
        <v>24.0</v>
      </c>
      <c r="AN19" s="71">
        <v>50.0</v>
      </c>
      <c r="AO19" s="70">
        <v>1095.0</v>
      </c>
      <c r="AP19" s="68" t="s">
        <v>194</v>
      </c>
      <c r="AQ19" s="68" t="s">
        <v>195</v>
      </c>
      <c r="AR19" s="70">
        <v>6.0</v>
      </c>
      <c r="AS19" s="71">
        <v>4.0</v>
      </c>
      <c r="AT19" s="70">
        <v>18.0</v>
      </c>
      <c r="AU19" s="70">
        <v>37.7</v>
      </c>
      <c r="AV19" s="71">
        <v>36.0</v>
      </c>
      <c r="AW19" s="71">
        <v>62.0</v>
      </c>
    </row>
    <row r="20">
      <c r="A20" s="42" t="s">
        <v>234</v>
      </c>
      <c r="B20" s="63">
        <v>14.88</v>
      </c>
      <c r="C20" s="63">
        <v>0.0</v>
      </c>
      <c r="D20" s="63">
        <v>0.0</v>
      </c>
      <c r="E20" s="63">
        <v>730.0</v>
      </c>
      <c r="F20" s="63">
        <v>730.0</v>
      </c>
      <c r="G20" s="42" t="s">
        <v>172</v>
      </c>
      <c r="H20" s="63" t="s">
        <v>219</v>
      </c>
      <c r="I20" s="64"/>
      <c r="J20" s="42" t="s">
        <v>174</v>
      </c>
      <c r="K20" s="42" t="s">
        <v>188</v>
      </c>
      <c r="L20" s="65"/>
      <c r="M20" s="65"/>
      <c r="N20" s="65"/>
      <c r="O20" s="65"/>
      <c r="P20" s="42" t="s">
        <v>172</v>
      </c>
      <c r="Q20" s="42" t="s">
        <v>233</v>
      </c>
      <c r="R20" s="42" t="s">
        <v>174</v>
      </c>
      <c r="S20" s="42" t="s">
        <v>205</v>
      </c>
      <c r="T20" s="42" t="s">
        <v>199</v>
      </c>
      <c r="U20" s="64"/>
      <c r="V20" s="42" t="s">
        <v>200</v>
      </c>
      <c r="W20" s="64"/>
      <c r="X20" s="66" t="s">
        <v>180</v>
      </c>
      <c r="Y20" s="67" t="s">
        <v>181</v>
      </c>
      <c r="Z20" s="66" t="s">
        <v>182</v>
      </c>
      <c r="AA20" s="68" t="s">
        <v>174</v>
      </c>
      <c r="AB20" s="68" t="s">
        <v>183</v>
      </c>
      <c r="AC20" s="69">
        <v>10.0</v>
      </c>
      <c r="AD20" s="69">
        <v>100.0</v>
      </c>
      <c r="AE20" s="69">
        <v>90.0</v>
      </c>
      <c r="AF20" s="69">
        <v>95.0</v>
      </c>
      <c r="AG20" s="69">
        <v>92.0</v>
      </c>
      <c r="AH20" s="69">
        <v>14.88</v>
      </c>
      <c r="AI20" s="69">
        <v>23.2</v>
      </c>
      <c r="AJ20" s="69">
        <v>75.0</v>
      </c>
      <c r="AK20" s="69">
        <v>85.0</v>
      </c>
      <c r="AL20" s="70">
        <v>55.8</v>
      </c>
      <c r="AM20" s="71">
        <v>23.0</v>
      </c>
      <c r="AN20" s="71">
        <v>49.0</v>
      </c>
      <c r="AO20" s="70">
        <v>730.0</v>
      </c>
      <c r="AP20" s="68" t="s">
        <v>194</v>
      </c>
      <c r="AQ20" s="68" t="s">
        <v>195</v>
      </c>
      <c r="AR20" s="70">
        <v>6.0</v>
      </c>
      <c r="AS20" s="71">
        <v>3.0</v>
      </c>
      <c r="AT20" s="70">
        <v>18.0</v>
      </c>
      <c r="AU20" s="70">
        <v>37.8</v>
      </c>
      <c r="AV20" s="71">
        <v>35.0</v>
      </c>
      <c r="AW20" s="71">
        <v>61.0</v>
      </c>
    </row>
    <row r="21">
      <c r="A21" s="42" t="s">
        <v>235</v>
      </c>
      <c r="B21" s="63">
        <v>14.9</v>
      </c>
      <c r="C21" s="63">
        <v>0.0</v>
      </c>
      <c r="D21" s="63">
        <v>0.0</v>
      </c>
      <c r="E21" s="63">
        <v>1460.0</v>
      </c>
      <c r="F21" s="63">
        <v>1460.0</v>
      </c>
      <c r="G21" s="42" t="s">
        <v>172</v>
      </c>
      <c r="H21" s="63" t="s">
        <v>219</v>
      </c>
      <c r="I21" s="64"/>
      <c r="J21" s="42" t="s">
        <v>174</v>
      </c>
      <c r="K21" s="42" t="s">
        <v>188</v>
      </c>
      <c r="L21" s="65"/>
      <c r="M21" s="65"/>
      <c r="N21" s="65"/>
      <c r="O21" s="65"/>
      <c r="P21" s="42" t="s">
        <v>172</v>
      </c>
      <c r="Q21" s="42" t="s">
        <v>233</v>
      </c>
      <c r="R21" s="42" t="s">
        <v>174</v>
      </c>
      <c r="S21" s="42" t="s">
        <v>202</v>
      </c>
      <c r="T21" s="42" t="s">
        <v>199</v>
      </c>
      <c r="U21" s="64"/>
      <c r="V21" s="42" t="s">
        <v>203</v>
      </c>
      <c r="W21" s="64"/>
      <c r="X21" s="66" t="s">
        <v>180</v>
      </c>
      <c r="Y21" s="67" t="s">
        <v>181</v>
      </c>
      <c r="Z21" s="66" t="s">
        <v>182</v>
      </c>
      <c r="AA21" s="68" t="s">
        <v>174</v>
      </c>
      <c r="AB21" s="68" t="s">
        <v>183</v>
      </c>
      <c r="AC21" s="69">
        <v>10.0</v>
      </c>
      <c r="AD21" s="69">
        <v>100.0</v>
      </c>
      <c r="AE21" s="69">
        <v>90.0</v>
      </c>
      <c r="AF21" s="69">
        <v>50.0</v>
      </c>
      <c r="AG21" s="69">
        <v>74.0</v>
      </c>
      <c r="AH21" s="69">
        <v>14.9</v>
      </c>
      <c r="AI21" s="69">
        <v>23.4</v>
      </c>
      <c r="AJ21" s="69">
        <v>75.0</v>
      </c>
      <c r="AK21" s="69">
        <v>85.0</v>
      </c>
      <c r="AL21" s="70">
        <v>52.2</v>
      </c>
      <c r="AM21" s="71">
        <v>35.0</v>
      </c>
      <c r="AN21" s="71">
        <v>62.0</v>
      </c>
      <c r="AO21" s="70">
        <v>1460.0</v>
      </c>
      <c r="AP21" s="68" t="s">
        <v>194</v>
      </c>
      <c r="AQ21" s="68" t="s">
        <v>195</v>
      </c>
      <c r="AR21" s="70">
        <v>9.0</v>
      </c>
      <c r="AS21" s="71">
        <v>5.0</v>
      </c>
      <c r="AT21" s="70">
        <v>18.0</v>
      </c>
      <c r="AU21" s="70">
        <v>34.2</v>
      </c>
      <c r="AV21" s="71">
        <v>43.0</v>
      </c>
      <c r="AW21" s="71">
        <v>70.0</v>
      </c>
    </row>
    <row r="22">
      <c r="A22" s="42" t="s">
        <v>236</v>
      </c>
      <c r="B22" s="63">
        <v>14.96</v>
      </c>
      <c r="C22" s="63">
        <v>0.0</v>
      </c>
      <c r="D22" s="63">
        <v>0.0</v>
      </c>
      <c r="E22" s="63">
        <v>1825.0</v>
      </c>
      <c r="F22" s="63">
        <v>1825.0</v>
      </c>
      <c r="G22" s="42" t="s">
        <v>172</v>
      </c>
      <c r="H22" s="63" t="s">
        <v>219</v>
      </c>
      <c r="I22" s="64"/>
      <c r="J22" s="42" t="s">
        <v>174</v>
      </c>
      <c r="K22" s="42" t="s">
        <v>188</v>
      </c>
      <c r="L22" s="65"/>
      <c r="M22" s="65"/>
      <c r="N22" s="65"/>
      <c r="O22" s="65"/>
      <c r="P22" s="42" t="s">
        <v>172</v>
      </c>
      <c r="Q22" s="42" t="s">
        <v>233</v>
      </c>
      <c r="R22" s="42" t="s">
        <v>174</v>
      </c>
      <c r="S22" s="42" t="s">
        <v>202</v>
      </c>
      <c r="T22" s="42" t="s">
        <v>199</v>
      </c>
      <c r="U22" s="64"/>
      <c r="V22" s="42" t="s">
        <v>203</v>
      </c>
      <c r="W22" s="64"/>
      <c r="X22" s="66" t="s">
        <v>180</v>
      </c>
      <c r="Y22" s="67" t="s">
        <v>181</v>
      </c>
      <c r="Z22" s="66" t="s">
        <v>182</v>
      </c>
      <c r="AA22" s="68" t="s">
        <v>174</v>
      </c>
      <c r="AB22" s="68" t="s">
        <v>183</v>
      </c>
      <c r="AC22" s="69">
        <v>10.0</v>
      </c>
      <c r="AD22" s="69">
        <v>100.0</v>
      </c>
      <c r="AE22" s="69">
        <v>90.0</v>
      </c>
      <c r="AF22" s="69">
        <v>50.0</v>
      </c>
      <c r="AG22" s="69">
        <v>74.0</v>
      </c>
      <c r="AH22" s="69">
        <v>14.96</v>
      </c>
      <c r="AI22" s="69">
        <v>23.8</v>
      </c>
      <c r="AJ22" s="69">
        <v>75.0</v>
      </c>
      <c r="AK22" s="69">
        <v>85.0</v>
      </c>
      <c r="AL22" s="70">
        <v>52.3</v>
      </c>
      <c r="AM22" s="71">
        <v>34.0</v>
      </c>
      <c r="AN22" s="71">
        <v>61.0</v>
      </c>
      <c r="AO22" s="70">
        <v>1825.0</v>
      </c>
      <c r="AP22" s="68" t="s">
        <v>194</v>
      </c>
      <c r="AQ22" s="68" t="s">
        <v>195</v>
      </c>
      <c r="AR22" s="70">
        <v>8.0</v>
      </c>
      <c r="AS22" s="71">
        <v>5.0</v>
      </c>
      <c r="AT22" s="70">
        <v>18.0</v>
      </c>
      <c r="AU22" s="70">
        <v>34.3</v>
      </c>
      <c r="AV22" s="71">
        <v>42.0</v>
      </c>
      <c r="AW22" s="71">
        <v>69.0</v>
      </c>
    </row>
    <row r="23">
      <c r="A23" s="42" t="s">
        <v>237</v>
      </c>
      <c r="B23" s="63">
        <v>107.0</v>
      </c>
      <c r="C23" s="63">
        <v>0.0</v>
      </c>
      <c r="D23" s="63">
        <v>0.0</v>
      </c>
      <c r="E23" s="63">
        <v>1096.0</v>
      </c>
      <c r="F23" s="63">
        <v>0.0</v>
      </c>
      <c r="G23" s="42" t="s">
        <v>172</v>
      </c>
      <c r="H23" s="63" t="s">
        <v>219</v>
      </c>
      <c r="I23" s="63">
        <v>5.0E8</v>
      </c>
      <c r="J23" s="42" t="s">
        <v>174</v>
      </c>
      <c r="K23" s="42" t="s">
        <v>188</v>
      </c>
      <c r="L23" s="65"/>
      <c r="M23" s="65"/>
      <c r="N23" s="65"/>
      <c r="O23" s="65"/>
      <c r="P23" s="42" t="s">
        <v>172</v>
      </c>
      <c r="Q23" s="42" t="s">
        <v>238</v>
      </c>
      <c r="R23" s="42" t="s">
        <v>174</v>
      </c>
      <c r="S23" s="42" t="s">
        <v>239</v>
      </c>
      <c r="T23" s="42" t="s">
        <v>199</v>
      </c>
      <c r="U23" s="75" t="s">
        <v>223</v>
      </c>
      <c r="V23" s="42" t="s">
        <v>179</v>
      </c>
      <c r="W23" s="75" t="s">
        <v>223</v>
      </c>
      <c r="X23" s="75" t="s">
        <v>224</v>
      </c>
      <c r="Y23" s="77" t="s">
        <v>240</v>
      </c>
      <c r="Z23" s="75" t="s">
        <v>225</v>
      </c>
      <c r="AA23" s="68" t="s">
        <v>174</v>
      </c>
      <c r="AB23" s="68" t="s">
        <v>226</v>
      </c>
      <c r="AC23" s="69">
        <v>100.0</v>
      </c>
      <c r="AD23" s="69">
        <v>100.0</v>
      </c>
      <c r="AE23" s="69">
        <v>90.0</v>
      </c>
      <c r="AF23" s="69">
        <v>60.0</v>
      </c>
      <c r="AG23" s="69">
        <v>78.0</v>
      </c>
      <c r="AH23" s="69">
        <v>14.98</v>
      </c>
      <c r="AI23" s="69">
        <v>23.9</v>
      </c>
      <c r="AJ23" s="69">
        <v>75.0</v>
      </c>
      <c r="AK23" s="69">
        <v>85.0</v>
      </c>
      <c r="AL23" s="70">
        <v>75.6</v>
      </c>
      <c r="AM23" s="71">
        <v>8.0</v>
      </c>
      <c r="AN23" s="71">
        <v>10.0</v>
      </c>
      <c r="AO23" s="70">
        <v>0.0</v>
      </c>
      <c r="AP23" s="68" t="s">
        <v>194</v>
      </c>
      <c r="AQ23" s="68" t="s">
        <v>195</v>
      </c>
      <c r="AR23" s="70">
        <v>2.0</v>
      </c>
      <c r="AS23" s="71">
        <v>2.0</v>
      </c>
      <c r="AT23" s="70">
        <v>14.0</v>
      </c>
      <c r="AU23" s="70">
        <v>61.6</v>
      </c>
      <c r="AV23" s="71">
        <v>9.0</v>
      </c>
      <c r="AW23" s="71">
        <v>14.0</v>
      </c>
    </row>
    <row r="24">
      <c r="A24" s="42" t="s">
        <v>241</v>
      </c>
      <c r="B24" s="63">
        <v>15.0</v>
      </c>
      <c r="C24" s="63">
        <v>0.0</v>
      </c>
      <c r="D24" s="63">
        <v>0.0</v>
      </c>
      <c r="E24" s="63">
        <v>90.0</v>
      </c>
      <c r="F24" s="63">
        <v>90.0</v>
      </c>
      <c r="G24" s="42" t="s">
        <v>172</v>
      </c>
      <c r="H24" s="63" t="s">
        <v>213</v>
      </c>
      <c r="I24" s="64"/>
      <c r="J24" s="42" t="s">
        <v>174</v>
      </c>
      <c r="K24" s="42" t="s">
        <v>188</v>
      </c>
      <c r="L24" s="65"/>
      <c r="M24" s="65"/>
      <c r="N24" s="65"/>
      <c r="O24" s="65"/>
      <c r="P24" s="42" t="s">
        <v>172</v>
      </c>
      <c r="Q24" s="42" t="s">
        <v>242</v>
      </c>
      <c r="R24" s="42" t="s">
        <v>174</v>
      </c>
      <c r="S24" s="42" t="s">
        <v>243</v>
      </c>
      <c r="T24" s="42" t="s">
        <v>244</v>
      </c>
      <c r="U24" s="64"/>
      <c r="V24" s="42" t="s">
        <v>200</v>
      </c>
      <c r="W24" s="64"/>
      <c r="X24" s="66" t="s">
        <v>180</v>
      </c>
      <c r="Y24" s="67" t="s">
        <v>181</v>
      </c>
      <c r="Z24" s="66" t="s">
        <v>182</v>
      </c>
      <c r="AA24" s="68" t="s">
        <v>174</v>
      </c>
      <c r="AB24" s="68" t="s">
        <v>193</v>
      </c>
      <c r="AC24" s="69">
        <v>45.0</v>
      </c>
      <c r="AD24" s="69">
        <v>80.0</v>
      </c>
      <c r="AE24" s="69">
        <v>90.0</v>
      </c>
      <c r="AF24" s="69">
        <v>95.0</v>
      </c>
      <c r="AG24" s="69">
        <v>92.0</v>
      </c>
      <c r="AH24" s="69">
        <v>15.0</v>
      </c>
      <c r="AI24" s="69">
        <v>24.0</v>
      </c>
      <c r="AJ24" s="69">
        <v>75.0</v>
      </c>
      <c r="AK24" s="69">
        <v>85.0</v>
      </c>
      <c r="AL24" s="70">
        <v>61.1</v>
      </c>
      <c r="AM24" s="71">
        <v>7.0</v>
      </c>
      <c r="AN24" s="71">
        <v>24.0</v>
      </c>
      <c r="AO24" s="70">
        <v>90.0</v>
      </c>
      <c r="AP24" s="68" t="s">
        <v>194</v>
      </c>
      <c r="AQ24" s="68" t="s">
        <v>195</v>
      </c>
      <c r="AR24" s="70">
        <v>2.0</v>
      </c>
      <c r="AS24" s="71">
        <v>1.0</v>
      </c>
      <c r="AT24" s="70">
        <v>14.0</v>
      </c>
      <c r="AU24" s="70">
        <v>47.1</v>
      </c>
      <c r="AV24" s="71">
        <v>8.0</v>
      </c>
      <c r="AW24" s="71">
        <v>48.0</v>
      </c>
    </row>
    <row r="25">
      <c r="A25" s="42" t="s">
        <v>245</v>
      </c>
      <c r="B25" s="63">
        <v>140.0</v>
      </c>
      <c r="C25" s="63">
        <v>0.0</v>
      </c>
      <c r="D25" s="63">
        <v>0.0</v>
      </c>
      <c r="E25" s="63">
        <v>360.0</v>
      </c>
      <c r="F25" s="63">
        <v>360.0</v>
      </c>
      <c r="G25" s="42" t="s">
        <v>172</v>
      </c>
      <c r="H25" s="63" t="s">
        <v>213</v>
      </c>
      <c r="I25" s="66" t="s">
        <v>220</v>
      </c>
      <c r="J25" s="42" t="s">
        <v>174</v>
      </c>
      <c r="K25" s="42" t="s">
        <v>188</v>
      </c>
      <c r="L25" s="65"/>
      <c r="M25" s="65"/>
      <c r="N25" s="65"/>
      <c r="O25" s="65"/>
      <c r="P25" s="42" t="s">
        <v>172</v>
      </c>
      <c r="Q25" s="42" t="s">
        <v>189</v>
      </c>
      <c r="R25" s="42" t="s">
        <v>174</v>
      </c>
      <c r="S25" s="42" t="s">
        <v>246</v>
      </c>
      <c r="T25" s="42" t="s">
        <v>247</v>
      </c>
      <c r="U25" s="66" t="s">
        <v>223</v>
      </c>
      <c r="V25" s="42" t="s">
        <v>179</v>
      </c>
      <c r="W25" s="66" t="s">
        <v>223</v>
      </c>
      <c r="X25" s="66" t="s">
        <v>180</v>
      </c>
      <c r="Y25" s="67" t="s">
        <v>181</v>
      </c>
      <c r="Z25" s="66" t="s">
        <v>225</v>
      </c>
      <c r="AA25" s="68" t="s">
        <v>174</v>
      </c>
      <c r="AB25" s="68" t="s">
        <v>183</v>
      </c>
      <c r="AC25" s="69">
        <v>25.0</v>
      </c>
      <c r="AD25" s="69">
        <v>80.0</v>
      </c>
      <c r="AE25" s="69">
        <v>90.0</v>
      </c>
      <c r="AF25" s="69">
        <v>60.0</v>
      </c>
      <c r="AG25" s="69">
        <v>78.0</v>
      </c>
      <c r="AH25" s="69">
        <v>19.6</v>
      </c>
      <c r="AI25" s="69">
        <v>54.2</v>
      </c>
      <c r="AJ25" s="69">
        <v>75.0</v>
      </c>
      <c r="AK25" s="69">
        <v>85.0</v>
      </c>
      <c r="AL25" s="70">
        <v>59.9</v>
      </c>
      <c r="AM25" s="71">
        <v>4.0</v>
      </c>
      <c r="AN25" s="71">
        <v>27.0</v>
      </c>
      <c r="AO25" s="70">
        <v>360.0</v>
      </c>
      <c r="AP25" s="68" t="s">
        <v>194</v>
      </c>
      <c r="AQ25" s="68" t="s">
        <v>195</v>
      </c>
      <c r="AR25" s="70">
        <v>0.0</v>
      </c>
      <c r="AS25" s="71">
        <v>0.0</v>
      </c>
      <c r="AT25" s="70">
        <v>0.0</v>
      </c>
      <c r="AU25" s="70">
        <v>59.9</v>
      </c>
      <c r="AV25" s="71">
        <v>2.0</v>
      </c>
      <c r="AW25" s="71">
        <v>20.0</v>
      </c>
    </row>
    <row r="26">
      <c r="A26" s="42" t="s">
        <v>248</v>
      </c>
      <c r="B26" s="63">
        <v>106.0</v>
      </c>
      <c r="C26" s="63">
        <v>0.0</v>
      </c>
      <c r="D26" s="63">
        <v>0.0</v>
      </c>
      <c r="E26" s="63">
        <v>91.0</v>
      </c>
      <c r="F26" s="63">
        <v>31.0</v>
      </c>
      <c r="G26" s="42" t="s">
        <v>172</v>
      </c>
      <c r="H26" s="63" t="s">
        <v>249</v>
      </c>
      <c r="I26" s="78" t="s">
        <v>220</v>
      </c>
      <c r="J26" s="42" t="s">
        <v>174</v>
      </c>
      <c r="K26" s="42" t="s">
        <v>188</v>
      </c>
      <c r="L26" s="65"/>
      <c r="M26" s="65"/>
      <c r="N26" s="65"/>
      <c r="O26" s="65"/>
      <c r="P26" s="42" t="s">
        <v>172</v>
      </c>
      <c r="Q26" s="42" t="s">
        <v>189</v>
      </c>
      <c r="R26" s="42" t="s">
        <v>174</v>
      </c>
      <c r="S26" s="42" t="s">
        <v>250</v>
      </c>
      <c r="T26" s="42" t="s">
        <v>251</v>
      </c>
      <c r="U26" s="78" t="s">
        <v>223</v>
      </c>
      <c r="V26" s="42" t="s">
        <v>179</v>
      </c>
      <c r="W26" s="78" t="s">
        <v>223</v>
      </c>
      <c r="X26" s="78" t="s">
        <v>252</v>
      </c>
      <c r="Y26" s="67" t="s">
        <v>181</v>
      </c>
      <c r="Z26" s="78" t="s">
        <v>225</v>
      </c>
      <c r="AA26" s="68" t="s">
        <v>174</v>
      </c>
      <c r="AB26" s="68" t="s">
        <v>253</v>
      </c>
      <c r="AC26" s="69">
        <v>65.0</v>
      </c>
      <c r="AD26" s="69">
        <v>100.0</v>
      </c>
      <c r="AE26" s="69">
        <v>90.0</v>
      </c>
      <c r="AF26" s="69">
        <v>60.0</v>
      </c>
      <c r="AG26" s="69">
        <v>78.0</v>
      </c>
      <c r="AH26" s="69">
        <v>14.84</v>
      </c>
      <c r="AI26" s="69">
        <v>23.0</v>
      </c>
      <c r="AJ26" s="69">
        <v>75.0</v>
      </c>
      <c r="AK26" s="69">
        <v>85.0</v>
      </c>
      <c r="AL26" s="70">
        <v>66.7</v>
      </c>
      <c r="AM26" s="71">
        <v>3.0</v>
      </c>
      <c r="AN26" s="71">
        <v>16.0</v>
      </c>
      <c r="AO26" s="70">
        <v>31.0</v>
      </c>
      <c r="AP26" s="68" t="s">
        <v>194</v>
      </c>
      <c r="AQ26" s="68" t="s">
        <v>195</v>
      </c>
      <c r="AR26" s="70">
        <v>0.0</v>
      </c>
      <c r="AS26" s="71">
        <v>0.0</v>
      </c>
      <c r="AT26" s="70">
        <v>0.0</v>
      </c>
      <c r="AU26" s="70">
        <v>66.7</v>
      </c>
      <c r="AV26" s="71">
        <v>2.0</v>
      </c>
      <c r="AW26" s="71">
        <v>10.0</v>
      </c>
    </row>
    <row r="27">
      <c r="A27" s="42" t="s">
        <v>254</v>
      </c>
      <c r="B27" s="63">
        <v>100.0</v>
      </c>
      <c r="C27" s="63">
        <v>113.0</v>
      </c>
      <c r="D27" s="63">
        <v>0.0</v>
      </c>
      <c r="E27" s="63">
        <v>730.0</v>
      </c>
      <c r="F27" s="63">
        <v>0.0</v>
      </c>
      <c r="G27" s="42" t="s">
        <v>172</v>
      </c>
      <c r="H27" s="63" t="s">
        <v>249</v>
      </c>
      <c r="I27" s="66" t="s">
        <v>220</v>
      </c>
      <c r="J27" s="42" t="s">
        <v>174</v>
      </c>
      <c r="K27" s="42" t="s">
        <v>188</v>
      </c>
      <c r="L27" s="65"/>
      <c r="M27" s="65"/>
      <c r="N27" s="65"/>
      <c r="O27" s="65"/>
      <c r="P27" s="42" t="s">
        <v>172</v>
      </c>
      <c r="Q27" s="42" t="s">
        <v>221</v>
      </c>
      <c r="R27" s="42" t="s">
        <v>174</v>
      </c>
      <c r="S27" s="42" t="s">
        <v>255</v>
      </c>
      <c r="T27" s="42" t="s">
        <v>256</v>
      </c>
      <c r="U27" s="66" t="s">
        <v>223</v>
      </c>
      <c r="V27" s="42" t="s">
        <v>200</v>
      </c>
      <c r="W27" s="66" t="s">
        <v>223</v>
      </c>
      <c r="X27" s="66" t="s">
        <v>180</v>
      </c>
      <c r="Y27" s="67" t="s">
        <v>181</v>
      </c>
      <c r="Z27" s="66" t="s">
        <v>225</v>
      </c>
      <c r="AA27" s="68" t="s">
        <v>174</v>
      </c>
      <c r="AB27" s="68" t="s">
        <v>226</v>
      </c>
      <c r="AC27" s="69">
        <v>100.0</v>
      </c>
      <c r="AD27" s="69">
        <v>100.0</v>
      </c>
      <c r="AE27" s="69">
        <v>90.0</v>
      </c>
      <c r="AF27" s="69">
        <v>95.0</v>
      </c>
      <c r="AG27" s="69">
        <v>92.0</v>
      </c>
      <c r="AH27" s="69">
        <v>14.0</v>
      </c>
      <c r="AI27" s="69">
        <v>17.5</v>
      </c>
      <c r="AJ27" s="69">
        <v>75.0</v>
      </c>
      <c r="AK27" s="69">
        <v>85.0</v>
      </c>
      <c r="AL27" s="70">
        <v>77.0</v>
      </c>
      <c r="AM27" s="71">
        <v>5.0</v>
      </c>
      <c r="AN27" s="71">
        <v>6.0</v>
      </c>
      <c r="AO27" s="70">
        <v>0.0</v>
      </c>
      <c r="AP27" s="68" t="s">
        <v>194</v>
      </c>
      <c r="AQ27" s="68" t="s">
        <v>195</v>
      </c>
      <c r="AR27" s="70">
        <v>2.0</v>
      </c>
      <c r="AS27" s="71">
        <v>0.0</v>
      </c>
      <c r="AT27" s="70">
        <v>14.0</v>
      </c>
      <c r="AU27" s="70">
        <v>63.0</v>
      </c>
      <c r="AV27" s="71">
        <v>8.0</v>
      </c>
      <c r="AW27" s="71">
        <v>12.0</v>
      </c>
    </row>
    <row r="28">
      <c r="A28" s="42" t="s">
        <v>257</v>
      </c>
      <c r="B28" s="63">
        <v>112.0</v>
      </c>
      <c r="C28" s="63">
        <v>0.0</v>
      </c>
      <c r="D28" s="63">
        <v>0.0</v>
      </c>
      <c r="E28" s="63">
        <v>90.0</v>
      </c>
      <c r="F28" s="63">
        <v>90.0</v>
      </c>
      <c r="G28" s="42" t="s">
        <v>172</v>
      </c>
      <c r="H28" s="63" t="s">
        <v>173</v>
      </c>
      <c r="I28" s="63">
        <v>500000.0</v>
      </c>
      <c r="J28" s="42" t="s">
        <v>174</v>
      </c>
      <c r="K28" s="42" t="s">
        <v>188</v>
      </c>
      <c r="L28" s="65"/>
      <c r="M28" s="65"/>
      <c r="N28" s="65"/>
      <c r="O28" s="65"/>
      <c r="P28" s="42" t="s">
        <v>172</v>
      </c>
      <c r="Q28" s="42" t="s">
        <v>189</v>
      </c>
      <c r="R28" s="42" t="s">
        <v>174</v>
      </c>
      <c r="S28" s="42" t="s">
        <v>258</v>
      </c>
      <c r="T28" s="42" t="s">
        <v>256</v>
      </c>
      <c r="U28" s="75" t="s">
        <v>223</v>
      </c>
      <c r="V28" s="42" t="s">
        <v>200</v>
      </c>
      <c r="W28" s="75" t="s">
        <v>223</v>
      </c>
      <c r="X28" s="75" t="s">
        <v>224</v>
      </c>
      <c r="Y28" s="77" t="s">
        <v>240</v>
      </c>
      <c r="Z28" s="75" t="s">
        <v>225</v>
      </c>
      <c r="AA28" s="68" t="s">
        <v>174</v>
      </c>
      <c r="AB28" s="68" t="s">
        <v>193</v>
      </c>
      <c r="AC28" s="69">
        <v>45.0</v>
      </c>
      <c r="AD28" s="69">
        <v>100.0</v>
      </c>
      <c r="AE28" s="69">
        <v>90.0</v>
      </c>
      <c r="AF28" s="69">
        <v>95.0</v>
      </c>
      <c r="AG28" s="69">
        <v>92.0</v>
      </c>
      <c r="AH28" s="69">
        <v>15.68</v>
      </c>
      <c r="AI28" s="69">
        <v>28.5</v>
      </c>
      <c r="AJ28" s="69">
        <v>75.0</v>
      </c>
      <c r="AK28" s="69">
        <v>85.0</v>
      </c>
      <c r="AL28" s="70">
        <v>65.7</v>
      </c>
      <c r="AM28" s="71">
        <v>2.0</v>
      </c>
      <c r="AN28" s="71">
        <v>17.0</v>
      </c>
      <c r="AO28" s="70">
        <v>90.0</v>
      </c>
      <c r="AP28" s="68" t="s">
        <v>194</v>
      </c>
      <c r="AQ28" s="68" t="s">
        <v>195</v>
      </c>
      <c r="AR28" s="70">
        <v>1.0</v>
      </c>
      <c r="AS28" s="71">
        <v>1.0</v>
      </c>
      <c r="AT28" s="70">
        <v>7.0</v>
      </c>
      <c r="AU28" s="70">
        <v>58.7</v>
      </c>
      <c r="AV28" s="71">
        <v>6.0</v>
      </c>
      <c r="AW28" s="71">
        <v>21.0</v>
      </c>
    </row>
    <row r="29">
      <c r="A29" s="42" t="s">
        <v>259</v>
      </c>
      <c r="B29" s="63">
        <v>116.0</v>
      </c>
      <c r="C29" s="63">
        <v>0.0</v>
      </c>
      <c r="D29" s="63">
        <v>0.0</v>
      </c>
      <c r="E29" s="63">
        <v>181.0</v>
      </c>
      <c r="F29" s="63">
        <v>181.0</v>
      </c>
      <c r="G29" s="42" t="s">
        <v>172</v>
      </c>
      <c r="H29" s="63" t="s">
        <v>173</v>
      </c>
      <c r="I29" s="63">
        <v>500000.0</v>
      </c>
      <c r="J29" s="42" t="s">
        <v>174</v>
      </c>
      <c r="K29" s="42" t="s">
        <v>188</v>
      </c>
      <c r="L29" s="65"/>
      <c r="M29" s="65"/>
      <c r="N29" s="65"/>
      <c r="O29" s="65"/>
      <c r="P29" s="42" t="s">
        <v>172</v>
      </c>
      <c r="Q29" s="42" t="s">
        <v>189</v>
      </c>
      <c r="R29" s="42" t="s">
        <v>174</v>
      </c>
      <c r="S29" s="42" t="s">
        <v>260</v>
      </c>
      <c r="T29" s="42" t="s">
        <v>256</v>
      </c>
      <c r="U29" s="75" t="s">
        <v>223</v>
      </c>
      <c r="V29" s="42" t="s">
        <v>200</v>
      </c>
      <c r="W29" s="75" t="s">
        <v>223</v>
      </c>
      <c r="X29" s="75" t="s">
        <v>224</v>
      </c>
      <c r="Y29" s="77" t="s">
        <v>240</v>
      </c>
      <c r="Z29" s="75" t="s">
        <v>225</v>
      </c>
      <c r="AA29" s="68" t="s">
        <v>174</v>
      </c>
      <c r="AB29" s="68" t="s">
        <v>183</v>
      </c>
      <c r="AC29" s="69">
        <v>25.0</v>
      </c>
      <c r="AD29" s="69">
        <v>100.0</v>
      </c>
      <c r="AE29" s="69">
        <v>90.0</v>
      </c>
      <c r="AF29" s="69">
        <v>95.0</v>
      </c>
      <c r="AG29" s="69">
        <v>92.0</v>
      </c>
      <c r="AH29" s="69">
        <v>16.24</v>
      </c>
      <c r="AI29" s="69">
        <v>32.2</v>
      </c>
      <c r="AJ29" s="69">
        <v>75.0</v>
      </c>
      <c r="AK29" s="69">
        <v>85.0</v>
      </c>
      <c r="AL29" s="70">
        <v>61.5</v>
      </c>
      <c r="AM29" s="71">
        <v>2.0</v>
      </c>
      <c r="AN29" s="71">
        <v>23.0</v>
      </c>
      <c r="AO29" s="70">
        <v>181.0</v>
      </c>
      <c r="AP29" s="68" t="s">
        <v>194</v>
      </c>
      <c r="AQ29" s="68" t="s">
        <v>195</v>
      </c>
      <c r="AR29" s="70">
        <v>1.0</v>
      </c>
      <c r="AS29" s="71">
        <v>0.0</v>
      </c>
      <c r="AT29" s="70">
        <v>7.0</v>
      </c>
      <c r="AU29" s="70">
        <v>54.5</v>
      </c>
      <c r="AV29" s="71">
        <v>6.0</v>
      </c>
      <c r="AW29" s="71">
        <v>25.0</v>
      </c>
    </row>
    <row r="30">
      <c r="A30" s="42" t="s">
        <v>261</v>
      </c>
      <c r="B30" s="63">
        <v>119.0</v>
      </c>
      <c r="C30" s="63">
        <v>0.0</v>
      </c>
      <c r="D30" s="63">
        <v>0.0</v>
      </c>
      <c r="E30" s="63">
        <v>361.0</v>
      </c>
      <c r="F30" s="63">
        <v>361.0</v>
      </c>
      <c r="G30" s="42" t="s">
        <v>172</v>
      </c>
      <c r="H30" s="63" t="s">
        <v>173</v>
      </c>
      <c r="I30" s="63">
        <v>500000.0</v>
      </c>
      <c r="J30" s="42" t="s">
        <v>174</v>
      </c>
      <c r="K30" s="42" t="s">
        <v>188</v>
      </c>
      <c r="L30" s="65"/>
      <c r="M30" s="65"/>
      <c r="N30" s="65"/>
      <c r="O30" s="65"/>
      <c r="P30" s="42" t="s">
        <v>172</v>
      </c>
      <c r="Q30" s="42" t="s">
        <v>189</v>
      </c>
      <c r="R30" s="42" t="s">
        <v>174</v>
      </c>
      <c r="S30" s="42" t="s">
        <v>262</v>
      </c>
      <c r="T30" s="42" t="s">
        <v>256</v>
      </c>
      <c r="U30" s="75" t="s">
        <v>223</v>
      </c>
      <c r="V30" s="42" t="s">
        <v>200</v>
      </c>
      <c r="W30" s="75" t="s">
        <v>223</v>
      </c>
      <c r="X30" s="75" t="s">
        <v>224</v>
      </c>
      <c r="Y30" s="77" t="s">
        <v>240</v>
      </c>
      <c r="Z30" s="75" t="s">
        <v>225</v>
      </c>
      <c r="AA30" s="68" t="s">
        <v>174</v>
      </c>
      <c r="AB30" s="68" t="s">
        <v>183</v>
      </c>
      <c r="AC30" s="69">
        <v>25.0</v>
      </c>
      <c r="AD30" s="69">
        <v>100.0</v>
      </c>
      <c r="AE30" s="69">
        <v>90.0</v>
      </c>
      <c r="AF30" s="69">
        <v>95.0</v>
      </c>
      <c r="AG30" s="69">
        <v>92.0</v>
      </c>
      <c r="AH30" s="69">
        <v>16.66</v>
      </c>
      <c r="AI30" s="69">
        <v>34.9</v>
      </c>
      <c r="AJ30" s="69">
        <v>75.0</v>
      </c>
      <c r="AK30" s="69">
        <v>85.0</v>
      </c>
      <c r="AL30" s="70">
        <v>62.1</v>
      </c>
      <c r="AM30" s="71">
        <v>1.0</v>
      </c>
      <c r="AN30" s="71">
        <v>22.0</v>
      </c>
      <c r="AO30" s="70">
        <v>361.0</v>
      </c>
      <c r="AP30" s="68" t="s">
        <v>194</v>
      </c>
      <c r="AQ30" s="68" t="s">
        <v>195</v>
      </c>
      <c r="AR30" s="70">
        <v>0.0</v>
      </c>
      <c r="AS30" s="71">
        <v>0.0</v>
      </c>
      <c r="AT30" s="70">
        <v>0.0</v>
      </c>
      <c r="AU30" s="70">
        <v>62.1</v>
      </c>
      <c r="AV30" s="71">
        <v>1.0</v>
      </c>
      <c r="AW30" s="71">
        <v>13.0</v>
      </c>
    </row>
    <row r="31">
      <c r="A31" s="42" t="s">
        <v>263</v>
      </c>
      <c r="B31" s="63">
        <v>120.0</v>
      </c>
      <c r="C31" s="63">
        <v>0.0</v>
      </c>
      <c r="D31" s="63">
        <v>0.0</v>
      </c>
      <c r="E31" s="63">
        <v>721.0</v>
      </c>
      <c r="F31" s="63">
        <v>721.0</v>
      </c>
      <c r="G31" s="42" t="s">
        <v>172</v>
      </c>
      <c r="H31" s="63" t="s">
        <v>173</v>
      </c>
      <c r="I31" s="63">
        <v>500000.0</v>
      </c>
      <c r="J31" s="42" t="s">
        <v>174</v>
      </c>
      <c r="K31" s="42" t="s">
        <v>188</v>
      </c>
      <c r="L31" s="65"/>
      <c r="M31" s="65"/>
      <c r="N31" s="65"/>
      <c r="O31" s="65"/>
      <c r="P31" s="42" t="s">
        <v>172</v>
      </c>
      <c r="Q31" s="42" t="s">
        <v>189</v>
      </c>
      <c r="R31" s="42" t="s">
        <v>174</v>
      </c>
      <c r="S31" s="42" t="s">
        <v>264</v>
      </c>
      <c r="T31" s="42" t="s">
        <v>256</v>
      </c>
      <c r="U31" s="75" t="s">
        <v>223</v>
      </c>
      <c r="V31" s="42" t="s">
        <v>200</v>
      </c>
      <c r="W31" s="75" t="s">
        <v>223</v>
      </c>
      <c r="X31" s="75" t="s">
        <v>224</v>
      </c>
      <c r="Y31" s="77" t="s">
        <v>240</v>
      </c>
      <c r="Z31" s="75" t="s">
        <v>225</v>
      </c>
      <c r="AA31" s="68" t="s">
        <v>174</v>
      </c>
      <c r="AB31" s="68" t="s">
        <v>183</v>
      </c>
      <c r="AC31" s="69">
        <v>10.0</v>
      </c>
      <c r="AD31" s="69">
        <v>100.0</v>
      </c>
      <c r="AE31" s="69">
        <v>90.0</v>
      </c>
      <c r="AF31" s="69">
        <v>95.0</v>
      </c>
      <c r="AG31" s="69">
        <v>92.0</v>
      </c>
      <c r="AH31" s="69">
        <v>16.8</v>
      </c>
      <c r="AI31" s="69">
        <v>35.8</v>
      </c>
      <c r="AJ31" s="69">
        <v>75.0</v>
      </c>
      <c r="AK31" s="69">
        <v>85.0</v>
      </c>
      <c r="AL31" s="70">
        <v>58.5</v>
      </c>
      <c r="AM31" s="71">
        <v>6.0</v>
      </c>
      <c r="AN31" s="71">
        <v>31.0</v>
      </c>
      <c r="AO31" s="70">
        <v>721.0</v>
      </c>
      <c r="AP31" s="68" t="s">
        <v>194</v>
      </c>
      <c r="AQ31" s="68" t="s">
        <v>195</v>
      </c>
      <c r="AR31" s="70">
        <v>0.0</v>
      </c>
      <c r="AS31" s="71">
        <v>0.0</v>
      </c>
      <c r="AT31" s="70">
        <v>0.0</v>
      </c>
      <c r="AU31" s="70">
        <v>58.5</v>
      </c>
      <c r="AV31" s="71">
        <v>4.0</v>
      </c>
      <c r="AW31" s="71">
        <v>23.0</v>
      </c>
    </row>
    <row r="32">
      <c r="A32" s="42" t="s">
        <v>76</v>
      </c>
      <c r="B32" s="63">
        <v>150.0</v>
      </c>
      <c r="C32" s="63">
        <v>0.0</v>
      </c>
      <c r="D32" s="63">
        <v>0.0</v>
      </c>
      <c r="E32" s="63">
        <v>60.0</v>
      </c>
      <c r="F32" s="63">
        <v>60.0</v>
      </c>
      <c r="G32" s="42" t="s">
        <v>172</v>
      </c>
      <c r="H32" s="63" t="s">
        <v>173</v>
      </c>
      <c r="I32" s="63">
        <v>20000.0</v>
      </c>
      <c r="J32" s="42" t="s">
        <v>174</v>
      </c>
      <c r="K32" s="42" t="s">
        <v>188</v>
      </c>
      <c r="L32" s="65"/>
      <c r="M32" s="65"/>
      <c r="N32" s="65"/>
      <c r="O32" s="65"/>
      <c r="P32" s="42" t="s">
        <v>172</v>
      </c>
      <c r="Q32" s="42" t="s">
        <v>189</v>
      </c>
      <c r="R32" s="42" t="s">
        <v>174</v>
      </c>
      <c r="S32" s="42" t="s">
        <v>265</v>
      </c>
      <c r="T32" s="42" t="s">
        <v>256</v>
      </c>
      <c r="U32" s="75" t="s">
        <v>223</v>
      </c>
      <c r="V32" s="42" t="s">
        <v>200</v>
      </c>
      <c r="W32" s="75" t="s">
        <v>223</v>
      </c>
      <c r="X32" s="75" t="s">
        <v>224</v>
      </c>
      <c r="Y32" s="77" t="s">
        <v>240</v>
      </c>
      <c r="Z32" s="75" t="s">
        <v>225</v>
      </c>
      <c r="AA32" s="68" t="s">
        <v>174</v>
      </c>
      <c r="AB32" s="68" t="s">
        <v>193</v>
      </c>
      <c r="AC32" s="69">
        <v>65.0</v>
      </c>
      <c r="AD32" s="69">
        <v>100.0</v>
      </c>
      <c r="AE32" s="69">
        <v>90.0</v>
      </c>
      <c r="AF32" s="69">
        <v>95.0</v>
      </c>
      <c r="AG32" s="69">
        <v>92.0</v>
      </c>
      <c r="AH32" s="69">
        <v>21.0</v>
      </c>
      <c r="AI32" s="69">
        <v>63.3</v>
      </c>
      <c r="AJ32" s="69">
        <v>75.0</v>
      </c>
      <c r="AK32" s="69">
        <v>85.0</v>
      </c>
      <c r="AL32" s="70">
        <v>78.3</v>
      </c>
      <c r="AM32" s="71">
        <v>1.0</v>
      </c>
      <c r="AN32" s="71">
        <v>2.0</v>
      </c>
      <c r="AO32" s="70">
        <v>60.0</v>
      </c>
      <c r="AP32" s="68" t="s">
        <v>194</v>
      </c>
      <c r="AQ32" s="68" t="s">
        <v>195</v>
      </c>
      <c r="AR32" s="70">
        <v>0.0</v>
      </c>
      <c r="AS32" s="71">
        <v>0.0</v>
      </c>
      <c r="AT32" s="70">
        <v>0.0</v>
      </c>
      <c r="AU32" s="70">
        <v>78.3</v>
      </c>
      <c r="AV32" s="71">
        <v>1.0</v>
      </c>
      <c r="AW32" s="71">
        <v>2.0</v>
      </c>
    </row>
    <row r="33">
      <c r="A33" s="42" t="s">
        <v>266</v>
      </c>
      <c r="B33" s="63">
        <v>104.0</v>
      </c>
      <c r="C33" s="63">
        <v>0.0</v>
      </c>
      <c r="D33" s="63">
        <v>0.0</v>
      </c>
      <c r="E33" s="63">
        <v>90.0</v>
      </c>
      <c r="F33" s="63">
        <v>90.0</v>
      </c>
      <c r="G33" s="42" t="s">
        <v>172</v>
      </c>
      <c r="H33" s="63" t="s">
        <v>249</v>
      </c>
      <c r="I33" s="63">
        <v>1.0E7</v>
      </c>
      <c r="J33" s="42" t="s">
        <v>174</v>
      </c>
      <c r="K33" s="42" t="s">
        <v>188</v>
      </c>
      <c r="L33" s="65"/>
      <c r="M33" s="65"/>
      <c r="N33" s="65"/>
      <c r="O33" s="65"/>
      <c r="P33" s="42" t="s">
        <v>172</v>
      </c>
      <c r="Q33" s="42" t="s">
        <v>189</v>
      </c>
      <c r="R33" s="42" t="s">
        <v>174</v>
      </c>
      <c r="S33" s="42" t="s">
        <v>267</v>
      </c>
      <c r="T33" s="66" t="s">
        <v>268</v>
      </c>
      <c r="U33" s="66" t="s">
        <v>223</v>
      </c>
      <c r="V33" s="42" t="s">
        <v>269</v>
      </c>
      <c r="W33" s="66" t="s">
        <v>223</v>
      </c>
      <c r="X33" s="66" t="s">
        <v>180</v>
      </c>
      <c r="Y33" s="67" t="s">
        <v>181</v>
      </c>
      <c r="Z33" s="66" t="s">
        <v>225</v>
      </c>
      <c r="AA33" s="68" t="s">
        <v>174</v>
      </c>
      <c r="AB33" s="68" t="s">
        <v>193</v>
      </c>
      <c r="AC33" s="69">
        <v>45.0</v>
      </c>
      <c r="AD33" s="69">
        <v>100.0</v>
      </c>
      <c r="AE33" s="69">
        <v>90.0</v>
      </c>
      <c r="AF33" s="69">
        <v>100.0</v>
      </c>
      <c r="AG33" s="69">
        <v>94.0</v>
      </c>
      <c r="AH33" s="69">
        <v>14.56</v>
      </c>
      <c r="AI33" s="69">
        <v>21.2</v>
      </c>
      <c r="AJ33" s="69">
        <v>75.0</v>
      </c>
      <c r="AK33" s="69">
        <v>85.0</v>
      </c>
      <c r="AL33" s="70">
        <v>64.5</v>
      </c>
      <c r="AM33" s="71">
        <v>3.0</v>
      </c>
      <c r="AN33" s="71">
        <v>18.0</v>
      </c>
      <c r="AO33" s="70">
        <v>90.0</v>
      </c>
      <c r="AP33" s="68" t="s">
        <v>194</v>
      </c>
      <c r="AQ33" s="68" t="s">
        <v>195</v>
      </c>
      <c r="AR33" s="70">
        <v>0.0</v>
      </c>
      <c r="AS33" s="71">
        <v>2.0</v>
      </c>
      <c r="AT33" s="70">
        <v>4.0</v>
      </c>
      <c r="AU33" s="70">
        <v>60.5</v>
      </c>
      <c r="AV33" s="71">
        <v>4.0</v>
      </c>
      <c r="AW33" s="71">
        <v>18.0</v>
      </c>
    </row>
    <row r="34">
      <c r="A34" s="42" t="s">
        <v>270</v>
      </c>
      <c r="B34" s="63">
        <v>105.0</v>
      </c>
      <c r="C34" s="63">
        <v>0.0</v>
      </c>
      <c r="D34" s="63">
        <v>0.0</v>
      </c>
      <c r="E34" s="63">
        <v>180.0</v>
      </c>
      <c r="F34" s="63">
        <v>180.0</v>
      </c>
      <c r="G34" s="42" t="s">
        <v>172</v>
      </c>
      <c r="H34" s="63" t="s">
        <v>271</v>
      </c>
      <c r="I34" s="63">
        <v>1.0E7</v>
      </c>
      <c r="J34" s="42" t="s">
        <v>174</v>
      </c>
      <c r="K34" s="42" t="s">
        <v>188</v>
      </c>
      <c r="L34" s="65"/>
      <c r="M34" s="65"/>
      <c r="N34" s="65"/>
      <c r="O34" s="65"/>
      <c r="P34" s="42" t="s">
        <v>172</v>
      </c>
      <c r="Q34" s="42" t="s">
        <v>189</v>
      </c>
      <c r="R34" s="42" t="s">
        <v>174</v>
      </c>
      <c r="S34" s="42" t="s">
        <v>272</v>
      </c>
      <c r="T34" s="66" t="s">
        <v>268</v>
      </c>
      <c r="U34" s="66" t="s">
        <v>223</v>
      </c>
      <c r="V34" s="42" t="s">
        <v>269</v>
      </c>
      <c r="W34" s="66" t="s">
        <v>223</v>
      </c>
      <c r="X34" s="66" t="s">
        <v>180</v>
      </c>
      <c r="Y34" s="67" t="s">
        <v>181</v>
      </c>
      <c r="Z34" s="66" t="s">
        <v>225</v>
      </c>
      <c r="AA34" s="68" t="s">
        <v>174</v>
      </c>
      <c r="AB34" s="68" t="s">
        <v>193</v>
      </c>
      <c r="AC34" s="69">
        <v>45.0</v>
      </c>
      <c r="AD34" s="69">
        <v>90.0</v>
      </c>
      <c r="AE34" s="69">
        <v>90.0</v>
      </c>
      <c r="AF34" s="69">
        <v>100.0</v>
      </c>
      <c r="AG34" s="69">
        <v>94.0</v>
      </c>
      <c r="AH34" s="69">
        <v>14.7</v>
      </c>
      <c r="AI34" s="69">
        <v>22.1</v>
      </c>
      <c r="AJ34" s="69">
        <v>75.0</v>
      </c>
      <c r="AK34" s="69">
        <v>85.0</v>
      </c>
      <c r="AL34" s="70">
        <v>62.9</v>
      </c>
      <c r="AM34" s="71">
        <v>6.0</v>
      </c>
      <c r="AN34" s="71">
        <v>21.0</v>
      </c>
      <c r="AO34" s="70">
        <v>180.0</v>
      </c>
      <c r="AP34" s="68" t="s">
        <v>194</v>
      </c>
      <c r="AQ34" s="68" t="s">
        <v>195</v>
      </c>
      <c r="AR34" s="70">
        <v>1.0</v>
      </c>
      <c r="AS34" s="71">
        <v>2.0</v>
      </c>
      <c r="AT34" s="70">
        <v>9.0</v>
      </c>
      <c r="AU34" s="70">
        <v>53.9</v>
      </c>
      <c r="AV34" s="71">
        <v>7.0</v>
      </c>
      <c r="AW34" s="71">
        <v>29.0</v>
      </c>
    </row>
    <row r="35">
      <c r="A35" s="42" t="s">
        <v>273</v>
      </c>
      <c r="B35" s="63">
        <v>14.9</v>
      </c>
      <c r="C35" s="63">
        <v>0.0</v>
      </c>
      <c r="D35" s="63">
        <v>0.0</v>
      </c>
      <c r="E35" s="63">
        <v>365.0</v>
      </c>
      <c r="F35" s="63">
        <v>365.0</v>
      </c>
      <c r="G35" s="42" t="s">
        <v>172</v>
      </c>
      <c r="H35" s="63" t="s">
        <v>271</v>
      </c>
      <c r="I35" s="63">
        <v>1.0E7</v>
      </c>
      <c r="J35" s="42" t="s">
        <v>174</v>
      </c>
      <c r="K35" s="42" t="s">
        <v>188</v>
      </c>
      <c r="L35" s="65"/>
      <c r="M35" s="65"/>
      <c r="N35" s="65"/>
      <c r="O35" s="65"/>
      <c r="P35" s="42" t="s">
        <v>172</v>
      </c>
      <c r="Q35" s="42" t="s">
        <v>242</v>
      </c>
      <c r="R35" s="42" t="s">
        <v>174</v>
      </c>
      <c r="S35" s="42" t="s">
        <v>274</v>
      </c>
      <c r="T35" s="78" t="s">
        <v>268</v>
      </c>
      <c r="U35" s="79"/>
      <c r="V35" s="42" t="s">
        <v>269</v>
      </c>
      <c r="W35" s="79"/>
      <c r="X35" s="78" t="s">
        <v>252</v>
      </c>
      <c r="Y35" s="67" t="s">
        <v>181</v>
      </c>
      <c r="Z35" s="79"/>
      <c r="AA35" s="68" t="s">
        <v>174</v>
      </c>
      <c r="AB35" s="68" t="s">
        <v>183</v>
      </c>
      <c r="AC35" s="69">
        <v>25.0</v>
      </c>
      <c r="AD35" s="69">
        <v>90.0</v>
      </c>
      <c r="AE35" s="69">
        <v>90.0</v>
      </c>
      <c r="AF35" s="69">
        <v>100.0</v>
      </c>
      <c r="AG35" s="69">
        <v>94.0</v>
      </c>
      <c r="AH35" s="69">
        <v>14.9</v>
      </c>
      <c r="AI35" s="69">
        <v>23.4</v>
      </c>
      <c r="AJ35" s="69">
        <v>75.0</v>
      </c>
      <c r="AK35" s="69">
        <v>85.0</v>
      </c>
      <c r="AL35" s="70">
        <v>58.1</v>
      </c>
      <c r="AM35" s="71">
        <v>7.0</v>
      </c>
      <c r="AN35" s="71">
        <v>32.0</v>
      </c>
      <c r="AO35" s="70">
        <v>365.0</v>
      </c>
      <c r="AP35" s="68" t="s">
        <v>194</v>
      </c>
      <c r="AQ35" s="68" t="s">
        <v>195</v>
      </c>
      <c r="AR35" s="70">
        <v>0.0</v>
      </c>
      <c r="AS35" s="71">
        <v>2.0</v>
      </c>
      <c r="AT35" s="70">
        <v>4.0</v>
      </c>
      <c r="AU35" s="70">
        <v>54.1</v>
      </c>
      <c r="AV35" s="71">
        <v>9.0</v>
      </c>
      <c r="AW35" s="71">
        <v>28.0</v>
      </c>
    </row>
    <row r="36">
      <c r="A36" s="42" t="s">
        <v>275</v>
      </c>
      <c r="B36" s="63">
        <v>15.0</v>
      </c>
      <c r="C36" s="63">
        <v>0.0</v>
      </c>
      <c r="D36" s="63">
        <v>0.0</v>
      </c>
      <c r="E36" s="63">
        <v>180.0</v>
      </c>
      <c r="F36" s="63">
        <v>180.0</v>
      </c>
      <c r="G36" s="42" t="s">
        <v>172</v>
      </c>
      <c r="H36" s="63" t="s">
        <v>271</v>
      </c>
      <c r="I36" s="63">
        <v>1.0E7</v>
      </c>
      <c r="J36" s="42" t="s">
        <v>174</v>
      </c>
      <c r="K36" s="42" t="s">
        <v>188</v>
      </c>
      <c r="L36" s="65"/>
      <c r="M36" s="65"/>
      <c r="N36" s="65"/>
      <c r="O36" s="65"/>
      <c r="P36" s="42" t="s">
        <v>172</v>
      </c>
      <c r="Q36" s="42" t="s">
        <v>242</v>
      </c>
      <c r="R36" s="42" t="s">
        <v>174</v>
      </c>
      <c r="S36" s="42" t="s">
        <v>276</v>
      </c>
      <c r="T36" s="66" t="s">
        <v>268</v>
      </c>
      <c r="U36" s="66" t="s">
        <v>223</v>
      </c>
      <c r="V36" s="42" t="s">
        <v>269</v>
      </c>
      <c r="W36" s="66" t="s">
        <v>223</v>
      </c>
      <c r="X36" s="66" t="s">
        <v>180</v>
      </c>
      <c r="Y36" s="67" t="s">
        <v>181</v>
      </c>
      <c r="Z36" s="66" t="s">
        <v>225</v>
      </c>
      <c r="AA36" s="68" t="s">
        <v>174</v>
      </c>
      <c r="AB36" s="68" t="s">
        <v>193</v>
      </c>
      <c r="AC36" s="69">
        <v>45.0</v>
      </c>
      <c r="AD36" s="69">
        <v>90.0</v>
      </c>
      <c r="AE36" s="69">
        <v>90.0</v>
      </c>
      <c r="AF36" s="69">
        <v>100.0</v>
      </c>
      <c r="AG36" s="69">
        <v>94.0</v>
      </c>
      <c r="AH36" s="69">
        <v>15.0</v>
      </c>
      <c r="AI36" s="69">
        <v>24.0</v>
      </c>
      <c r="AJ36" s="69">
        <v>75.0</v>
      </c>
      <c r="AK36" s="69">
        <v>85.0</v>
      </c>
      <c r="AL36" s="70">
        <v>63.3</v>
      </c>
      <c r="AM36" s="71">
        <v>4.0</v>
      </c>
      <c r="AN36" s="71">
        <v>19.0</v>
      </c>
      <c r="AO36" s="70">
        <v>180.0</v>
      </c>
      <c r="AP36" s="68" t="s">
        <v>194</v>
      </c>
      <c r="AQ36" s="68" t="s">
        <v>195</v>
      </c>
      <c r="AR36" s="70">
        <v>0.0</v>
      </c>
      <c r="AS36" s="71">
        <v>1.0</v>
      </c>
      <c r="AT36" s="70">
        <v>2.0</v>
      </c>
      <c r="AU36" s="70">
        <v>61.3</v>
      </c>
      <c r="AV36" s="71">
        <v>3.0</v>
      </c>
      <c r="AW36" s="71">
        <v>15.0</v>
      </c>
    </row>
    <row r="37">
      <c r="A37" s="42" t="s">
        <v>277</v>
      </c>
      <c r="B37" s="63">
        <v>120.0</v>
      </c>
      <c r="C37" s="63">
        <v>0.0</v>
      </c>
      <c r="D37" s="63">
        <v>0.0</v>
      </c>
      <c r="E37" s="63">
        <v>90.0</v>
      </c>
      <c r="F37" s="63">
        <v>90.0</v>
      </c>
      <c r="G37" s="42" t="s">
        <v>172</v>
      </c>
      <c r="H37" s="63" t="s">
        <v>213</v>
      </c>
      <c r="I37" s="64"/>
      <c r="J37" s="42" t="s">
        <v>172</v>
      </c>
      <c r="K37" s="42" t="s">
        <v>188</v>
      </c>
      <c r="L37" s="64"/>
      <c r="M37" s="64"/>
      <c r="N37" s="64"/>
      <c r="O37" s="64"/>
      <c r="P37" s="42" t="s">
        <v>174</v>
      </c>
      <c r="Q37" s="42" t="s">
        <v>189</v>
      </c>
      <c r="R37" s="42" t="s">
        <v>174</v>
      </c>
      <c r="S37" s="42" t="s">
        <v>278</v>
      </c>
      <c r="T37" s="42" t="s">
        <v>191</v>
      </c>
      <c r="U37" s="64"/>
      <c r="V37" s="42" t="s">
        <v>200</v>
      </c>
      <c r="W37" s="64"/>
      <c r="X37" s="66" t="s">
        <v>180</v>
      </c>
      <c r="Y37" s="72" t="s">
        <v>192</v>
      </c>
      <c r="Z37" s="66" t="s">
        <v>182</v>
      </c>
      <c r="AA37" s="68" t="s">
        <v>172</v>
      </c>
      <c r="AB37" s="68" t="s">
        <v>193</v>
      </c>
      <c r="AC37" s="69">
        <v>45.0</v>
      </c>
      <c r="AD37" s="69">
        <v>80.0</v>
      </c>
      <c r="AE37" s="69">
        <v>90.0</v>
      </c>
      <c r="AF37" s="69">
        <v>95.0</v>
      </c>
      <c r="AG37" s="69">
        <v>92.0</v>
      </c>
      <c r="AH37" s="69">
        <v>16.8</v>
      </c>
      <c r="AI37" s="69">
        <v>35.8</v>
      </c>
      <c r="AJ37" s="69">
        <v>75.0</v>
      </c>
      <c r="AK37" s="69">
        <v>85.0</v>
      </c>
      <c r="AL37" s="70">
        <v>63.7</v>
      </c>
      <c r="AM37" s="73"/>
      <c r="AN37" s="73"/>
      <c r="AO37" s="70">
        <v>90.0</v>
      </c>
      <c r="AP37" s="68" t="s">
        <v>194</v>
      </c>
      <c r="AQ37" s="68" t="s">
        <v>195</v>
      </c>
      <c r="AR37" s="74"/>
      <c r="AS37" s="73"/>
      <c r="AT37" s="74"/>
      <c r="AU37" s="74"/>
      <c r="AV37" s="73"/>
      <c r="AW37" s="73"/>
    </row>
    <row r="38">
      <c r="A38" s="42" t="s">
        <v>279</v>
      </c>
      <c r="B38" s="63">
        <v>120.0</v>
      </c>
      <c r="C38" s="63">
        <v>0.0</v>
      </c>
      <c r="D38" s="63">
        <v>0.0</v>
      </c>
      <c r="E38" s="63">
        <v>180.0</v>
      </c>
      <c r="F38" s="63">
        <v>180.0</v>
      </c>
      <c r="G38" s="42" t="s">
        <v>172</v>
      </c>
      <c r="H38" s="63" t="s">
        <v>173</v>
      </c>
      <c r="I38" s="64"/>
      <c r="J38" s="42" t="s">
        <v>172</v>
      </c>
      <c r="K38" s="42" t="s">
        <v>188</v>
      </c>
      <c r="L38" s="64"/>
      <c r="M38" s="64"/>
      <c r="N38" s="64"/>
      <c r="O38" s="64"/>
      <c r="P38" s="42" t="s">
        <v>174</v>
      </c>
      <c r="Q38" s="42" t="s">
        <v>189</v>
      </c>
      <c r="R38" s="42" t="s">
        <v>174</v>
      </c>
      <c r="S38" s="42" t="s">
        <v>280</v>
      </c>
      <c r="T38" s="42" t="s">
        <v>191</v>
      </c>
      <c r="U38" s="64"/>
      <c r="V38" s="42" t="s">
        <v>200</v>
      </c>
      <c r="W38" s="64"/>
      <c r="X38" s="66" t="s">
        <v>180</v>
      </c>
      <c r="Y38" s="72" t="s">
        <v>192</v>
      </c>
      <c r="Z38" s="66" t="s">
        <v>182</v>
      </c>
      <c r="AA38" s="68" t="s">
        <v>172</v>
      </c>
      <c r="AB38" s="68" t="s">
        <v>193</v>
      </c>
      <c r="AC38" s="69">
        <v>45.0</v>
      </c>
      <c r="AD38" s="69">
        <v>100.0</v>
      </c>
      <c r="AE38" s="69">
        <v>90.0</v>
      </c>
      <c r="AF38" s="69">
        <v>95.0</v>
      </c>
      <c r="AG38" s="69">
        <v>92.0</v>
      </c>
      <c r="AH38" s="69">
        <v>16.8</v>
      </c>
      <c r="AI38" s="69">
        <v>35.8</v>
      </c>
      <c r="AJ38" s="69">
        <v>75.0</v>
      </c>
      <c r="AK38" s="69">
        <v>85.0</v>
      </c>
      <c r="AL38" s="70">
        <v>67.3</v>
      </c>
      <c r="AM38" s="73"/>
      <c r="AN38" s="73"/>
      <c r="AO38" s="70">
        <v>180.0</v>
      </c>
      <c r="AP38" s="68" t="s">
        <v>194</v>
      </c>
      <c r="AQ38" s="68" t="s">
        <v>195</v>
      </c>
      <c r="AR38" s="74"/>
      <c r="AS38" s="73"/>
      <c r="AT38" s="74"/>
      <c r="AU38" s="74"/>
      <c r="AV38" s="73"/>
      <c r="AW38" s="73"/>
    </row>
    <row r="39">
      <c r="A39" s="42" t="s">
        <v>281</v>
      </c>
      <c r="B39" s="63">
        <v>107.25</v>
      </c>
      <c r="C39" s="63">
        <v>0.0</v>
      </c>
      <c r="D39" s="63">
        <v>0.0</v>
      </c>
      <c r="E39" s="63">
        <v>540.0</v>
      </c>
      <c r="F39" s="63">
        <v>540.0</v>
      </c>
      <c r="G39" s="42" t="s">
        <v>172</v>
      </c>
      <c r="H39" s="63" t="s">
        <v>173</v>
      </c>
      <c r="I39" s="64"/>
      <c r="J39" s="42" t="s">
        <v>174</v>
      </c>
      <c r="K39" s="42" t="s">
        <v>188</v>
      </c>
      <c r="L39" s="65"/>
      <c r="M39" s="65"/>
      <c r="N39" s="65"/>
      <c r="O39" s="65"/>
      <c r="P39" s="42" t="s">
        <v>172</v>
      </c>
      <c r="Q39" s="42" t="s">
        <v>189</v>
      </c>
      <c r="R39" s="42" t="s">
        <v>174</v>
      </c>
      <c r="S39" s="42" t="s">
        <v>282</v>
      </c>
      <c r="T39" s="42" t="s">
        <v>191</v>
      </c>
      <c r="U39" s="64"/>
      <c r="V39" s="42" t="s">
        <v>200</v>
      </c>
      <c r="W39" s="64"/>
      <c r="X39" s="66" t="s">
        <v>180</v>
      </c>
      <c r="Y39" s="67" t="s">
        <v>181</v>
      </c>
      <c r="Z39" s="66" t="s">
        <v>182</v>
      </c>
      <c r="AA39" s="68" t="s">
        <v>174</v>
      </c>
      <c r="AB39" s="68" t="s">
        <v>183</v>
      </c>
      <c r="AC39" s="69">
        <v>10.0</v>
      </c>
      <c r="AD39" s="69">
        <v>100.0</v>
      </c>
      <c r="AE39" s="69">
        <v>90.0</v>
      </c>
      <c r="AF39" s="69">
        <v>95.0</v>
      </c>
      <c r="AG39" s="69">
        <v>92.0</v>
      </c>
      <c r="AH39" s="69">
        <v>15.02</v>
      </c>
      <c r="AI39" s="69">
        <v>24.2</v>
      </c>
      <c r="AJ39" s="69">
        <v>75.0</v>
      </c>
      <c r="AK39" s="69">
        <v>85.0</v>
      </c>
      <c r="AL39" s="70">
        <v>56.0</v>
      </c>
      <c r="AM39" s="71">
        <v>22.0</v>
      </c>
      <c r="AN39" s="71">
        <v>48.0</v>
      </c>
      <c r="AO39" s="70">
        <v>540.0</v>
      </c>
      <c r="AP39" s="68" t="s">
        <v>194</v>
      </c>
      <c r="AQ39" s="68" t="s">
        <v>195</v>
      </c>
      <c r="AR39" s="70">
        <v>5.0</v>
      </c>
      <c r="AS39" s="71">
        <v>3.0</v>
      </c>
      <c r="AT39" s="70">
        <v>18.0</v>
      </c>
      <c r="AU39" s="70">
        <v>38.0</v>
      </c>
      <c r="AV39" s="71">
        <v>34.0</v>
      </c>
      <c r="AW39" s="71">
        <v>60.0</v>
      </c>
    </row>
    <row r="40">
      <c r="A40" s="42" t="s">
        <v>75</v>
      </c>
      <c r="B40" s="63">
        <v>105.0</v>
      </c>
      <c r="C40" s="63">
        <v>0.0</v>
      </c>
      <c r="D40" s="63">
        <v>0.0</v>
      </c>
      <c r="E40" s="63">
        <v>1086.0</v>
      </c>
      <c r="F40" s="63">
        <v>0.0</v>
      </c>
      <c r="G40" s="42" t="s">
        <v>172</v>
      </c>
      <c r="H40" s="63" t="s">
        <v>249</v>
      </c>
      <c r="I40" s="75" t="s">
        <v>220</v>
      </c>
      <c r="J40" s="42" t="s">
        <v>174</v>
      </c>
      <c r="K40" s="42" t="s">
        <v>188</v>
      </c>
      <c r="L40" s="65"/>
      <c r="M40" s="65"/>
      <c r="N40" s="65"/>
      <c r="O40" s="65"/>
      <c r="P40" s="42" t="s">
        <v>172</v>
      </c>
      <c r="Q40" s="42" t="s">
        <v>189</v>
      </c>
      <c r="R40" s="42" t="s">
        <v>174</v>
      </c>
      <c r="S40" s="42" t="s">
        <v>283</v>
      </c>
      <c r="T40" s="42" t="s">
        <v>284</v>
      </c>
      <c r="U40" s="75" t="s">
        <v>223</v>
      </c>
      <c r="V40" s="42" t="s">
        <v>200</v>
      </c>
      <c r="W40" s="75" t="s">
        <v>223</v>
      </c>
      <c r="X40" s="75" t="s">
        <v>224</v>
      </c>
      <c r="Y40" s="67" t="s">
        <v>181</v>
      </c>
      <c r="Z40" s="75" t="s">
        <v>225</v>
      </c>
      <c r="AA40" s="68" t="s">
        <v>174</v>
      </c>
      <c r="AB40" s="68" t="s">
        <v>226</v>
      </c>
      <c r="AC40" s="69">
        <v>100.0</v>
      </c>
      <c r="AD40" s="69">
        <v>100.0</v>
      </c>
      <c r="AE40" s="69">
        <v>90.0</v>
      </c>
      <c r="AF40" s="69">
        <v>95.0</v>
      </c>
      <c r="AG40" s="69">
        <v>92.0</v>
      </c>
      <c r="AH40" s="69">
        <v>14.7</v>
      </c>
      <c r="AI40" s="69">
        <v>22.1</v>
      </c>
      <c r="AJ40" s="69">
        <v>75.0</v>
      </c>
      <c r="AK40" s="69">
        <v>85.0</v>
      </c>
      <c r="AL40" s="70">
        <v>78.0</v>
      </c>
      <c r="AM40" s="71">
        <v>3.0</v>
      </c>
      <c r="AN40" s="71">
        <v>4.0</v>
      </c>
      <c r="AO40" s="70">
        <v>0.0</v>
      </c>
      <c r="AP40" s="68" t="s">
        <v>194</v>
      </c>
      <c r="AQ40" s="68" t="s">
        <v>195</v>
      </c>
      <c r="AR40" s="70">
        <v>0.0</v>
      </c>
      <c r="AS40" s="71">
        <v>0.0</v>
      </c>
      <c r="AT40" s="70">
        <v>0.0</v>
      </c>
      <c r="AU40" s="70">
        <v>78.0</v>
      </c>
      <c r="AV40" s="71">
        <v>3.0</v>
      </c>
      <c r="AW40" s="71">
        <v>4.0</v>
      </c>
    </row>
    <row r="41">
      <c r="A41" s="42" t="s">
        <v>69</v>
      </c>
      <c r="B41" s="63">
        <v>103.0</v>
      </c>
      <c r="C41" s="63">
        <v>130.0</v>
      </c>
      <c r="D41" s="63">
        <v>30.0</v>
      </c>
      <c r="E41" s="63">
        <v>30.0</v>
      </c>
      <c r="F41" s="63">
        <v>0.0</v>
      </c>
      <c r="G41" s="42" t="s">
        <v>172</v>
      </c>
      <c r="H41" s="63" t="s">
        <v>249</v>
      </c>
      <c r="I41" s="64"/>
      <c r="J41" s="42" t="s">
        <v>172</v>
      </c>
      <c r="K41" s="42" t="s">
        <v>188</v>
      </c>
      <c r="L41" s="65"/>
      <c r="M41" s="65"/>
      <c r="N41" s="65"/>
      <c r="O41" s="65"/>
      <c r="P41" s="42" t="s">
        <v>172</v>
      </c>
      <c r="Q41" s="42" t="s">
        <v>189</v>
      </c>
      <c r="R41" s="42" t="s">
        <v>174</v>
      </c>
      <c r="S41" s="42" t="s">
        <v>285</v>
      </c>
      <c r="T41" s="66" t="s">
        <v>268</v>
      </c>
      <c r="U41" s="64"/>
      <c r="V41" s="42" t="s">
        <v>179</v>
      </c>
      <c r="W41" s="64"/>
      <c r="X41" s="66" t="s">
        <v>180</v>
      </c>
      <c r="Y41" s="72" t="s">
        <v>181</v>
      </c>
      <c r="Z41" s="66" t="s">
        <v>182</v>
      </c>
      <c r="AA41" s="68" t="s">
        <v>172</v>
      </c>
      <c r="AB41" s="68" t="s">
        <v>226</v>
      </c>
      <c r="AC41" s="69">
        <v>100.0</v>
      </c>
      <c r="AD41" s="69">
        <v>100.0</v>
      </c>
      <c r="AE41" s="69">
        <v>90.0</v>
      </c>
      <c r="AF41" s="69">
        <v>60.0</v>
      </c>
      <c r="AG41" s="69">
        <v>78.0</v>
      </c>
      <c r="AH41" s="69">
        <v>18.2</v>
      </c>
      <c r="AI41" s="69">
        <v>45.0</v>
      </c>
      <c r="AJ41" s="69">
        <v>75.0</v>
      </c>
      <c r="AK41" s="69">
        <v>85.0</v>
      </c>
      <c r="AL41" s="70">
        <v>80.3</v>
      </c>
      <c r="AM41" s="73"/>
      <c r="AN41" s="73"/>
      <c r="AO41" s="70">
        <v>0.0</v>
      </c>
      <c r="AP41" s="68" t="s">
        <v>194</v>
      </c>
      <c r="AQ41" s="68" t="s">
        <v>195</v>
      </c>
      <c r="AR41" s="74"/>
      <c r="AS41" s="73"/>
      <c r="AT41" s="74"/>
      <c r="AU41" s="74"/>
      <c r="AV41" s="73"/>
      <c r="AW41" s="73"/>
    </row>
    <row r="42">
      <c r="A42" s="42" t="s">
        <v>286</v>
      </c>
      <c r="B42" s="63">
        <v>150.0</v>
      </c>
      <c r="C42" s="63">
        <v>0.0</v>
      </c>
      <c r="D42" s="63">
        <v>0.0</v>
      </c>
      <c r="E42" s="63">
        <v>60.0</v>
      </c>
      <c r="F42" s="63">
        <v>0.0</v>
      </c>
      <c r="G42" s="42" t="s">
        <v>172</v>
      </c>
      <c r="H42" s="63" t="s">
        <v>287</v>
      </c>
      <c r="I42" s="63">
        <v>60000.0</v>
      </c>
      <c r="J42" s="42" t="s">
        <v>174</v>
      </c>
      <c r="K42" s="42" t="s">
        <v>188</v>
      </c>
      <c r="L42" s="65"/>
      <c r="M42" s="65"/>
      <c r="N42" s="65"/>
      <c r="O42" s="65"/>
      <c r="P42" s="42" t="s">
        <v>172</v>
      </c>
      <c r="Q42" s="42" t="s">
        <v>189</v>
      </c>
      <c r="R42" s="42" t="s">
        <v>174</v>
      </c>
      <c r="S42" s="42" t="s">
        <v>288</v>
      </c>
      <c r="T42" s="42" t="s">
        <v>289</v>
      </c>
      <c r="U42" s="66" t="s">
        <v>223</v>
      </c>
      <c r="V42" s="42" t="s">
        <v>200</v>
      </c>
      <c r="W42" s="66" t="s">
        <v>223</v>
      </c>
      <c r="X42" s="66" t="s">
        <v>180</v>
      </c>
      <c r="Y42" s="77" t="s">
        <v>240</v>
      </c>
      <c r="Z42" s="66" t="s">
        <v>225</v>
      </c>
      <c r="AA42" s="68" t="s">
        <v>174</v>
      </c>
      <c r="AB42" s="68" t="s">
        <v>226</v>
      </c>
      <c r="AC42" s="69">
        <v>100.0</v>
      </c>
      <c r="AD42" s="69">
        <v>15.0</v>
      </c>
      <c r="AE42" s="69">
        <v>90.0</v>
      </c>
      <c r="AF42" s="69">
        <v>95.0</v>
      </c>
      <c r="AG42" s="69">
        <v>92.0</v>
      </c>
      <c r="AH42" s="69">
        <v>21.0</v>
      </c>
      <c r="AI42" s="69">
        <v>63.3</v>
      </c>
      <c r="AJ42" s="69">
        <v>75.0</v>
      </c>
      <c r="AK42" s="69">
        <v>85.0</v>
      </c>
      <c r="AL42" s="70">
        <v>71.8</v>
      </c>
      <c r="AM42" s="71">
        <v>10.0</v>
      </c>
      <c r="AN42" s="71">
        <v>12.0</v>
      </c>
      <c r="AO42" s="70">
        <v>0.0</v>
      </c>
      <c r="AP42" s="68" t="s">
        <v>194</v>
      </c>
      <c r="AQ42" s="68" t="s">
        <v>195</v>
      </c>
      <c r="AR42" s="70">
        <v>0.0</v>
      </c>
      <c r="AS42" s="71">
        <v>0.0</v>
      </c>
      <c r="AT42" s="70">
        <v>0.0</v>
      </c>
      <c r="AU42" s="70">
        <v>71.8</v>
      </c>
      <c r="AV42" s="71">
        <v>6.0</v>
      </c>
      <c r="AW42" s="71">
        <v>8.0</v>
      </c>
    </row>
    <row r="43">
      <c r="A43" s="42" t="s">
        <v>71</v>
      </c>
      <c r="B43" s="63">
        <v>230.0</v>
      </c>
      <c r="C43" s="63">
        <v>0.0</v>
      </c>
      <c r="D43" s="63">
        <v>0.0</v>
      </c>
      <c r="E43" s="63">
        <v>60.0</v>
      </c>
      <c r="F43" s="63">
        <v>0.0</v>
      </c>
      <c r="G43" s="42" t="s">
        <v>172</v>
      </c>
      <c r="H43" s="63" t="s">
        <v>173</v>
      </c>
      <c r="I43" s="63">
        <v>3000.0</v>
      </c>
      <c r="J43" s="42" t="s">
        <v>172</v>
      </c>
      <c r="K43" s="42" t="s">
        <v>188</v>
      </c>
      <c r="L43" s="65"/>
      <c r="M43" s="65"/>
      <c r="N43" s="65"/>
      <c r="O43" s="65"/>
      <c r="P43" s="42" t="s">
        <v>172</v>
      </c>
      <c r="Q43" s="42" t="s">
        <v>189</v>
      </c>
      <c r="R43" s="42" t="s">
        <v>174</v>
      </c>
      <c r="S43" s="42" t="s">
        <v>290</v>
      </c>
      <c r="T43" s="42" t="s">
        <v>289</v>
      </c>
      <c r="U43" s="64"/>
      <c r="V43" s="42" t="s">
        <v>200</v>
      </c>
      <c r="W43" s="64"/>
      <c r="X43" s="66" t="s">
        <v>180</v>
      </c>
      <c r="Y43" s="72" t="s">
        <v>192</v>
      </c>
      <c r="Z43" s="66" t="s">
        <v>291</v>
      </c>
      <c r="AA43" s="68" t="s">
        <v>172</v>
      </c>
      <c r="AB43" s="68" t="s">
        <v>226</v>
      </c>
      <c r="AC43" s="69">
        <v>100.0</v>
      </c>
      <c r="AD43" s="69">
        <v>100.0</v>
      </c>
      <c r="AE43" s="69">
        <v>90.0</v>
      </c>
      <c r="AF43" s="69">
        <v>95.0</v>
      </c>
      <c r="AG43" s="69">
        <v>92.0</v>
      </c>
      <c r="AH43" s="69">
        <v>32.2</v>
      </c>
      <c r="AI43" s="69">
        <v>100.0</v>
      </c>
      <c r="AJ43" s="69">
        <v>75.0</v>
      </c>
      <c r="AK43" s="69">
        <v>85.0</v>
      </c>
      <c r="AL43" s="70">
        <v>95.2</v>
      </c>
      <c r="AM43" s="73"/>
      <c r="AN43" s="73"/>
      <c r="AO43" s="70">
        <v>0.0</v>
      </c>
      <c r="AP43" s="68" t="s">
        <v>194</v>
      </c>
      <c r="AQ43" s="68" t="s">
        <v>195</v>
      </c>
      <c r="AR43" s="74"/>
      <c r="AS43" s="73"/>
      <c r="AT43" s="74"/>
      <c r="AU43" s="74"/>
      <c r="AV43" s="73"/>
      <c r="AW43" s="73"/>
    </row>
    <row r="44">
      <c r="A44" s="42" t="s">
        <v>292</v>
      </c>
      <c r="B44" s="63">
        <v>100.0</v>
      </c>
      <c r="C44" s="63">
        <v>115.0</v>
      </c>
      <c r="D44" s="63">
        <v>0.0</v>
      </c>
      <c r="E44" s="63">
        <v>90.0</v>
      </c>
      <c r="F44" s="63">
        <v>0.0</v>
      </c>
      <c r="G44" s="42" t="s">
        <v>172</v>
      </c>
      <c r="H44" s="63" t="s">
        <v>293</v>
      </c>
      <c r="I44" s="80" t="s">
        <v>220</v>
      </c>
      <c r="J44" s="42" t="s">
        <v>174</v>
      </c>
      <c r="K44" s="42" t="s">
        <v>294</v>
      </c>
      <c r="L44" s="42" t="s">
        <v>295</v>
      </c>
      <c r="M44" s="42" t="s">
        <v>296</v>
      </c>
      <c r="N44" s="63">
        <v>2.0</v>
      </c>
      <c r="O44" s="63">
        <v>1.0</v>
      </c>
      <c r="P44" s="42" t="s">
        <v>172</v>
      </c>
      <c r="Q44" s="42" t="s">
        <v>189</v>
      </c>
      <c r="R44" s="42" t="s">
        <v>174</v>
      </c>
      <c r="S44" s="42" t="s">
        <v>297</v>
      </c>
      <c r="T44" s="42" t="s">
        <v>298</v>
      </c>
      <c r="U44" s="80" t="s">
        <v>223</v>
      </c>
      <c r="V44" s="42" t="s">
        <v>200</v>
      </c>
      <c r="W44" s="80" t="s">
        <v>223</v>
      </c>
      <c r="X44" s="80" t="s">
        <v>299</v>
      </c>
      <c r="Y44" s="72" t="s">
        <v>181</v>
      </c>
      <c r="Z44" s="80" t="s">
        <v>225</v>
      </c>
      <c r="AA44" s="68" t="s">
        <v>174</v>
      </c>
      <c r="AB44" s="68" t="s">
        <v>226</v>
      </c>
      <c r="AC44" s="69">
        <v>100.0</v>
      </c>
      <c r="AD44" s="69">
        <v>90.0</v>
      </c>
      <c r="AE44" s="69">
        <v>90.0</v>
      </c>
      <c r="AF44" s="69">
        <v>95.0</v>
      </c>
      <c r="AG44" s="69">
        <v>92.0</v>
      </c>
      <c r="AH44" s="69">
        <v>16.1</v>
      </c>
      <c r="AI44" s="69">
        <v>31.2</v>
      </c>
      <c r="AJ44" s="69">
        <v>40.0</v>
      </c>
      <c r="AK44" s="69">
        <v>85.0</v>
      </c>
      <c r="AL44" s="70">
        <v>74.7</v>
      </c>
      <c r="AM44" s="71">
        <v>9.0</v>
      </c>
      <c r="AN44" s="71">
        <v>11.0</v>
      </c>
      <c r="AO44" s="70">
        <v>0.0</v>
      </c>
      <c r="AP44" s="68" t="s">
        <v>194</v>
      </c>
      <c r="AQ44" s="68" t="s">
        <v>195</v>
      </c>
      <c r="AR44" s="70">
        <v>2.0</v>
      </c>
      <c r="AS44" s="71">
        <v>0.0</v>
      </c>
      <c r="AT44" s="70">
        <v>14.0</v>
      </c>
      <c r="AU44" s="70">
        <v>60.7</v>
      </c>
      <c r="AV44" s="71">
        <v>10.0</v>
      </c>
      <c r="AW44" s="71">
        <v>17.0</v>
      </c>
    </row>
    <row r="45">
      <c r="A45" s="42" t="s">
        <v>300</v>
      </c>
      <c r="B45" s="63">
        <v>100.0</v>
      </c>
      <c r="C45" s="63">
        <v>120.0</v>
      </c>
      <c r="D45" s="63">
        <v>0.0</v>
      </c>
      <c r="E45" s="63">
        <v>90.0</v>
      </c>
      <c r="F45" s="63">
        <v>0.0</v>
      </c>
      <c r="G45" s="42" t="s">
        <v>172</v>
      </c>
      <c r="H45" s="80" t="s">
        <v>293</v>
      </c>
      <c r="I45" s="80" t="s">
        <v>220</v>
      </c>
      <c r="J45" s="42" t="s">
        <v>174</v>
      </c>
      <c r="K45" s="42" t="s">
        <v>294</v>
      </c>
      <c r="L45" s="42" t="s">
        <v>295</v>
      </c>
      <c r="M45" s="42" t="s">
        <v>301</v>
      </c>
      <c r="N45" s="80">
        <v>2.0</v>
      </c>
      <c r="O45" s="80">
        <v>1.0</v>
      </c>
      <c r="P45" s="42" t="s">
        <v>172</v>
      </c>
      <c r="Q45" s="42" t="s">
        <v>189</v>
      </c>
      <c r="R45" s="42" t="s">
        <v>174</v>
      </c>
      <c r="S45" s="42" t="s">
        <v>302</v>
      </c>
      <c r="T45" s="42" t="s">
        <v>298</v>
      </c>
      <c r="U45" s="80" t="s">
        <v>223</v>
      </c>
      <c r="V45" s="42" t="s">
        <v>200</v>
      </c>
      <c r="W45" s="80" t="s">
        <v>223</v>
      </c>
      <c r="X45" s="80" t="s">
        <v>299</v>
      </c>
      <c r="Y45" s="72" t="s">
        <v>181</v>
      </c>
      <c r="Z45" s="80" t="s">
        <v>225</v>
      </c>
      <c r="AA45" s="68" t="s">
        <v>174</v>
      </c>
      <c r="AB45" s="68" t="s">
        <v>226</v>
      </c>
      <c r="AC45" s="69">
        <v>100.0</v>
      </c>
      <c r="AD45" s="69">
        <v>90.0</v>
      </c>
      <c r="AE45" s="69">
        <v>90.0</v>
      </c>
      <c r="AF45" s="69">
        <v>95.0</v>
      </c>
      <c r="AG45" s="69">
        <v>92.0</v>
      </c>
      <c r="AH45" s="69">
        <v>16.8</v>
      </c>
      <c r="AI45" s="69">
        <v>35.8</v>
      </c>
      <c r="AJ45" s="69">
        <v>40.0</v>
      </c>
      <c r="AK45" s="69">
        <v>85.0</v>
      </c>
      <c r="AL45" s="70">
        <v>75.7</v>
      </c>
      <c r="AM45" s="71">
        <v>6.0</v>
      </c>
      <c r="AN45" s="71">
        <v>8.0</v>
      </c>
      <c r="AO45" s="70">
        <v>0.0</v>
      </c>
      <c r="AP45" s="68" t="s">
        <v>194</v>
      </c>
      <c r="AQ45" s="68" t="s">
        <v>195</v>
      </c>
      <c r="AR45" s="70">
        <v>0.0</v>
      </c>
      <c r="AS45" s="71">
        <v>0.0</v>
      </c>
      <c r="AT45" s="70">
        <v>0.0</v>
      </c>
      <c r="AU45" s="70">
        <v>75.7</v>
      </c>
      <c r="AV45" s="71">
        <v>4.0</v>
      </c>
      <c r="AW45" s="71">
        <v>6.0</v>
      </c>
    </row>
    <row r="46">
      <c r="A46" s="42" t="s">
        <v>303</v>
      </c>
      <c r="B46" s="63">
        <v>100.0</v>
      </c>
      <c r="C46" s="63">
        <v>120.0</v>
      </c>
      <c r="D46" s="63">
        <v>0.0</v>
      </c>
      <c r="E46" s="63">
        <v>180.0</v>
      </c>
      <c r="F46" s="63">
        <v>0.0</v>
      </c>
      <c r="G46" s="42" t="s">
        <v>172</v>
      </c>
      <c r="H46" s="80" t="s">
        <v>293</v>
      </c>
      <c r="I46" s="80" t="s">
        <v>220</v>
      </c>
      <c r="J46" s="42" t="s">
        <v>174</v>
      </c>
      <c r="K46" s="42" t="s">
        <v>294</v>
      </c>
      <c r="L46" s="42" t="s">
        <v>295</v>
      </c>
      <c r="M46" s="42" t="s">
        <v>304</v>
      </c>
      <c r="N46" s="80">
        <v>2.0</v>
      </c>
      <c r="O46" s="80">
        <v>1.0</v>
      </c>
      <c r="P46" s="42" t="s">
        <v>172</v>
      </c>
      <c r="Q46" s="42" t="s">
        <v>189</v>
      </c>
      <c r="R46" s="42" t="s">
        <v>174</v>
      </c>
      <c r="S46" s="42" t="s">
        <v>305</v>
      </c>
      <c r="T46" s="42" t="s">
        <v>298</v>
      </c>
      <c r="U46" s="80" t="s">
        <v>223</v>
      </c>
      <c r="V46" s="42" t="s">
        <v>200</v>
      </c>
      <c r="W46" s="80" t="s">
        <v>223</v>
      </c>
      <c r="X46" s="80" t="s">
        <v>299</v>
      </c>
      <c r="Y46" s="72" t="s">
        <v>181</v>
      </c>
      <c r="Z46" s="80" t="s">
        <v>225</v>
      </c>
      <c r="AA46" s="68" t="s">
        <v>174</v>
      </c>
      <c r="AB46" s="68" t="s">
        <v>226</v>
      </c>
      <c r="AC46" s="69">
        <v>100.0</v>
      </c>
      <c r="AD46" s="69">
        <v>90.0</v>
      </c>
      <c r="AE46" s="69">
        <v>90.0</v>
      </c>
      <c r="AF46" s="69">
        <v>95.0</v>
      </c>
      <c r="AG46" s="69">
        <v>92.0</v>
      </c>
      <c r="AH46" s="69">
        <v>16.8</v>
      </c>
      <c r="AI46" s="69">
        <v>35.8</v>
      </c>
      <c r="AJ46" s="69">
        <v>40.0</v>
      </c>
      <c r="AK46" s="69">
        <v>85.0</v>
      </c>
      <c r="AL46" s="70">
        <v>75.7</v>
      </c>
      <c r="AM46" s="71">
        <v>7.0</v>
      </c>
      <c r="AN46" s="71">
        <v>9.0</v>
      </c>
      <c r="AO46" s="70">
        <v>0.0</v>
      </c>
      <c r="AP46" s="68" t="s">
        <v>194</v>
      </c>
      <c r="AQ46" s="68" t="s">
        <v>195</v>
      </c>
      <c r="AR46" s="70">
        <v>0.0</v>
      </c>
      <c r="AS46" s="71">
        <v>0.0</v>
      </c>
      <c r="AT46" s="70">
        <v>0.0</v>
      </c>
      <c r="AU46" s="70">
        <v>75.7</v>
      </c>
      <c r="AV46" s="71">
        <v>5.0</v>
      </c>
      <c r="AW46" s="71">
        <v>7.0</v>
      </c>
    </row>
    <row r="47">
      <c r="A47" s="42" t="s">
        <v>306</v>
      </c>
      <c r="B47" s="63">
        <v>80.0</v>
      </c>
      <c r="C47" s="63">
        <v>0.0</v>
      </c>
      <c r="D47" s="63">
        <v>0.0</v>
      </c>
      <c r="E47" s="63">
        <v>2.0</v>
      </c>
      <c r="F47" s="63">
        <v>2.0</v>
      </c>
      <c r="G47" s="42" t="s">
        <v>172</v>
      </c>
      <c r="H47" s="63" t="s">
        <v>307</v>
      </c>
      <c r="I47" s="64"/>
      <c r="J47" s="42" t="s">
        <v>174</v>
      </c>
      <c r="K47" s="42" t="s">
        <v>308</v>
      </c>
      <c r="L47" s="65"/>
      <c r="M47" s="65"/>
      <c r="N47" s="65"/>
      <c r="O47" s="65"/>
      <c r="P47" s="42" t="s">
        <v>172</v>
      </c>
      <c r="Q47" s="42" t="s">
        <v>189</v>
      </c>
      <c r="R47" s="42" t="s">
        <v>172</v>
      </c>
      <c r="S47" s="42" t="s">
        <v>309</v>
      </c>
      <c r="T47" s="42" t="s">
        <v>310</v>
      </c>
      <c r="U47" s="64"/>
      <c r="V47" s="42" t="s">
        <v>269</v>
      </c>
      <c r="W47" s="64"/>
      <c r="X47" s="66" t="s">
        <v>180</v>
      </c>
      <c r="Y47" s="67" t="s">
        <v>181</v>
      </c>
      <c r="Z47" s="66" t="s">
        <v>182</v>
      </c>
      <c r="AA47" s="68" t="s">
        <v>174</v>
      </c>
      <c r="AB47" s="68" t="s">
        <v>226</v>
      </c>
      <c r="AC47" s="69">
        <v>100.0</v>
      </c>
      <c r="AD47" s="69">
        <v>0.0</v>
      </c>
      <c r="AE47" s="69">
        <v>70.0</v>
      </c>
      <c r="AF47" s="69">
        <v>100.0</v>
      </c>
      <c r="AG47" s="69">
        <v>82.0</v>
      </c>
      <c r="AH47" s="69">
        <v>11.2</v>
      </c>
      <c r="AI47" s="69">
        <v>0.0</v>
      </c>
      <c r="AJ47" s="69">
        <v>75.0</v>
      </c>
      <c r="AK47" s="69">
        <v>85.0</v>
      </c>
      <c r="AL47" s="70">
        <v>53.2</v>
      </c>
      <c r="AM47" s="71">
        <v>13.0</v>
      </c>
      <c r="AN47" s="71">
        <v>58.0</v>
      </c>
      <c r="AO47" s="70">
        <v>2.0</v>
      </c>
      <c r="AP47" s="68" t="s">
        <v>194</v>
      </c>
      <c r="AQ47" s="68" t="s">
        <v>195</v>
      </c>
      <c r="AR47" s="70">
        <v>4.0</v>
      </c>
      <c r="AS47" s="71">
        <v>7.0</v>
      </c>
      <c r="AT47" s="70">
        <v>18.0</v>
      </c>
      <c r="AU47" s="70">
        <v>35.2</v>
      </c>
      <c r="AV47" s="71">
        <v>13.0</v>
      </c>
      <c r="AW47" s="71">
        <v>67.0</v>
      </c>
    </row>
    <row r="48">
      <c r="A48" s="42" t="s">
        <v>311</v>
      </c>
      <c r="B48" s="63">
        <v>100.0</v>
      </c>
      <c r="C48" s="63">
        <v>0.0</v>
      </c>
      <c r="D48" s="63">
        <v>0.0</v>
      </c>
      <c r="E48" s="63">
        <v>1.0</v>
      </c>
      <c r="F48" s="63">
        <v>0.0</v>
      </c>
      <c r="G48" s="42" t="s">
        <v>172</v>
      </c>
      <c r="H48" s="63" t="s">
        <v>213</v>
      </c>
      <c r="I48" s="64"/>
      <c r="J48" s="42" t="s">
        <v>174</v>
      </c>
      <c r="K48" s="42" t="s">
        <v>312</v>
      </c>
      <c r="L48" s="65"/>
      <c r="M48" s="65"/>
      <c r="N48" s="65"/>
      <c r="O48" s="65"/>
      <c r="P48" s="42" t="s">
        <v>172</v>
      </c>
      <c r="Q48" s="42" t="s">
        <v>189</v>
      </c>
      <c r="R48" s="42" t="s">
        <v>172</v>
      </c>
      <c r="S48" s="42" t="s">
        <v>313</v>
      </c>
      <c r="T48" s="42" t="s">
        <v>314</v>
      </c>
      <c r="U48" s="64"/>
      <c r="V48" s="42" t="s">
        <v>200</v>
      </c>
      <c r="W48" s="64"/>
      <c r="X48" s="66" t="s">
        <v>180</v>
      </c>
      <c r="Y48" s="67" t="s">
        <v>181</v>
      </c>
      <c r="Z48" s="66" t="s">
        <v>182</v>
      </c>
      <c r="AA48" s="68" t="s">
        <v>174</v>
      </c>
      <c r="AB48" s="68" t="s">
        <v>183</v>
      </c>
      <c r="AC48" s="69">
        <v>25.0</v>
      </c>
      <c r="AD48" s="69">
        <v>80.0</v>
      </c>
      <c r="AE48" s="69">
        <v>70.0</v>
      </c>
      <c r="AF48" s="69">
        <v>95.0</v>
      </c>
      <c r="AG48" s="69">
        <v>80.0</v>
      </c>
      <c r="AH48" s="69">
        <v>14.0</v>
      </c>
      <c r="AI48" s="69">
        <v>17.5</v>
      </c>
      <c r="AJ48" s="69">
        <v>60.0</v>
      </c>
      <c r="AK48" s="69">
        <v>85.0</v>
      </c>
      <c r="AL48" s="70">
        <v>50.8</v>
      </c>
      <c r="AM48" s="71">
        <v>43.0</v>
      </c>
      <c r="AN48" s="71">
        <v>70.0</v>
      </c>
      <c r="AO48" s="70">
        <v>181.0</v>
      </c>
      <c r="AP48" s="68" t="s">
        <v>184</v>
      </c>
      <c r="AQ48" s="68" t="s">
        <v>185</v>
      </c>
      <c r="AR48" s="70">
        <v>1.0</v>
      </c>
      <c r="AS48" s="71">
        <v>1.0</v>
      </c>
      <c r="AT48" s="70">
        <v>7.0</v>
      </c>
      <c r="AU48" s="70">
        <v>43.8</v>
      </c>
      <c r="AV48" s="71">
        <v>26.0</v>
      </c>
      <c r="AW48" s="71">
        <v>51.0</v>
      </c>
    </row>
    <row r="49">
      <c r="A49" s="42" t="s">
        <v>315</v>
      </c>
      <c r="B49" s="63">
        <v>115.75</v>
      </c>
      <c r="C49" s="63">
        <v>0.0</v>
      </c>
      <c r="D49" s="63">
        <v>0.0</v>
      </c>
      <c r="E49" s="63">
        <v>365.0</v>
      </c>
      <c r="F49" s="63">
        <v>365.0</v>
      </c>
      <c r="G49" s="42" t="s">
        <v>172</v>
      </c>
      <c r="H49" s="63" t="s">
        <v>173</v>
      </c>
      <c r="I49" s="64"/>
      <c r="J49" s="42" t="s">
        <v>174</v>
      </c>
      <c r="K49" s="42" t="s">
        <v>316</v>
      </c>
      <c r="L49" s="65"/>
      <c r="M49" s="65"/>
      <c r="N49" s="65"/>
      <c r="O49" s="65"/>
      <c r="P49" s="42" t="s">
        <v>172</v>
      </c>
      <c r="Q49" s="42" t="s">
        <v>189</v>
      </c>
      <c r="R49" s="42" t="s">
        <v>172</v>
      </c>
      <c r="S49" s="42" t="s">
        <v>317</v>
      </c>
      <c r="T49" s="42" t="s">
        <v>318</v>
      </c>
      <c r="U49" s="64"/>
      <c r="V49" s="42" t="s">
        <v>179</v>
      </c>
      <c r="W49" s="64"/>
      <c r="X49" s="66" t="s">
        <v>180</v>
      </c>
      <c r="Y49" s="67" t="s">
        <v>181</v>
      </c>
      <c r="Z49" s="66" t="s">
        <v>182</v>
      </c>
      <c r="AA49" s="68" t="s">
        <v>174</v>
      </c>
      <c r="AB49" s="68" t="s">
        <v>183</v>
      </c>
      <c r="AC49" s="69">
        <v>25.0</v>
      </c>
      <c r="AD49" s="69">
        <v>100.0</v>
      </c>
      <c r="AE49" s="69">
        <v>70.0</v>
      </c>
      <c r="AF49" s="69">
        <v>60.0</v>
      </c>
      <c r="AG49" s="69">
        <v>66.0</v>
      </c>
      <c r="AH49" s="69">
        <v>16.2</v>
      </c>
      <c r="AI49" s="69">
        <v>31.9</v>
      </c>
      <c r="AJ49" s="69">
        <v>75.0</v>
      </c>
      <c r="AK49" s="69">
        <v>85.0</v>
      </c>
      <c r="AL49" s="70">
        <v>56.2</v>
      </c>
      <c r="AM49" s="71">
        <v>21.0</v>
      </c>
      <c r="AN49" s="71">
        <v>47.0</v>
      </c>
      <c r="AO49" s="70">
        <v>365.0</v>
      </c>
      <c r="AP49" s="68" t="s">
        <v>194</v>
      </c>
      <c r="AQ49" s="68" t="s">
        <v>195</v>
      </c>
      <c r="AR49" s="70">
        <v>1.0</v>
      </c>
      <c r="AS49" s="71">
        <v>0.0</v>
      </c>
      <c r="AT49" s="70">
        <v>7.0</v>
      </c>
      <c r="AU49" s="70">
        <v>49.2</v>
      </c>
      <c r="AV49" s="71">
        <v>24.0</v>
      </c>
      <c r="AW49" s="71">
        <v>47.0</v>
      </c>
    </row>
    <row r="50">
      <c r="A50" s="42" t="s">
        <v>319</v>
      </c>
      <c r="B50" s="63">
        <v>119.16</v>
      </c>
      <c r="C50" s="63">
        <v>0.0</v>
      </c>
      <c r="D50" s="63">
        <v>0.0</v>
      </c>
      <c r="E50" s="63">
        <v>730.0</v>
      </c>
      <c r="F50" s="63">
        <v>730.0</v>
      </c>
      <c r="G50" s="42" t="s">
        <v>172</v>
      </c>
      <c r="H50" s="63" t="s">
        <v>173</v>
      </c>
      <c r="I50" s="64"/>
      <c r="J50" s="42" t="s">
        <v>174</v>
      </c>
      <c r="K50" s="42" t="s">
        <v>316</v>
      </c>
      <c r="L50" s="65"/>
      <c r="M50" s="65"/>
      <c r="N50" s="65"/>
      <c r="O50" s="65"/>
      <c r="P50" s="42" t="s">
        <v>172</v>
      </c>
      <c r="Q50" s="42" t="s">
        <v>189</v>
      </c>
      <c r="R50" s="42" t="s">
        <v>172</v>
      </c>
      <c r="S50" s="42" t="s">
        <v>320</v>
      </c>
      <c r="T50" s="42" t="s">
        <v>318</v>
      </c>
      <c r="U50" s="64"/>
      <c r="V50" s="42" t="s">
        <v>179</v>
      </c>
      <c r="W50" s="64"/>
      <c r="X50" s="66" t="s">
        <v>180</v>
      </c>
      <c r="Y50" s="67" t="s">
        <v>181</v>
      </c>
      <c r="Z50" s="64"/>
      <c r="AA50" s="68" t="s">
        <v>174</v>
      </c>
      <c r="AB50" s="68" t="s">
        <v>183</v>
      </c>
      <c r="AC50" s="69">
        <v>10.0</v>
      </c>
      <c r="AD50" s="69">
        <v>100.0</v>
      </c>
      <c r="AE50" s="69">
        <v>70.0</v>
      </c>
      <c r="AF50" s="69">
        <v>60.0</v>
      </c>
      <c r="AG50" s="69">
        <v>66.0</v>
      </c>
      <c r="AH50" s="69">
        <v>16.68</v>
      </c>
      <c r="AI50" s="69">
        <v>35.0</v>
      </c>
      <c r="AJ50" s="69">
        <v>75.0</v>
      </c>
      <c r="AK50" s="69">
        <v>85.0</v>
      </c>
      <c r="AL50" s="70">
        <v>53.2</v>
      </c>
      <c r="AM50" s="71">
        <v>32.0</v>
      </c>
      <c r="AN50" s="71">
        <v>59.0</v>
      </c>
      <c r="AO50" s="70">
        <v>730.0</v>
      </c>
      <c r="AP50" s="68" t="s">
        <v>194</v>
      </c>
      <c r="AQ50" s="68" t="s">
        <v>195</v>
      </c>
      <c r="AR50" s="70">
        <v>0.0</v>
      </c>
      <c r="AS50" s="71">
        <v>0.0</v>
      </c>
      <c r="AT50" s="70">
        <v>0.0</v>
      </c>
      <c r="AU50" s="70">
        <v>53.2</v>
      </c>
      <c r="AV50" s="71">
        <v>10.0</v>
      </c>
      <c r="AW50" s="71">
        <v>30.0</v>
      </c>
    </row>
    <row r="51">
      <c r="A51" s="42" t="s">
        <v>321</v>
      </c>
      <c r="B51" s="63">
        <v>104.41</v>
      </c>
      <c r="C51" s="63">
        <v>0.0</v>
      </c>
      <c r="D51" s="63">
        <v>0.0</v>
      </c>
      <c r="E51" s="63">
        <v>90.0</v>
      </c>
      <c r="F51" s="63">
        <v>90.0</v>
      </c>
      <c r="G51" s="42" t="s">
        <v>172</v>
      </c>
      <c r="H51" s="63" t="s">
        <v>173</v>
      </c>
      <c r="I51" s="64"/>
      <c r="J51" s="42" t="s">
        <v>174</v>
      </c>
      <c r="K51" s="42" t="s">
        <v>316</v>
      </c>
      <c r="L51" s="65"/>
      <c r="M51" s="65"/>
      <c r="N51" s="65"/>
      <c r="O51" s="65"/>
      <c r="P51" s="42" t="s">
        <v>172</v>
      </c>
      <c r="Q51" s="42" t="s">
        <v>189</v>
      </c>
      <c r="R51" s="42" t="s">
        <v>172</v>
      </c>
      <c r="S51" s="42" t="s">
        <v>322</v>
      </c>
      <c r="T51" s="42" t="s">
        <v>318</v>
      </c>
      <c r="U51" s="64"/>
      <c r="V51" s="42" t="s">
        <v>179</v>
      </c>
      <c r="W51" s="64"/>
      <c r="X51" s="66" t="s">
        <v>180</v>
      </c>
      <c r="Y51" s="67" t="s">
        <v>181</v>
      </c>
      <c r="Z51" s="66" t="s">
        <v>182</v>
      </c>
      <c r="AA51" s="68" t="s">
        <v>174</v>
      </c>
      <c r="AB51" s="68" t="s">
        <v>193</v>
      </c>
      <c r="AC51" s="69">
        <v>45.0</v>
      </c>
      <c r="AD51" s="69">
        <v>100.0</v>
      </c>
      <c r="AE51" s="69">
        <v>70.0</v>
      </c>
      <c r="AF51" s="69">
        <v>60.0</v>
      </c>
      <c r="AG51" s="69">
        <v>66.0</v>
      </c>
      <c r="AH51" s="69">
        <v>14.62</v>
      </c>
      <c r="AI51" s="69">
        <v>21.5</v>
      </c>
      <c r="AJ51" s="69">
        <v>75.0</v>
      </c>
      <c r="AK51" s="69">
        <v>85.0</v>
      </c>
      <c r="AL51" s="70">
        <v>58.9</v>
      </c>
      <c r="AM51" s="71">
        <v>10.0</v>
      </c>
      <c r="AN51" s="71">
        <v>29.0</v>
      </c>
      <c r="AO51" s="70">
        <v>90.0</v>
      </c>
      <c r="AP51" s="68" t="s">
        <v>194</v>
      </c>
      <c r="AQ51" s="68" t="s">
        <v>195</v>
      </c>
      <c r="AR51" s="70">
        <v>3.0</v>
      </c>
      <c r="AS51" s="71">
        <v>2.0</v>
      </c>
      <c r="AT51" s="70">
        <v>18.0</v>
      </c>
      <c r="AU51" s="70">
        <v>40.9</v>
      </c>
      <c r="AV51" s="71">
        <v>10.0</v>
      </c>
      <c r="AW51" s="71">
        <v>55.0</v>
      </c>
    </row>
    <row r="52">
      <c r="A52" s="42" t="s">
        <v>323</v>
      </c>
      <c r="B52" s="63">
        <v>108.76</v>
      </c>
      <c r="C52" s="63">
        <v>0.0</v>
      </c>
      <c r="D52" s="63">
        <v>0.0</v>
      </c>
      <c r="E52" s="63">
        <v>180.0</v>
      </c>
      <c r="F52" s="63">
        <v>180.0</v>
      </c>
      <c r="G52" s="42" t="s">
        <v>172</v>
      </c>
      <c r="H52" s="63" t="s">
        <v>173</v>
      </c>
      <c r="I52" s="64"/>
      <c r="J52" s="42" t="s">
        <v>174</v>
      </c>
      <c r="K52" s="42" t="s">
        <v>316</v>
      </c>
      <c r="L52" s="65"/>
      <c r="M52" s="65"/>
      <c r="N52" s="65"/>
      <c r="O52" s="65"/>
      <c r="P52" s="42" t="s">
        <v>172</v>
      </c>
      <c r="Q52" s="42" t="s">
        <v>189</v>
      </c>
      <c r="R52" s="42" t="s">
        <v>172</v>
      </c>
      <c r="S52" s="42" t="s">
        <v>324</v>
      </c>
      <c r="T52" s="42" t="s">
        <v>318</v>
      </c>
      <c r="U52" s="64"/>
      <c r="V52" s="42" t="s">
        <v>179</v>
      </c>
      <c r="W52" s="64"/>
      <c r="X52" s="66" t="s">
        <v>180</v>
      </c>
      <c r="Y52" s="67" t="s">
        <v>181</v>
      </c>
      <c r="Z52" s="66" t="s">
        <v>182</v>
      </c>
      <c r="AA52" s="68" t="s">
        <v>174</v>
      </c>
      <c r="AB52" s="68" t="s">
        <v>193</v>
      </c>
      <c r="AC52" s="69">
        <v>45.0</v>
      </c>
      <c r="AD52" s="69">
        <v>100.0</v>
      </c>
      <c r="AE52" s="69">
        <v>70.0</v>
      </c>
      <c r="AF52" s="69">
        <v>60.0</v>
      </c>
      <c r="AG52" s="69">
        <v>66.0</v>
      </c>
      <c r="AH52" s="69">
        <v>15.23</v>
      </c>
      <c r="AI52" s="69">
        <v>25.5</v>
      </c>
      <c r="AJ52" s="69">
        <v>75.0</v>
      </c>
      <c r="AK52" s="69">
        <v>85.0</v>
      </c>
      <c r="AL52" s="70">
        <v>59.8</v>
      </c>
      <c r="AM52" s="71">
        <v>9.0</v>
      </c>
      <c r="AN52" s="71">
        <v>28.0</v>
      </c>
      <c r="AO52" s="70">
        <v>180.0</v>
      </c>
      <c r="AP52" s="68" t="s">
        <v>194</v>
      </c>
      <c r="AQ52" s="68" t="s">
        <v>195</v>
      </c>
      <c r="AR52" s="70">
        <v>2.0</v>
      </c>
      <c r="AS52" s="71">
        <v>1.0</v>
      </c>
      <c r="AT52" s="70">
        <v>14.0</v>
      </c>
      <c r="AU52" s="70">
        <v>45.8</v>
      </c>
      <c r="AV52" s="71">
        <v>9.0</v>
      </c>
      <c r="AW52" s="71">
        <v>50.0</v>
      </c>
    </row>
    <row r="53">
      <c r="A53" s="42" t="s">
        <v>325</v>
      </c>
      <c r="B53" s="63">
        <v>100.0</v>
      </c>
      <c r="C53" s="63">
        <v>0.0</v>
      </c>
      <c r="D53" s="63">
        <v>0.0</v>
      </c>
      <c r="E53" s="63">
        <v>1.0</v>
      </c>
      <c r="F53" s="63">
        <v>31.0</v>
      </c>
      <c r="G53" s="42" t="s">
        <v>172</v>
      </c>
      <c r="H53" s="63" t="s">
        <v>271</v>
      </c>
      <c r="I53" s="66" t="s">
        <v>220</v>
      </c>
      <c r="J53" s="42" t="s">
        <v>174</v>
      </c>
      <c r="K53" s="42" t="s">
        <v>175</v>
      </c>
      <c r="L53" s="65"/>
      <c r="M53" s="65"/>
      <c r="N53" s="65"/>
      <c r="O53" s="65"/>
      <c r="P53" s="42" t="s">
        <v>172</v>
      </c>
      <c r="Q53" s="42" t="s">
        <v>189</v>
      </c>
      <c r="R53" s="42" t="s">
        <v>172</v>
      </c>
      <c r="S53" s="42" t="s">
        <v>326</v>
      </c>
      <c r="T53" s="42" t="s">
        <v>327</v>
      </c>
      <c r="U53" s="66" t="s">
        <v>223</v>
      </c>
      <c r="V53" s="42" t="s">
        <v>179</v>
      </c>
      <c r="W53" s="66" t="s">
        <v>223</v>
      </c>
      <c r="X53" s="66" t="s">
        <v>180</v>
      </c>
      <c r="Y53" s="67" t="s">
        <v>181</v>
      </c>
      <c r="Z53" s="66" t="s">
        <v>225</v>
      </c>
      <c r="AA53" s="68" t="s">
        <v>174</v>
      </c>
      <c r="AB53" s="68" t="s">
        <v>253</v>
      </c>
      <c r="AC53" s="69">
        <v>65.0</v>
      </c>
      <c r="AD53" s="69">
        <v>90.0</v>
      </c>
      <c r="AE53" s="69">
        <v>70.0</v>
      </c>
      <c r="AF53" s="69">
        <v>60.0</v>
      </c>
      <c r="AG53" s="69">
        <v>66.0</v>
      </c>
      <c r="AH53" s="69">
        <v>14.0</v>
      </c>
      <c r="AI53" s="69">
        <v>17.5</v>
      </c>
      <c r="AJ53" s="69">
        <v>40.0</v>
      </c>
      <c r="AK53" s="69">
        <v>85.0</v>
      </c>
      <c r="AL53" s="70">
        <v>57.8</v>
      </c>
      <c r="AM53" s="71">
        <v>4.0</v>
      </c>
      <c r="AN53" s="71">
        <v>33.0</v>
      </c>
      <c r="AO53" s="70">
        <v>31.0</v>
      </c>
      <c r="AP53" s="68" t="s">
        <v>194</v>
      </c>
      <c r="AQ53" s="68" t="s">
        <v>195</v>
      </c>
      <c r="AR53" s="70">
        <v>1.0</v>
      </c>
      <c r="AS53" s="71">
        <v>1.0</v>
      </c>
      <c r="AT53" s="70">
        <v>7.0</v>
      </c>
      <c r="AU53" s="70">
        <v>50.8</v>
      </c>
      <c r="AV53" s="71">
        <v>4.0</v>
      </c>
      <c r="AW53" s="71">
        <v>37.0</v>
      </c>
    </row>
    <row r="54">
      <c r="A54" s="42" t="s">
        <v>328</v>
      </c>
      <c r="B54" s="63">
        <v>10.84</v>
      </c>
      <c r="C54" s="63">
        <v>0.0</v>
      </c>
      <c r="D54" s="63">
        <v>0.0</v>
      </c>
      <c r="E54" s="63">
        <v>1825.0</v>
      </c>
      <c r="F54" s="63">
        <v>1825.0</v>
      </c>
      <c r="G54" s="42" t="s">
        <v>174</v>
      </c>
      <c r="H54" s="66" t="s">
        <v>213</v>
      </c>
      <c r="I54" s="64"/>
      <c r="J54" s="42" t="s">
        <v>174</v>
      </c>
      <c r="K54" s="42" t="s">
        <v>329</v>
      </c>
      <c r="L54" s="65"/>
      <c r="M54" s="65"/>
      <c r="N54" s="65"/>
      <c r="O54" s="65"/>
      <c r="P54" s="42" t="s">
        <v>172</v>
      </c>
      <c r="Q54" s="42" t="s">
        <v>242</v>
      </c>
      <c r="R54" s="42" t="s">
        <v>174</v>
      </c>
      <c r="S54" s="42" t="s">
        <v>330</v>
      </c>
      <c r="T54" s="42" t="s">
        <v>244</v>
      </c>
      <c r="U54" s="64"/>
      <c r="V54" s="42" t="s">
        <v>200</v>
      </c>
      <c r="W54" s="64"/>
      <c r="X54" s="66" t="s">
        <v>180</v>
      </c>
      <c r="Y54" s="67" t="s">
        <v>181</v>
      </c>
      <c r="Z54" s="66" t="s">
        <v>182</v>
      </c>
      <c r="AA54" s="68" t="s">
        <v>174</v>
      </c>
      <c r="AB54" s="68" t="s">
        <v>183</v>
      </c>
      <c r="AC54" s="69">
        <v>10.0</v>
      </c>
      <c r="AD54" s="69">
        <v>80.0</v>
      </c>
      <c r="AE54" s="69">
        <v>90.0</v>
      </c>
      <c r="AF54" s="69">
        <v>95.0</v>
      </c>
      <c r="AG54" s="69">
        <v>92.0</v>
      </c>
      <c r="AH54" s="69">
        <v>10.84</v>
      </c>
      <c r="AI54" s="69">
        <v>0.0</v>
      </c>
      <c r="AJ54" s="69">
        <v>100.0</v>
      </c>
      <c r="AK54" s="69">
        <v>85.0</v>
      </c>
      <c r="AL54" s="70">
        <v>49.5</v>
      </c>
      <c r="AM54" s="71">
        <v>48.0</v>
      </c>
      <c r="AN54" s="71">
        <v>75.0</v>
      </c>
      <c r="AO54" s="70">
        <v>1825.0</v>
      </c>
      <c r="AP54" s="68" t="s">
        <v>194</v>
      </c>
      <c r="AQ54" s="68" t="s">
        <v>195</v>
      </c>
      <c r="AR54" s="70">
        <v>4.0</v>
      </c>
      <c r="AS54" s="71">
        <v>4.0</v>
      </c>
      <c r="AT54" s="70">
        <v>18.0</v>
      </c>
      <c r="AU54" s="70">
        <v>31.5</v>
      </c>
      <c r="AV54" s="71">
        <v>48.0</v>
      </c>
      <c r="AW54" s="71">
        <v>75.0</v>
      </c>
    </row>
    <row r="55">
      <c r="A55" s="42" t="s">
        <v>331</v>
      </c>
      <c r="B55" s="63">
        <v>88.0</v>
      </c>
      <c r="C55" s="63">
        <v>0.0</v>
      </c>
      <c r="D55" s="63">
        <v>0.0</v>
      </c>
      <c r="E55" s="63">
        <v>1080.0</v>
      </c>
      <c r="F55" s="63">
        <v>90.0</v>
      </c>
      <c r="G55" s="42" t="s">
        <v>174</v>
      </c>
      <c r="H55" s="63" t="s">
        <v>173</v>
      </c>
      <c r="I55" s="66" t="s">
        <v>220</v>
      </c>
      <c r="J55" s="42" t="s">
        <v>174</v>
      </c>
      <c r="K55" s="42" t="s">
        <v>329</v>
      </c>
      <c r="L55" s="65"/>
      <c r="M55" s="65"/>
      <c r="N55" s="65"/>
      <c r="O55" s="65"/>
      <c r="P55" s="42" t="s">
        <v>172</v>
      </c>
      <c r="Q55" s="42" t="s">
        <v>189</v>
      </c>
      <c r="R55" s="42" t="s">
        <v>174</v>
      </c>
      <c r="S55" s="42" t="s">
        <v>332</v>
      </c>
      <c r="T55" s="42" t="s">
        <v>333</v>
      </c>
      <c r="U55" s="66" t="s">
        <v>223</v>
      </c>
      <c r="V55" s="42" t="s">
        <v>200</v>
      </c>
      <c r="W55" s="66" t="s">
        <v>223</v>
      </c>
      <c r="X55" s="66" t="s">
        <v>180</v>
      </c>
      <c r="Y55" s="67" t="s">
        <v>181</v>
      </c>
      <c r="Z55" s="66" t="s">
        <v>225</v>
      </c>
      <c r="AA55" s="68" t="s">
        <v>174</v>
      </c>
      <c r="AB55" s="68" t="s">
        <v>193</v>
      </c>
      <c r="AC55" s="69">
        <v>45.0</v>
      </c>
      <c r="AD55" s="69">
        <v>100.0</v>
      </c>
      <c r="AE55" s="69">
        <v>90.0</v>
      </c>
      <c r="AF55" s="69">
        <v>95.0</v>
      </c>
      <c r="AG55" s="69">
        <v>92.0</v>
      </c>
      <c r="AH55" s="69">
        <v>12.32</v>
      </c>
      <c r="AI55" s="69">
        <v>6.5</v>
      </c>
      <c r="AJ55" s="69">
        <v>100.0</v>
      </c>
      <c r="AK55" s="69">
        <v>85.0</v>
      </c>
      <c r="AL55" s="70">
        <v>63.3</v>
      </c>
      <c r="AM55" s="71">
        <v>5.0</v>
      </c>
      <c r="AN55" s="71">
        <v>20.0</v>
      </c>
      <c r="AO55" s="70">
        <v>90.0</v>
      </c>
      <c r="AP55" s="68" t="s">
        <v>194</v>
      </c>
      <c r="AQ55" s="68" t="s">
        <v>195</v>
      </c>
      <c r="AR55" s="70">
        <v>0.0</v>
      </c>
      <c r="AS55" s="71">
        <v>0.0</v>
      </c>
      <c r="AT55" s="70">
        <v>0.0</v>
      </c>
      <c r="AU55" s="70">
        <v>63.3</v>
      </c>
      <c r="AV55" s="71">
        <v>2.0</v>
      </c>
      <c r="AW55" s="71">
        <v>11.0</v>
      </c>
    </row>
    <row r="56">
      <c r="A56" s="42" t="s">
        <v>334</v>
      </c>
      <c r="B56" s="63">
        <v>5.5</v>
      </c>
      <c r="C56" s="63">
        <v>0.0</v>
      </c>
      <c r="D56" s="63">
        <v>0.0</v>
      </c>
      <c r="E56" s="63">
        <v>1080.0</v>
      </c>
      <c r="F56" s="63">
        <v>1080.0</v>
      </c>
      <c r="G56" s="42" t="s">
        <v>174</v>
      </c>
      <c r="H56" s="63" t="s">
        <v>213</v>
      </c>
      <c r="I56" s="64"/>
      <c r="J56" s="42" t="s">
        <v>174</v>
      </c>
      <c r="K56" s="42" t="s">
        <v>329</v>
      </c>
      <c r="L56" s="65"/>
      <c r="M56" s="65"/>
      <c r="N56" s="65"/>
      <c r="O56" s="65"/>
      <c r="P56" s="42" t="s">
        <v>172</v>
      </c>
      <c r="Q56" s="42" t="s">
        <v>335</v>
      </c>
      <c r="R56" s="42" t="s">
        <v>174</v>
      </c>
      <c r="S56" s="42" t="s">
        <v>336</v>
      </c>
      <c r="T56" s="66" t="s">
        <v>244</v>
      </c>
      <c r="U56" s="64"/>
      <c r="V56" s="42" t="s">
        <v>179</v>
      </c>
      <c r="W56" s="64"/>
      <c r="X56" s="66" t="s">
        <v>180</v>
      </c>
      <c r="Y56" s="72" t="s">
        <v>181</v>
      </c>
      <c r="Z56" s="66" t="s">
        <v>182</v>
      </c>
      <c r="AA56" s="68" t="s">
        <v>174</v>
      </c>
      <c r="AB56" s="68" t="s">
        <v>183</v>
      </c>
      <c r="AC56" s="69">
        <v>10.0</v>
      </c>
      <c r="AD56" s="69">
        <v>80.0</v>
      </c>
      <c r="AE56" s="69">
        <v>90.0</v>
      </c>
      <c r="AF56" s="69">
        <v>60.0</v>
      </c>
      <c r="AG56" s="69">
        <v>78.0</v>
      </c>
      <c r="AH56" s="69">
        <v>10.0</v>
      </c>
      <c r="AI56" s="69">
        <v>0.0</v>
      </c>
      <c r="AJ56" s="69">
        <v>100.0</v>
      </c>
      <c r="AK56" s="69">
        <v>85.0</v>
      </c>
      <c r="AL56" s="70">
        <v>46.8</v>
      </c>
      <c r="AM56" s="71">
        <v>49.0</v>
      </c>
      <c r="AN56" s="71">
        <v>76.0</v>
      </c>
      <c r="AO56" s="70">
        <v>1080.0</v>
      </c>
      <c r="AP56" s="68" t="s">
        <v>194</v>
      </c>
      <c r="AQ56" s="68" t="s">
        <v>195</v>
      </c>
      <c r="AR56" s="70">
        <v>7.0</v>
      </c>
      <c r="AS56" s="71">
        <v>6.0</v>
      </c>
      <c r="AT56" s="70">
        <v>18.0</v>
      </c>
      <c r="AU56" s="70">
        <v>27.5</v>
      </c>
      <c r="AV56" s="71">
        <v>49.0</v>
      </c>
      <c r="AW56" s="71">
        <v>76.0</v>
      </c>
    </row>
    <row r="57">
      <c r="A57" s="42" t="s">
        <v>337</v>
      </c>
      <c r="B57" s="63">
        <v>93.5</v>
      </c>
      <c r="C57" s="63">
        <v>0.0</v>
      </c>
      <c r="D57" s="63">
        <v>0.0</v>
      </c>
      <c r="E57" s="63">
        <v>730.0</v>
      </c>
      <c r="F57" s="63">
        <v>730.0</v>
      </c>
      <c r="G57" s="42" t="s">
        <v>174</v>
      </c>
      <c r="H57" s="78" t="s">
        <v>213</v>
      </c>
      <c r="I57" s="79"/>
      <c r="J57" s="42" t="s">
        <v>174</v>
      </c>
      <c r="K57" s="42" t="s">
        <v>329</v>
      </c>
      <c r="L57" s="65"/>
      <c r="M57" s="65"/>
      <c r="N57" s="65"/>
      <c r="O57" s="65"/>
      <c r="P57" s="42" t="s">
        <v>172</v>
      </c>
      <c r="Q57" s="42" t="s">
        <v>189</v>
      </c>
      <c r="R57" s="42" t="s">
        <v>174</v>
      </c>
      <c r="S57" s="42" t="s">
        <v>338</v>
      </c>
      <c r="T57" s="42" t="s">
        <v>339</v>
      </c>
      <c r="U57" s="79"/>
      <c r="V57" s="42" t="s">
        <v>200</v>
      </c>
      <c r="W57" s="79"/>
      <c r="X57" s="78" t="s">
        <v>252</v>
      </c>
      <c r="Y57" s="67" t="s">
        <v>181</v>
      </c>
      <c r="Z57" s="78" t="s">
        <v>182</v>
      </c>
      <c r="AA57" s="68" t="s">
        <v>174</v>
      </c>
      <c r="AB57" s="68" t="s">
        <v>183</v>
      </c>
      <c r="AC57" s="69">
        <v>10.0</v>
      </c>
      <c r="AD57" s="69">
        <v>80.0</v>
      </c>
      <c r="AE57" s="69">
        <v>90.0</v>
      </c>
      <c r="AF57" s="69">
        <v>95.0</v>
      </c>
      <c r="AG57" s="69">
        <v>92.0</v>
      </c>
      <c r="AH57" s="69">
        <v>13.09</v>
      </c>
      <c r="AI57" s="69">
        <v>11.5</v>
      </c>
      <c r="AJ57" s="69">
        <v>100.0</v>
      </c>
      <c r="AK57" s="69">
        <v>85.0</v>
      </c>
      <c r="AL57" s="70">
        <v>52.1</v>
      </c>
      <c r="AM57" s="71">
        <v>36.0</v>
      </c>
      <c r="AN57" s="71">
        <v>63.0</v>
      </c>
      <c r="AO57" s="70">
        <v>730.0</v>
      </c>
      <c r="AP57" s="68" t="s">
        <v>194</v>
      </c>
      <c r="AQ57" s="68" t="s">
        <v>195</v>
      </c>
      <c r="AR57" s="70">
        <v>0.0</v>
      </c>
      <c r="AS57" s="71">
        <v>0.0</v>
      </c>
      <c r="AT57" s="70">
        <v>0.0</v>
      </c>
      <c r="AU57" s="70">
        <v>52.1</v>
      </c>
      <c r="AV57" s="71">
        <v>11.0</v>
      </c>
      <c r="AW57" s="71">
        <v>32.0</v>
      </c>
    </row>
    <row r="58">
      <c r="A58" s="42" t="s">
        <v>340</v>
      </c>
      <c r="B58" s="63">
        <v>12.05</v>
      </c>
      <c r="C58" s="63">
        <v>0.0</v>
      </c>
      <c r="D58" s="63">
        <v>0.0</v>
      </c>
      <c r="E58" s="63">
        <v>365.0</v>
      </c>
      <c r="F58" s="63">
        <v>365.0</v>
      </c>
      <c r="G58" s="42" t="s">
        <v>174</v>
      </c>
      <c r="H58" s="66" t="s">
        <v>213</v>
      </c>
      <c r="I58" s="64"/>
      <c r="J58" s="42" t="s">
        <v>174</v>
      </c>
      <c r="K58" s="42" t="s">
        <v>329</v>
      </c>
      <c r="L58" s="65"/>
      <c r="M58" s="65"/>
      <c r="N58" s="65"/>
      <c r="O58" s="65"/>
      <c r="P58" s="42" t="s">
        <v>172</v>
      </c>
      <c r="Q58" s="42" t="s">
        <v>242</v>
      </c>
      <c r="R58" s="42" t="s">
        <v>174</v>
      </c>
      <c r="S58" s="42" t="s">
        <v>341</v>
      </c>
      <c r="T58" s="42" t="s">
        <v>339</v>
      </c>
      <c r="U58" s="64"/>
      <c r="V58" s="42" t="s">
        <v>200</v>
      </c>
      <c r="W58" s="64"/>
      <c r="X58" s="66" t="s">
        <v>180</v>
      </c>
      <c r="Y58" s="67" t="s">
        <v>181</v>
      </c>
      <c r="Z58" s="64"/>
      <c r="AA58" s="68" t="s">
        <v>174</v>
      </c>
      <c r="AB58" s="68" t="s">
        <v>183</v>
      </c>
      <c r="AC58" s="69">
        <v>25.0</v>
      </c>
      <c r="AD58" s="69">
        <v>80.0</v>
      </c>
      <c r="AE58" s="69">
        <v>90.0</v>
      </c>
      <c r="AF58" s="69">
        <v>95.0</v>
      </c>
      <c r="AG58" s="69">
        <v>92.0</v>
      </c>
      <c r="AH58" s="69">
        <v>12.05</v>
      </c>
      <c r="AI58" s="69">
        <v>4.7</v>
      </c>
      <c r="AJ58" s="69">
        <v>100.0</v>
      </c>
      <c r="AK58" s="69">
        <v>85.0</v>
      </c>
      <c r="AL58" s="70">
        <v>54.3</v>
      </c>
      <c r="AM58" s="71">
        <v>27.0</v>
      </c>
      <c r="AN58" s="71">
        <v>53.0</v>
      </c>
      <c r="AO58" s="70">
        <v>365.0</v>
      </c>
      <c r="AP58" s="68" t="s">
        <v>194</v>
      </c>
      <c r="AQ58" s="68" t="s">
        <v>195</v>
      </c>
      <c r="AR58" s="70">
        <v>0.0</v>
      </c>
      <c r="AS58" s="71">
        <v>0.0</v>
      </c>
      <c r="AT58" s="70">
        <v>0.0</v>
      </c>
      <c r="AU58" s="70">
        <v>54.3</v>
      </c>
      <c r="AV58" s="71">
        <v>8.0</v>
      </c>
      <c r="AW58" s="71">
        <v>27.0</v>
      </c>
    </row>
    <row r="59">
      <c r="A59" s="42" t="s">
        <v>342</v>
      </c>
      <c r="B59" s="63">
        <v>11.86</v>
      </c>
      <c r="C59" s="63">
        <v>0.0</v>
      </c>
      <c r="D59" s="63">
        <v>0.0</v>
      </c>
      <c r="E59" s="63">
        <v>730.0</v>
      </c>
      <c r="F59" s="63">
        <v>730.0</v>
      </c>
      <c r="G59" s="42" t="s">
        <v>174</v>
      </c>
      <c r="H59" s="66" t="s">
        <v>213</v>
      </c>
      <c r="I59" s="64"/>
      <c r="J59" s="42" t="s">
        <v>174</v>
      </c>
      <c r="K59" s="42" t="s">
        <v>329</v>
      </c>
      <c r="L59" s="65"/>
      <c r="M59" s="65"/>
      <c r="N59" s="65"/>
      <c r="O59" s="65"/>
      <c r="P59" s="42" t="s">
        <v>172</v>
      </c>
      <c r="Q59" s="42" t="s">
        <v>242</v>
      </c>
      <c r="R59" s="42" t="s">
        <v>174</v>
      </c>
      <c r="S59" s="42" t="s">
        <v>343</v>
      </c>
      <c r="T59" s="42" t="s">
        <v>339</v>
      </c>
      <c r="U59" s="64"/>
      <c r="V59" s="42" t="s">
        <v>200</v>
      </c>
      <c r="W59" s="64"/>
      <c r="X59" s="66" t="s">
        <v>180</v>
      </c>
      <c r="Y59" s="67" t="s">
        <v>181</v>
      </c>
      <c r="Z59" s="66" t="s">
        <v>182</v>
      </c>
      <c r="AA59" s="68" t="s">
        <v>174</v>
      </c>
      <c r="AB59" s="68" t="s">
        <v>183</v>
      </c>
      <c r="AC59" s="69">
        <v>10.0</v>
      </c>
      <c r="AD59" s="69">
        <v>80.0</v>
      </c>
      <c r="AE59" s="69">
        <v>90.0</v>
      </c>
      <c r="AF59" s="69">
        <v>95.0</v>
      </c>
      <c r="AG59" s="69">
        <v>92.0</v>
      </c>
      <c r="AH59" s="69">
        <v>11.86</v>
      </c>
      <c r="AI59" s="69">
        <v>3.5</v>
      </c>
      <c r="AJ59" s="69">
        <v>100.0</v>
      </c>
      <c r="AK59" s="69">
        <v>85.0</v>
      </c>
      <c r="AL59" s="70">
        <v>50.3</v>
      </c>
      <c r="AM59" s="71">
        <v>44.0</v>
      </c>
      <c r="AN59" s="71">
        <v>71.0</v>
      </c>
      <c r="AO59" s="70">
        <v>730.0</v>
      </c>
      <c r="AP59" s="68" t="s">
        <v>194</v>
      </c>
      <c r="AQ59" s="68" t="s">
        <v>195</v>
      </c>
      <c r="AR59" s="70">
        <v>1.0</v>
      </c>
      <c r="AS59" s="71">
        <v>1.0</v>
      </c>
      <c r="AT59" s="70">
        <v>7.0</v>
      </c>
      <c r="AU59" s="70">
        <v>43.3</v>
      </c>
      <c r="AV59" s="71">
        <v>27.0</v>
      </c>
      <c r="AW59" s="71">
        <v>52.0</v>
      </c>
    </row>
    <row r="60">
      <c r="A60" s="42" t="s">
        <v>344</v>
      </c>
      <c r="B60" s="63">
        <v>11.8</v>
      </c>
      <c r="C60" s="63">
        <v>0.0</v>
      </c>
      <c r="D60" s="63">
        <v>0.0</v>
      </c>
      <c r="E60" s="63">
        <v>1095.0</v>
      </c>
      <c r="F60" s="63">
        <v>1095.0</v>
      </c>
      <c r="G60" s="42" t="s">
        <v>174</v>
      </c>
      <c r="H60" s="66" t="s">
        <v>213</v>
      </c>
      <c r="I60" s="64"/>
      <c r="J60" s="42" t="s">
        <v>174</v>
      </c>
      <c r="K60" s="42" t="s">
        <v>329</v>
      </c>
      <c r="L60" s="65"/>
      <c r="M60" s="65"/>
      <c r="N60" s="65"/>
      <c r="O60" s="65"/>
      <c r="P60" s="42" t="s">
        <v>172</v>
      </c>
      <c r="Q60" s="42" t="s">
        <v>242</v>
      </c>
      <c r="R60" s="42" t="s">
        <v>174</v>
      </c>
      <c r="S60" s="42" t="s">
        <v>345</v>
      </c>
      <c r="T60" s="42" t="s">
        <v>339</v>
      </c>
      <c r="U60" s="64"/>
      <c r="V60" s="42" t="s">
        <v>200</v>
      </c>
      <c r="W60" s="64"/>
      <c r="X60" s="66" t="s">
        <v>180</v>
      </c>
      <c r="Y60" s="67" t="s">
        <v>181</v>
      </c>
      <c r="Z60" s="66" t="s">
        <v>182</v>
      </c>
      <c r="AA60" s="68" t="s">
        <v>174</v>
      </c>
      <c r="AB60" s="68" t="s">
        <v>183</v>
      </c>
      <c r="AC60" s="69">
        <v>10.0</v>
      </c>
      <c r="AD60" s="69">
        <v>80.0</v>
      </c>
      <c r="AE60" s="69">
        <v>90.0</v>
      </c>
      <c r="AF60" s="69">
        <v>95.0</v>
      </c>
      <c r="AG60" s="69">
        <v>92.0</v>
      </c>
      <c r="AH60" s="69">
        <v>11.8</v>
      </c>
      <c r="AI60" s="69">
        <v>3.1</v>
      </c>
      <c r="AJ60" s="69">
        <v>100.0</v>
      </c>
      <c r="AK60" s="69">
        <v>85.0</v>
      </c>
      <c r="AL60" s="70">
        <v>50.2</v>
      </c>
      <c r="AM60" s="71">
        <v>45.0</v>
      </c>
      <c r="AN60" s="71">
        <v>72.0</v>
      </c>
      <c r="AO60" s="70">
        <v>1095.0</v>
      </c>
      <c r="AP60" s="68" t="s">
        <v>194</v>
      </c>
      <c r="AQ60" s="68" t="s">
        <v>195</v>
      </c>
      <c r="AR60" s="70">
        <v>1.0</v>
      </c>
      <c r="AS60" s="71">
        <v>1.0</v>
      </c>
      <c r="AT60" s="70">
        <v>7.0</v>
      </c>
      <c r="AU60" s="70">
        <v>43.2</v>
      </c>
      <c r="AV60" s="71">
        <v>28.0</v>
      </c>
      <c r="AW60" s="71">
        <v>53.0</v>
      </c>
    </row>
    <row r="61">
      <c r="A61" s="42" t="s">
        <v>346</v>
      </c>
      <c r="B61" s="63">
        <v>92.0</v>
      </c>
      <c r="C61" s="63">
        <v>0.0</v>
      </c>
      <c r="D61" s="63">
        <v>0.0</v>
      </c>
      <c r="E61" s="63">
        <v>180.0</v>
      </c>
      <c r="F61" s="63">
        <v>180.0</v>
      </c>
      <c r="G61" s="42" t="s">
        <v>174</v>
      </c>
      <c r="H61" s="63" t="s">
        <v>213</v>
      </c>
      <c r="I61" s="75" t="s">
        <v>220</v>
      </c>
      <c r="J61" s="42" t="s">
        <v>174</v>
      </c>
      <c r="K61" s="42" t="s">
        <v>347</v>
      </c>
      <c r="L61" s="65"/>
      <c r="M61" s="65"/>
      <c r="N61" s="65"/>
      <c r="O61" s="65"/>
      <c r="P61" s="42" t="s">
        <v>172</v>
      </c>
      <c r="Q61" s="42" t="s">
        <v>189</v>
      </c>
      <c r="R61" s="42" t="s">
        <v>174</v>
      </c>
      <c r="S61" s="42" t="s">
        <v>348</v>
      </c>
      <c r="T61" s="42" t="s">
        <v>349</v>
      </c>
      <c r="U61" s="75" t="s">
        <v>223</v>
      </c>
      <c r="V61" s="42" t="s">
        <v>200</v>
      </c>
      <c r="W61" s="75" t="s">
        <v>223</v>
      </c>
      <c r="X61" s="75" t="s">
        <v>224</v>
      </c>
      <c r="Y61" s="72" t="s">
        <v>181</v>
      </c>
      <c r="Z61" s="75" t="s">
        <v>225</v>
      </c>
      <c r="AA61" s="68" t="s">
        <v>174</v>
      </c>
      <c r="AB61" s="68" t="s">
        <v>193</v>
      </c>
      <c r="AC61" s="69">
        <v>45.0</v>
      </c>
      <c r="AD61" s="69">
        <v>80.0</v>
      </c>
      <c r="AE61" s="69">
        <v>90.0</v>
      </c>
      <c r="AF61" s="69">
        <v>95.0</v>
      </c>
      <c r="AG61" s="69">
        <v>92.0</v>
      </c>
      <c r="AH61" s="69">
        <v>12.88</v>
      </c>
      <c r="AI61" s="69">
        <v>10.2</v>
      </c>
      <c r="AJ61" s="69">
        <v>100.0</v>
      </c>
      <c r="AK61" s="69">
        <v>85.0</v>
      </c>
      <c r="AL61" s="70">
        <v>60.5</v>
      </c>
      <c r="AM61" s="71">
        <v>8.0</v>
      </c>
      <c r="AN61" s="71">
        <v>25.0</v>
      </c>
      <c r="AO61" s="70">
        <v>180.0</v>
      </c>
      <c r="AP61" s="68" t="s">
        <v>194</v>
      </c>
      <c r="AQ61" s="68" t="s">
        <v>195</v>
      </c>
      <c r="AR61" s="70">
        <v>0.0</v>
      </c>
      <c r="AS61" s="71">
        <v>0.0</v>
      </c>
      <c r="AT61" s="70">
        <v>0.0</v>
      </c>
      <c r="AU61" s="70">
        <v>60.5</v>
      </c>
      <c r="AV61" s="71">
        <v>5.0</v>
      </c>
      <c r="AW61" s="71">
        <v>19.0</v>
      </c>
    </row>
    <row r="62">
      <c r="A62" s="42" t="s">
        <v>350</v>
      </c>
      <c r="B62" s="63">
        <v>100.0</v>
      </c>
      <c r="C62" s="63">
        <v>0.0</v>
      </c>
      <c r="D62" s="63">
        <v>0.0</v>
      </c>
      <c r="E62" s="63">
        <v>360.0</v>
      </c>
      <c r="F62" s="63">
        <v>360.0</v>
      </c>
      <c r="G62" s="42" t="s">
        <v>174</v>
      </c>
      <c r="H62" s="63" t="s">
        <v>213</v>
      </c>
      <c r="I62" s="75" t="s">
        <v>220</v>
      </c>
      <c r="J62" s="42" t="s">
        <v>174</v>
      </c>
      <c r="K62" s="42" t="s">
        <v>347</v>
      </c>
      <c r="L62" s="65"/>
      <c r="M62" s="65"/>
      <c r="N62" s="65"/>
      <c r="O62" s="65"/>
      <c r="P62" s="42" t="s">
        <v>172</v>
      </c>
      <c r="Q62" s="42" t="s">
        <v>189</v>
      </c>
      <c r="R62" s="42" t="s">
        <v>174</v>
      </c>
      <c r="S62" s="42" t="s">
        <v>351</v>
      </c>
      <c r="T62" s="75" t="s">
        <v>352</v>
      </c>
      <c r="U62" s="75" t="s">
        <v>223</v>
      </c>
      <c r="V62" s="42" t="s">
        <v>179</v>
      </c>
      <c r="W62" s="75" t="s">
        <v>223</v>
      </c>
      <c r="X62" s="75" t="s">
        <v>224</v>
      </c>
      <c r="Y62" s="72" t="s">
        <v>181</v>
      </c>
      <c r="Z62" s="75" t="s">
        <v>225</v>
      </c>
      <c r="AA62" s="68" t="s">
        <v>174</v>
      </c>
      <c r="AB62" s="68" t="s">
        <v>183</v>
      </c>
      <c r="AC62" s="69">
        <v>25.0</v>
      </c>
      <c r="AD62" s="69">
        <v>80.0</v>
      </c>
      <c r="AE62" s="69">
        <v>90.0</v>
      </c>
      <c r="AF62" s="69">
        <v>60.0</v>
      </c>
      <c r="AG62" s="69">
        <v>78.0</v>
      </c>
      <c r="AH62" s="69">
        <v>14.0</v>
      </c>
      <c r="AI62" s="69">
        <v>17.5</v>
      </c>
      <c r="AJ62" s="69">
        <v>100.0</v>
      </c>
      <c r="AK62" s="69">
        <v>85.0</v>
      </c>
      <c r="AL62" s="70">
        <v>54.4</v>
      </c>
      <c r="AM62" s="71">
        <v>26.0</v>
      </c>
      <c r="AN62" s="71">
        <v>52.0</v>
      </c>
      <c r="AO62" s="70">
        <v>360.0</v>
      </c>
      <c r="AP62" s="68" t="s">
        <v>194</v>
      </c>
      <c r="AQ62" s="68" t="s">
        <v>195</v>
      </c>
      <c r="AR62" s="70">
        <v>0.0</v>
      </c>
      <c r="AS62" s="71">
        <v>0.0</v>
      </c>
      <c r="AT62" s="70">
        <v>0.0</v>
      </c>
      <c r="AU62" s="70">
        <v>54.4</v>
      </c>
      <c r="AV62" s="71">
        <v>7.0</v>
      </c>
      <c r="AW62" s="71">
        <v>26.0</v>
      </c>
    </row>
    <row r="63">
      <c r="A63" s="42" t="s">
        <v>353</v>
      </c>
      <c r="B63" s="63">
        <v>104.21</v>
      </c>
      <c r="C63" s="63">
        <v>0.0</v>
      </c>
      <c r="D63" s="63">
        <v>0.0</v>
      </c>
      <c r="E63" s="63">
        <v>1.0</v>
      </c>
      <c r="F63" s="63">
        <v>0.0</v>
      </c>
      <c r="G63" s="42" t="s">
        <v>172</v>
      </c>
      <c r="H63" s="63" t="s">
        <v>213</v>
      </c>
      <c r="I63" s="78" t="s">
        <v>220</v>
      </c>
      <c r="J63" s="42" t="s">
        <v>174</v>
      </c>
      <c r="K63" s="42" t="s">
        <v>175</v>
      </c>
      <c r="L63" s="65"/>
      <c r="M63" s="65"/>
      <c r="N63" s="65"/>
      <c r="O63" s="65"/>
      <c r="P63" s="42" t="s">
        <v>172</v>
      </c>
      <c r="Q63" s="42" t="s">
        <v>189</v>
      </c>
      <c r="R63" s="42" t="s">
        <v>172</v>
      </c>
      <c r="S63" s="42" t="s">
        <v>354</v>
      </c>
      <c r="T63" s="42" t="s">
        <v>355</v>
      </c>
      <c r="U63" s="78" t="s">
        <v>223</v>
      </c>
      <c r="V63" s="42" t="s">
        <v>200</v>
      </c>
      <c r="W63" s="78" t="s">
        <v>223</v>
      </c>
      <c r="X63" s="78" t="s">
        <v>252</v>
      </c>
      <c r="Y63" s="67" t="s">
        <v>181</v>
      </c>
      <c r="Z63" s="78" t="s">
        <v>225</v>
      </c>
      <c r="AA63" s="68" t="s">
        <v>174</v>
      </c>
      <c r="AB63" s="68" t="s">
        <v>226</v>
      </c>
      <c r="AC63" s="69">
        <v>100.0</v>
      </c>
      <c r="AD63" s="69">
        <v>80.0</v>
      </c>
      <c r="AE63" s="69">
        <v>70.0</v>
      </c>
      <c r="AF63" s="69">
        <v>95.0</v>
      </c>
      <c r="AG63" s="69">
        <v>80.0</v>
      </c>
      <c r="AH63" s="69">
        <v>14.59</v>
      </c>
      <c r="AI63" s="69">
        <v>21.3</v>
      </c>
      <c r="AJ63" s="69">
        <v>40.0</v>
      </c>
      <c r="AK63" s="69">
        <v>85.0</v>
      </c>
      <c r="AL63" s="70">
        <v>68.3</v>
      </c>
      <c r="AM63" s="71">
        <v>12.0</v>
      </c>
      <c r="AN63" s="71">
        <v>14.0</v>
      </c>
      <c r="AO63" s="70">
        <v>0.0</v>
      </c>
      <c r="AP63" s="68" t="s">
        <v>194</v>
      </c>
      <c r="AQ63" s="68" t="s">
        <v>195</v>
      </c>
      <c r="AR63" s="70">
        <v>5.0</v>
      </c>
      <c r="AS63" s="71">
        <v>5.0</v>
      </c>
      <c r="AT63" s="70">
        <v>18.0</v>
      </c>
      <c r="AU63" s="70">
        <v>50.3</v>
      </c>
      <c r="AV63" s="71">
        <v>12.0</v>
      </c>
      <c r="AW63" s="71">
        <v>38.0</v>
      </c>
    </row>
    <row r="64">
      <c r="A64" s="42" t="s">
        <v>356</v>
      </c>
      <c r="B64" s="63">
        <v>115.0</v>
      </c>
      <c r="C64" s="63">
        <v>0.0</v>
      </c>
      <c r="D64" s="63">
        <v>0.0</v>
      </c>
      <c r="E64" s="63">
        <v>0.0</v>
      </c>
      <c r="F64" s="63">
        <v>0.0</v>
      </c>
      <c r="G64" s="42" t="s">
        <v>172</v>
      </c>
      <c r="H64" s="63" t="s">
        <v>249</v>
      </c>
      <c r="I64" s="80">
        <v>5000.0</v>
      </c>
      <c r="J64" s="42" t="s">
        <v>174</v>
      </c>
      <c r="K64" s="42" t="s">
        <v>316</v>
      </c>
      <c r="L64" s="65"/>
      <c r="M64" s="65"/>
      <c r="N64" s="65"/>
      <c r="O64" s="65"/>
      <c r="P64" s="42" t="s">
        <v>172</v>
      </c>
      <c r="Q64" s="42" t="s">
        <v>189</v>
      </c>
      <c r="R64" s="42" t="s">
        <v>172</v>
      </c>
      <c r="S64" s="42" t="s">
        <v>357</v>
      </c>
      <c r="T64" s="42" t="s">
        <v>358</v>
      </c>
      <c r="U64" s="80" t="s">
        <v>223</v>
      </c>
      <c r="V64" s="42" t="s">
        <v>200</v>
      </c>
      <c r="W64" s="80" t="s">
        <v>223</v>
      </c>
      <c r="X64" s="80" t="s">
        <v>299</v>
      </c>
      <c r="Y64" s="67" t="s">
        <v>240</v>
      </c>
      <c r="Z64" s="80" t="s">
        <v>225</v>
      </c>
      <c r="AA64" s="68" t="s">
        <v>174</v>
      </c>
      <c r="AB64" s="68" t="s">
        <v>226</v>
      </c>
      <c r="AC64" s="69">
        <v>100.0</v>
      </c>
      <c r="AD64" s="69">
        <v>100.0</v>
      </c>
      <c r="AE64" s="69">
        <v>70.0</v>
      </c>
      <c r="AF64" s="69">
        <v>95.0</v>
      </c>
      <c r="AG64" s="69">
        <v>80.0</v>
      </c>
      <c r="AH64" s="69">
        <v>16.1</v>
      </c>
      <c r="AI64" s="69">
        <v>31.2</v>
      </c>
      <c r="AJ64" s="69">
        <v>75.0</v>
      </c>
      <c r="AK64" s="69">
        <v>85.0</v>
      </c>
      <c r="AL64" s="70">
        <v>77.6</v>
      </c>
      <c r="AM64" s="71">
        <v>4.0</v>
      </c>
      <c r="AN64" s="71">
        <v>5.0</v>
      </c>
      <c r="AO64" s="70">
        <v>0.0</v>
      </c>
      <c r="AP64" s="68" t="s">
        <v>194</v>
      </c>
      <c r="AQ64" s="68" t="s">
        <v>195</v>
      </c>
      <c r="AR64" s="70">
        <v>1.0</v>
      </c>
      <c r="AS64" s="71">
        <v>0.0</v>
      </c>
      <c r="AT64" s="70">
        <v>7.0</v>
      </c>
      <c r="AU64" s="70">
        <v>70.6</v>
      </c>
      <c r="AV64" s="71">
        <v>7.0</v>
      </c>
      <c r="AW64" s="71">
        <v>9.0</v>
      </c>
    </row>
    <row r="65">
      <c r="A65" s="42" t="s">
        <v>359</v>
      </c>
      <c r="B65" s="63">
        <v>120.0</v>
      </c>
      <c r="C65" s="63">
        <v>0.0</v>
      </c>
      <c r="D65" s="63">
        <v>0.0</v>
      </c>
      <c r="E65" s="63">
        <v>0.0</v>
      </c>
      <c r="F65" s="63">
        <v>0.0</v>
      </c>
      <c r="G65" s="42" t="s">
        <v>172</v>
      </c>
      <c r="H65" s="63" t="s">
        <v>249</v>
      </c>
      <c r="I65" s="80">
        <v>10000.0</v>
      </c>
      <c r="J65" s="42" t="s">
        <v>174</v>
      </c>
      <c r="K65" s="42" t="s">
        <v>316</v>
      </c>
      <c r="L65" s="65"/>
      <c r="M65" s="65"/>
      <c r="N65" s="65"/>
      <c r="O65" s="65"/>
      <c r="P65" s="42" t="s">
        <v>172</v>
      </c>
      <c r="Q65" s="42" t="s">
        <v>189</v>
      </c>
      <c r="R65" s="42" t="s">
        <v>172</v>
      </c>
      <c r="S65" s="42" t="s">
        <v>360</v>
      </c>
      <c r="T65" s="42" t="s">
        <v>358</v>
      </c>
      <c r="U65" s="80" t="s">
        <v>223</v>
      </c>
      <c r="V65" s="42" t="s">
        <v>200</v>
      </c>
      <c r="W65" s="80" t="s">
        <v>223</v>
      </c>
      <c r="X65" s="80" t="s">
        <v>299</v>
      </c>
      <c r="Y65" s="67" t="s">
        <v>240</v>
      </c>
      <c r="Z65" s="80" t="s">
        <v>225</v>
      </c>
      <c r="AA65" s="68" t="s">
        <v>174</v>
      </c>
      <c r="AB65" s="68" t="s">
        <v>226</v>
      </c>
      <c r="AC65" s="69">
        <v>100.0</v>
      </c>
      <c r="AD65" s="69">
        <v>100.0</v>
      </c>
      <c r="AE65" s="69">
        <v>70.0</v>
      </c>
      <c r="AF65" s="69">
        <v>95.0</v>
      </c>
      <c r="AG65" s="69">
        <v>80.0</v>
      </c>
      <c r="AH65" s="69">
        <v>16.8</v>
      </c>
      <c r="AI65" s="69">
        <v>35.8</v>
      </c>
      <c r="AJ65" s="69">
        <v>75.0</v>
      </c>
      <c r="AK65" s="69">
        <v>85.0</v>
      </c>
      <c r="AL65" s="70">
        <v>78.6</v>
      </c>
      <c r="AM65" s="71">
        <v>1.0</v>
      </c>
      <c r="AN65" s="71">
        <v>1.0</v>
      </c>
      <c r="AO65" s="70">
        <v>0.0</v>
      </c>
      <c r="AP65" s="68" t="s">
        <v>194</v>
      </c>
      <c r="AQ65" s="68" t="s">
        <v>195</v>
      </c>
      <c r="AR65" s="70">
        <v>0.0</v>
      </c>
      <c r="AS65" s="71">
        <v>0.0</v>
      </c>
      <c r="AT65" s="70">
        <v>0.0</v>
      </c>
      <c r="AU65" s="70">
        <v>78.6</v>
      </c>
      <c r="AV65" s="71">
        <v>1.0</v>
      </c>
      <c r="AW65" s="71">
        <v>1.0</v>
      </c>
    </row>
    <row r="66">
      <c r="A66" s="42" t="s">
        <v>361</v>
      </c>
      <c r="B66" s="63">
        <v>110.37</v>
      </c>
      <c r="C66" s="63">
        <v>0.0</v>
      </c>
      <c r="D66" s="63">
        <v>0.0</v>
      </c>
      <c r="E66" s="63">
        <v>1.0</v>
      </c>
      <c r="F66" s="63">
        <v>0.0</v>
      </c>
      <c r="G66" s="42" t="s">
        <v>172</v>
      </c>
      <c r="H66" s="63" t="s">
        <v>173</v>
      </c>
      <c r="I66" s="80" t="s">
        <v>220</v>
      </c>
      <c r="J66" s="42" t="s">
        <v>174</v>
      </c>
      <c r="K66" s="42" t="s">
        <v>312</v>
      </c>
      <c r="L66" s="65"/>
      <c r="M66" s="65"/>
      <c r="N66" s="65"/>
      <c r="O66" s="65"/>
      <c r="P66" s="42" t="s">
        <v>172</v>
      </c>
      <c r="Q66" s="42" t="s">
        <v>189</v>
      </c>
      <c r="R66" s="42" t="s">
        <v>172</v>
      </c>
      <c r="S66" s="42" t="s">
        <v>362</v>
      </c>
      <c r="T66" s="42" t="s">
        <v>363</v>
      </c>
      <c r="U66" s="80" t="s">
        <v>223</v>
      </c>
      <c r="V66" s="42" t="s">
        <v>200</v>
      </c>
      <c r="W66" s="80" t="s">
        <v>223</v>
      </c>
      <c r="X66" s="80" t="s">
        <v>299</v>
      </c>
      <c r="Y66" s="67" t="s">
        <v>181</v>
      </c>
      <c r="Z66" s="80" t="s">
        <v>225</v>
      </c>
      <c r="AA66" s="68" t="s">
        <v>174</v>
      </c>
      <c r="AB66" s="68" t="s">
        <v>183</v>
      </c>
      <c r="AC66" s="69">
        <v>25.0</v>
      </c>
      <c r="AD66" s="69">
        <v>100.0</v>
      </c>
      <c r="AE66" s="69">
        <v>70.0</v>
      </c>
      <c r="AF66" s="69">
        <v>95.0</v>
      </c>
      <c r="AG66" s="69">
        <v>80.0</v>
      </c>
      <c r="AH66" s="69">
        <v>15.45</v>
      </c>
      <c r="AI66" s="69">
        <v>27.0</v>
      </c>
      <c r="AJ66" s="69">
        <v>60.0</v>
      </c>
      <c r="AK66" s="69">
        <v>85.0</v>
      </c>
      <c r="AL66" s="70">
        <v>56.4</v>
      </c>
      <c r="AM66" s="71">
        <v>17.0</v>
      </c>
      <c r="AN66" s="71">
        <v>43.0</v>
      </c>
      <c r="AO66" s="70">
        <v>181.0</v>
      </c>
      <c r="AP66" s="68" t="s">
        <v>184</v>
      </c>
      <c r="AQ66" s="68" t="s">
        <v>185</v>
      </c>
      <c r="AR66" s="70">
        <v>0.0</v>
      </c>
      <c r="AS66" s="71">
        <v>0.0</v>
      </c>
      <c r="AT66" s="70">
        <v>0.0</v>
      </c>
      <c r="AU66" s="70">
        <v>56.4</v>
      </c>
      <c r="AV66" s="71">
        <v>5.0</v>
      </c>
      <c r="AW66" s="71">
        <v>24.0</v>
      </c>
    </row>
    <row r="67">
      <c r="A67" s="42" t="s">
        <v>364</v>
      </c>
      <c r="B67" s="63">
        <v>7.67</v>
      </c>
      <c r="C67" s="63">
        <v>0.0</v>
      </c>
      <c r="D67" s="63">
        <v>0.0</v>
      </c>
      <c r="E67" s="63">
        <v>2074.0</v>
      </c>
      <c r="F67" s="63">
        <v>0.0</v>
      </c>
      <c r="G67" s="42" t="s">
        <v>172</v>
      </c>
      <c r="H67" s="63" t="s">
        <v>365</v>
      </c>
      <c r="I67" s="64"/>
      <c r="J67" s="42" t="s">
        <v>174</v>
      </c>
      <c r="K67" s="42" t="s">
        <v>366</v>
      </c>
      <c r="L67" s="65"/>
      <c r="M67" s="65"/>
      <c r="N67" s="65"/>
      <c r="O67" s="65"/>
      <c r="P67" s="42" t="s">
        <v>172</v>
      </c>
      <c r="Q67" s="42" t="s">
        <v>335</v>
      </c>
      <c r="R67" s="42" t="s">
        <v>172</v>
      </c>
      <c r="S67" s="42" t="s">
        <v>367</v>
      </c>
      <c r="T67" s="42" t="s">
        <v>366</v>
      </c>
      <c r="U67" s="64"/>
      <c r="V67" s="42" t="s">
        <v>200</v>
      </c>
      <c r="W67" s="64"/>
      <c r="X67" s="66" t="s">
        <v>180</v>
      </c>
      <c r="Y67" s="67" t="s">
        <v>181</v>
      </c>
      <c r="Z67" s="66" t="s">
        <v>182</v>
      </c>
      <c r="AA67" s="68" t="s">
        <v>174</v>
      </c>
      <c r="AB67" s="68" t="s">
        <v>183</v>
      </c>
      <c r="AC67" s="69">
        <v>25.0</v>
      </c>
      <c r="AD67" s="69">
        <v>100.0</v>
      </c>
      <c r="AE67" s="69">
        <v>100.0</v>
      </c>
      <c r="AF67" s="69">
        <v>95.0</v>
      </c>
      <c r="AG67" s="69">
        <v>98.0</v>
      </c>
      <c r="AH67" s="69">
        <v>12.17</v>
      </c>
      <c r="AI67" s="69">
        <v>5.5</v>
      </c>
      <c r="AJ67" s="69">
        <v>75.0</v>
      </c>
      <c r="AK67" s="69">
        <v>85.0</v>
      </c>
      <c r="AL67" s="70">
        <v>56.8</v>
      </c>
      <c r="AM67" s="71">
        <v>9.0</v>
      </c>
      <c r="AN67" s="71">
        <v>35.0</v>
      </c>
      <c r="AO67" s="70">
        <v>365.0</v>
      </c>
      <c r="AP67" s="68" t="s">
        <v>368</v>
      </c>
      <c r="AQ67" s="68" t="s">
        <v>185</v>
      </c>
      <c r="AR67" s="70">
        <v>1.0</v>
      </c>
      <c r="AS67" s="71">
        <v>1.0</v>
      </c>
      <c r="AT67" s="70">
        <v>7.0</v>
      </c>
      <c r="AU67" s="70">
        <v>49.8</v>
      </c>
      <c r="AV67" s="71">
        <v>16.0</v>
      </c>
      <c r="AW67" s="71">
        <v>39.0</v>
      </c>
    </row>
    <row r="68">
      <c r="A68" s="42" t="s">
        <v>369</v>
      </c>
      <c r="B68" s="63">
        <v>7.63</v>
      </c>
      <c r="C68" s="63">
        <v>0.0</v>
      </c>
      <c r="D68" s="63">
        <v>0.0</v>
      </c>
      <c r="E68" s="63">
        <v>2440.0</v>
      </c>
      <c r="F68" s="63">
        <v>0.0</v>
      </c>
      <c r="G68" s="42" t="s">
        <v>172</v>
      </c>
      <c r="H68" s="63" t="s">
        <v>370</v>
      </c>
      <c r="I68" s="64"/>
      <c r="J68" s="42" t="s">
        <v>174</v>
      </c>
      <c r="K68" s="42" t="s">
        <v>366</v>
      </c>
      <c r="L68" s="65"/>
      <c r="M68" s="65"/>
      <c r="N68" s="65"/>
      <c r="O68" s="65"/>
      <c r="P68" s="42" t="s">
        <v>172</v>
      </c>
      <c r="Q68" s="42" t="s">
        <v>335</v>
      </c>
      <c r="R68" s="42" t="s">
        <v>172</v>
      </c>
      <c r="S68" s="42" t="s">
        <v>371</v>
      </c>
      <c r="T68" s="42" t="s">
        <v>366</v>
      </c>
      <c r="U68" s="64"/>
      <c r="V68" s="42" t="s">
        <v>200</v>
      </c>
      <c r="W68" s="64"/>
      <c r="X68" s="66" t="s">
        <v>180</v>
      </c>
      <c r="Y68" s="67" t="s">
        <v>181</v>
      </c>
      <c r="Z68" s="66" t="s">
        <v>182</v>
      </c>
      <c r="AA68" s="68" t="s">
        <v>174</v>
      </c>
      <c r="AB68" s="68" t="s">
        <v>183</v>
      </c>
      <c r="AC68" s="69">
        <v>25.0</v>
      </c>
      <c r="AD68" s="69">
        <v>100.0</v>
      </c>
      <c r="AE68" s="69">
        <v>100.0</v>
      </c>
      <c r="AF68" s="69">
        <v>95.0</v>
      </c>
      <c r="AG68" s="69">
        <v>98.0</v>
      </c>
      <c r="AH68" s="69">
        <v>12.13</v>
      </c>
      <c r="AI68" s="69">
        <v>5.2</v>
      </c>
      <c r="AJ68" s="69">
        <v>75.0</v>
      </c>
      <c r="AK68" s="69">
        <v>85.0</v>
      </c>
      <c r="AL68" s="70">
        <v>56.7</v>
      </c>
      <c r="AM68" s="71">
        <v>11.0</v>
      </c>
      <c r="AN68" s="71">
        <v>37.0</v>
      </c>
      <c r="AO68" s="70">
        <v>365.0</v>
      </c>
      <c r="AP68" s="68" t="s">
        <v>368</v>
      </c>
      <c r="AQ68" s="68" t="s">
        <v>185</v>
      </c>
      <c r="AR68" s="70">
        <v>1.0</v>
      </c>
      <c r="AS68" s="71">
        <v>1.0</v>
      </c>
      <c r="AT68" s="70">
        <v>7.0</v>
      </c>
      <c r="AU68" s="70">
        <v>49.7</v>
      </c>
      <c r="AV68" s="71">
        <v>17.0</v>
      </c>
      <c r="AW68" s="71">
        <v>40.0</v>
      </c>
    </row>
    <row r="69">
      <c r="A69" s="42" t="s">
        <v>372</v>
      </c>
      <c r="B69" s="63">
        <v>7.6</v>
      </c>
      <c r="C69" s="63">
        <v>0.0</v>
      </c>
      <c r="D69" s="63">
        <v>0.0</v>
      </c>
      <c r="E69" s="63">
        <v>2805.0</v>
      </c>
      <c r="F69" s="63">
        <v>0.0</v>
      </c>
      <c r="G69" s="42" t="s">
        <v>172</v>
      </c>
      <c r="H69" s="63" t="s">
        <v>373</v>
      </c>
      <c r="I69" s="64"/>
      <c r="J69" s="42" t="s">
        <v>174</v>
      </c>
      <c r="K69" s="42" t="s">
        <v>366</v>
      </c>
      <c r="L69" s="65"/>
      <c r="M69" s="65"/>
      <c r="N69" s="65"/>
      <c r="O69" s="65"/>
      <c r="P69" s="42" t="s">
        <v>172</v>
      </c>
      <c r="Q69" s="42" t="s">
        <v>335</v>
      </c>
      <c r="R69" s="42" t="s">
        <v>172</v>
      </c>
      <c r="S69" s="42" t="s">
        <v>374</v>
      </c>
      <c r="T69" s="42" t="s">
        <v>366</v>
      </c>
      <c r="U69" s="64"/>
      <c r="V69" s="42" t="s">
        <v>200</v>
      </c>
      <c r="W69" s="64"/>
      <c r="X69" s="66" t="s">
        <v>180</v>
      </c>
      <c r="Y69" s="67" t="s">
        <v>181</v>
      </c>
      <c r="Z69" s="66" t="s">
        <v>182</v>
      </c>
      <c r="AA69" s="68" t="s">
        <v>174</v>
      </c>
      <c r="AB69" s="68" t="s">
        <v>183</v>
      </c>
      <c r="AC69" s="69">
        <v>25.0</v>
      </c>
      <c r="AD69" s="69">
        <v>100.0</v>
      </c>
      <c r="AE69" s="69">
        <v>100.0</v>
      </c>
      <c r="AF69" s="69">
        <v>95.0</v>
      </c>
      <c r="AG69" s="69">
        <v>98.0</v>
      </c>
      <c r="AH69" s="69">
        <v>12.1</v>
      </c>
      <c r="AI69" s="69">
        <v>5.0</v>
      </c>
      <c r="AJ69" s="69">
        <v>75.0</v>
      </c>
      <c r="AK69" s="69">
        <v>85.0</v>
      </c>
      <c r="AL69" s="70">
        <v>56.7</v>
      </c>
      <c r="AM69" s="71">
        <v>12.0</v>
      </c>
      <c r="AN69" s="71">
        <v>38.0</v>
      </c>
      <c r="AO69" s="70">
        <v>365.0</v>
      </c>
      <c r="AP69" s="68" t="s">
        <v>368</v>
      </c>
      <c r="AQ69" s="68" t="s">
        <v>185</v>
      </c>
      <c r="AR69" s="70">
        <v>1.0</v>
      </c>
      <c r="AS69" s="71">
        <v>1.0</v>
      </c>
      <c r="AT69" s="70">
        <v>7.0</v>
      </c>
      <c r="AU69" s="70">
        <v>49.7</v>
      </c>
      <c r="AV69" s="71">
        <v>18.0</v>
      </c>
      <c r="AW69" s="71">
        <v>41.0</v>
      </c>
    </row>
    <row r="70">
      <c r="A70" s="42" t="s">
        <v>375</v>
      </c>
      <c r="B70" s="63">
        <v>7.56</v>
      </c>
      <c r="C70" s="63">
        <v>0.0</v>
      </c>
      <c r="D70" s="63">
        <v>0.0</v>
      </c>
      <c r="E70" s="63">
        <v>3170.0</v>
      </c>
      <c r="F70" s="63">
        <v>0.0</v>
      </c>
      <c r="G70" s="42" t="s">
        <v>172</v>
      </c>
      <c r="H70" s="63" t="s">
        <v>376</v>
      </c>
      <c r="I70" s="64"/>
      <c r="J70" s="42" t="s">
        <v>174</v>
      </c>
      <c r="K70" s="42" t="s">
        <v>366</v>
      </c>
      <c r="L70" s="65"/>
      <c r="M70" s="65"/>
      <c r="N70" s="65"/>
      <c r="O70" s="65"/>
      <c r="P70" s="42" t="s">
        <v>172</v>
      </c>
      <c r="Q70" s="42" t="s">
        <v>335</v>
      </c>
      <c r="R70" s="42" t="s">
        <v>172</v>
      </c>
      <c r="S70" s="42" t="s">
        <v>377</v>
      </c>
      <c r="T70" s="42" t="s">
        <v>366</v>
      </c>
      <c r="U70" s="64"/>
      <c r="V70" s="42" t="s">
        <v>200</v>
      </c>
      <c r="W70" s="64"/>
      <c r="X70" s="66" t="s">
        <v>180</v>
      </c>
      <c r="Y70" s="67" t="s">
        <v>181</v>
      </c>
      <c r="Z70" s="66" t="s">
        <v>182</v>
      </c>
      <c r="AA70" s="68" t="s">
        <v>174</v>
      </c>
      <c r="AB70" s="68" t="s">
        <v>183</v>
      </c>
      <c r="AC70" s="69">
        <v>25.0</v>
      </c>
      <c r="AD70" s="69">
        <v>100.0</v>
      </c>
      <c r="AE70" s="69">
        <v>100.0</v>
      </c>
      <c r="AF70" s="69">
        <v>95.0</v>
      </c>
      <c r="AG70" s="69">
        <v>98.0</v>
      </c>
      <c r="AH70" s="69">
        <v>12.06</v>
      </c>
      <c r="AI70" s="69">
        <v>4.8</v>
      </c>
      <c r="AJ70" s="69">
        <v>75.0</v>
      </c>
      <c r="AK70" s="69">
        <v>85.0</v>
      </c>
      <c r="AL70" s="70">
        <v>56.7</v>
      </c>
      <c r="AM70" s="71">
        <v>13.0</v>
      </c>
      <c r="AN70" s="71">
        <v>39.0</v>
      </c>
      <c r="AO70" s="70">
        <v>365.0</v>
      </c>
      <c r="AP70" s="68" t="s">
        <v>368</v>
      </c>
      <c r="AQ70" s="68" t="s">
        <v>185</v>
      </c>
      <c r="AR70" s="70">
        <v>1.0</v>
      </c>
      <c r="AS70" s="71">
        <v>1.0</v>
      </c>
      <c r="AT70" s="70">
        <v>7.0</v>
      </c>
      <c r="AU70" s="70">
        <v>49.7</v>
      </c>
      <c r="AV70" s="71">
        <v>19.0</v>
      </c>
      <c r="AW70" s="71">
        <v>42.0</v>
      </c>
    </row>
    <row r="71">
      <c r="A71" s="42" t="s">
        <v>378</v>
      </c>
      <c r="B71" s="63">
        <v>7.5</v>
      </c>
      <c r="C71" s="63">
        <v>0.0</v>
      </c>
      <c r="D71" s="63">
        <v>0.0</v>
      </c>
      <c r="E71" s="63">
        <v>3535.0</v>
      </c>
      <c r="F71" s="63">
        <v>0.0</v>
      </c>
      <c r="G71" s="42" t="s">
        <v>172</v>
      </c>
      <c r="H71" s="63" t="s">
        <v>379</v>
      </c>
      <c r="I71" s="64"/>
      <c r="J71" s="42" t="s">
        <v>174</v>
      </c>
      <c r="K71" s="42" t="s">
        <v>366</v>
      </c>
      <c r="L71" s="65"/>
      <c r="M71" s="65"/>
      <c r="N71" s="65"/>
      <c r="O71" s="65"/>
      <c r="P71" s="42" t="s">
        <v>172</v>
      </c>
      <c r="Q71" s="42" t="s">
        <v>335</v>
      </c>
      <c r="R71" s="42" t="s">
        <v>172</v>
      </c>
      <c r="S71" s="42" t="s">
        <v>380</v>
      </c>
      <c r="T71" s="42" t="s">
        <v>366</v>
      </c>
      <c r="U71" s="64"/>
      <c r="V71" s="42" t="s">
        <v>200</v>
      </c>
      <c r="W71" s="64"/>
      <c r="X71" s="66" t="s">
        <v>180</v>
      </c>
      <c r="Y71" s="67" t="s">
        <v>181</v>
      </c>
      <c r="Z71" s="66" t="s">
        <v>182</v>
      </c>
      <c r="AA71" s="68" t="s">
        <v>174</v>
      </c>
      <c r="AB71" s="68" t="s">
        <v>183</v>
      </c>
      <c r="AC71" s="69">
        <v>25.0</v>
      </c>
      <c r="AD71" s="69">
        <v>100.0</v>
      </c>
      <c r="AE71" s="69">
        <v>100.0</v>
      </c>
      <c r="AF71" s="69">
        <v>95.0</v>
      </c>
      <c r="AG71" s="69">
        <v>98.0</v>
      </c>
      <c r="AH71" s="69">
        <v>12.0</v>
      </c>
      <c r="AI71" s="69">
        <v>4.4</v>
      </c>
      <c r="AJ71" s="69">
        <v>75.0</v>
      </c>
      <c r="AK71" s="69">
        <v>85.0</v>
      </c>
      <c r="AL71" s="70">
        <v>56.6</v>
      </c>
      <c r="AM71" s="71">
        <v>15.0</v>
      </c>
      <c r="AN71" s="71">
        <v>41.0</v>
      </c>
      <c r="AO71" s="70">
        <v>365.0</v>
      </c>
      <c r="AP71" s="68" t="s">
        <v>368</v>
      </c>
      <c r="AQ71" s="68" t="s">
        <v>185</v>
      </c>
      <c r="AR71" s="70">
        <v>1.0</v>
      </c>
      <c r="AS71" s="71">
        <v>1.0</v>
      </c>
      <c r="AT71" s="70">
        <v>7.0</v>
      </c>
      <c r="AU71" s="70">
        <v>49.6</v>
      </c>
      <c r="AV71" s="71">
        <v>21.0</v>
      </c>
      <c r="AW71" s="71">
        <v>44.0</v>
      </c>
    </row>
    <row r="72">
      <c r="A72" s="42" t="s">
        <v>381</v>
      </c>
      <c r="B72" s="63">
        <v>7.44</v>
      </c>
      <c r="C72" s="63">
        <v>0.0</v>
      </c>
      <c r="D72" s="63">
        <v>0.0</v>
      </c>
      <c r="E72" s="63">
        <v>3901.0</v>
      </c>
      <c r="F72" s="63">
        <v>0.0</v>
      </c>
      <c r="G72" s="42" t="s">
        <v>172</v>
      </c>
      <c r="H72" s="63" t="s">
        <v>382</v>
      </c>
      <c r="I72" s="64"/>
      <c r="J72" s="42" t="s">
        <v>174</v>
      </c>
      <c r="K72" s="42" t="s">
        <v>366</v>
      </c>
      <c r="L72" s="65"/>
      <c r="M72" s="65"/>
      <c r="N72" s="65"/>
      <c r="O72" s="65"/>
      <c r="P72" s="42" t="s">
        <v>172</v>
      </c>
      <c r="Q72" s="42" t="s">
        <v>335</v>
      </c>
      <c r="R72" s="42" t="s">
        <v>172</v>
      </c>
      <c r="S72" s="42" t="s">
        <v>383</v>
      </c>
      <c r="T72" s="42" t="s">
        <v>366</v>
      </c>
      <c r="U72" s="64"/>
      <c r="V72" s="42" t="s">
        <v>200</v>
      </c>
      <c r="W72" s="64"/>
      <c r="X72" s="66" t="s">
        <v>180</v>
      </c>
      <c r="Y72" s="67" t="s">
        <v>181</v>
      </c>
      <c r="Z72" s="66" t="s">
        <v>182</v>
      </c>
      <c r="AA72" s="68" t="s">
        <v>174</v>
      </c>
      <c r="AB72" s="68" t="s">
        <v>183</v>
      </c>
      <c r="AC72" s="69">
        <v>25.0</v>
      </c>
      <c r="AD72" s="69">
        <v>100.0</v>
      </c>
      <c r="AE72" s="69">
        <v>100.0</v>
      </c>
      <c r="AF72" s="69">
        <v>95.0</v>
      </c>
      <c r="AG72" s="69">
        <v>98.0</v>
      </c>
      <c r="AH72" s="69">
        <v>11.94</v>
      </c>
      <c r="AI72" s="69">
        <v>4.0</v>
      </c>
      <c r="AJ72" s="69">
        <v>75.0</v>
      </c>
      <c r="AK72" s="69">
        <v>85.0</v>
      </c>
      <c r="AL72" s="70">
        <v>56.5</v>
      </c>
      <c r="AM72" s="71">
        <v>16.0</v>
      </c>
      <c r="AN72" s="71">
        <v>42.0</v>
      </c>
      <c r="AO72" s="70">
        <v>365.0</v>
      </c>
      <c r="AP72" s="68" t="s">
        <v>368</v>
      </c>
      <c r="AQ72" s="68" t="s">
        <v>185</v>
      </c>
      <c r="AR72" s="70">
        <v>1.0</v>
      </c>
      <c r="AS72" s="71">
        <v>1.0</v>
      </c>
      <c r="AT72" s="70">
        <v>7.0</v>
      </c>
      <c r="AU72" s="70">
        <v>49.5</v>
      </c>
      <c r="AV72" s="71">
        <v>22.0</v>
      </c>
      <c r="AW72" s="71">
        <v>45.0</v>
      </c>
    </row>
    <row r="73">
      <c r="A73" s="42" t="s">
        <v>384</v>
      </c>
      <c r="B73" s="63">
        <v>7.38</v>
      </c>
      <c r="C73" s="63">
        <v>0.0</v>
      </c>
      <c r="D73" s="63">
        <v>0.0</v>
      </c>
      <c r="E73" s="63">
        <v>4266.0</v>
      </c>
      <c r="F73" s="63">
        <v>0.0</v>
      </c>
      <c r="G73" s="42" t="s">
        <v>172</v>
      </c>
      <c r="H73" s="63" t="s">
        <v>385</v>
      </c>
      <c r="I73" s="64"/>
      <c r="J73" s="42" t="s">
        <v>174</v>
      </c>
      <c r="K73" s="42" t="s">
        <v>366</v>
      </c>
      <c r="L73" s="65"/>
      <c r="M73" s="65"/>
      <c r="N73" s="65"/>
      <c r="O73" s="65"/>
      <c r="P73" s="42" t="s">
        <v>172</v>
      </c>
      <c r="Q73" s="42" t="s">
        <v>335</v>
      </c>
      <c r="R73" s="42" t="s">
        <v>172</v>
      </c>
      <c r="S73" s="42" t="s">
        <v>386</v>
      </c>
      <c r="T73" s="42" t="s">
        <v>366</v>
      </c>
      <c r="U73" s="64"/>
      <c r="V73" s="42" t="s">
        <v>200</v>
      </c>
      <c r="W73" s="64"/>
      <c r="X73" s="66" t="s">
        <v>180</v>
      </c>
      <c r="Y73" s="67" t="s">
        <v>181</v>
      </c>
      <c r="Z73" s="66" t="s">
        <v>182</v>
      </c>
      <c r="AA73" s="68" t="s">
        <v>174</v>
      </c>
      <c r="AB73" s="68" t="s">
        <v>183</v>
      </c>
      <c r="AC73" s="69">
        <v>25.0</v>
      </c>
      <c r="AD73" s="69">
        <v>100.0</v>
      </c>
      <c r="AE73" s="69">
        <v>100.0</v>
      </c>
      <c r="AF73" s="69">
        <v>95.0</v>
      </c>
      <c r="AG73" s="69">
        <v>98.0</v>
      </c>
      <c r="AH73" s="69">
        <v>11.88</v>
      </c>
      <c r="AI73" s="69">
        <v>3.6</v>
      </c>
      <c r="AJ73" s="69">
        <v>75.0</v>
      </c>
      <c r="AK73" s="69">
        <v>85.0</v>
      </c>
      <c r="AL73" s="70">
        <v>56.4</v>
      </c>
      <c r="AM73" s="71">
        <v>18.0</v>
      </c>
      <c r="AN73" s="71">
        <v>44.0</v>
      </c>
      <c r="AO73" s="70">
        <v>365.0</v>
      </c>
      <c r="AP73" s="68" t="s">
        <v>368</v>
      </c>
      <c r="AQ73" s="68" t="s">
        <v>185</v>
      </c>
      <c r="AR73" s="70">
        <v>1.0</v>
      </c>
      <c r="AS73" s="71">
        <v>1.0</v>
      </c>
      <c r="AT73" s="70">
        <v>7.0</v>
      </c>
      <c r="AU73" s="70">
        <v>49.4</v>
      </c>
      <c r="AV73" s="71">
        <v>23.0</v>
      </c>
      <c r="AW73" s="71">
        <v>46.0</v>
      </c>
    </row>
    <row r="74">
      <c r="A74" s="42" t="s">
        <v>387</v>
      </c>
      <c r="B74" s="63">
        <v>7.31</v>
      </c>
      <c r="C74" s="63">
        <v>0.0</v>
      </c>
      <c r="D74" s="63">
        <v>0.0</v>
      </c>
      <c r="E74" s="63">
        <v>4631.0</v>
      </c>
      <c r="F74" s="63">
        <v>0.0</v>
      </c>
      <c r="G74" s="42" t="s">
        <v>172</v>
      </c>
      <c r="H74" s="63" t="s">
        <v>388</v>
      </c>
      <c r="I74" s="64"/>
      <c r="J74" s="42" t="s">
        <v>174</v>
      </c>
      <c r="K74" s="42" t="s">
        <v>366</v>
      </c>
      <c r="L74" s="65"/>
      <c r="M74" s="65"/>
      <c r="N74" s="65"/>
      <c r="O74" s="65"/>
      <c r="P74" s="42" t="s">
        <v>172</v>
      </c>
      <c r="Q74" s="42" t="s">
        <v>335</v>
      </c>
      <c r="R74" s="42" t="s">
        <v>172</v>
      </c>
      <c r="S74" s="42" t="s">
        <v>389</v>
      </c>
      <c r="T74" s="42" t="s">
        <v>366</v>
      </c>
      <c r="U74" s="64"/>
      <c r="V74" s="42" t="s">
        <v>200</v>
      </c>
      <c r="W74" s="64"/>
      <c r="X74" s="66" t="s">
        <v>180</v>
      </c>
      <c r="Y74" s="67" t="s">
        <v>181</v>
      </c>
      <c r="Z74" s="66" t="s">
        <v>182</v>
      </c>
      <c r="AA74" s="68" t="s">
        <v>174</v>
      </c>
      <c r="AB74" s="68" t="s">
        <v>183</v>
      </c>
      <c r="AC74" s="69">
        <v>25.0</v>
      </c>
      <c r="AD74" s="69">
        <v>100.0</v>
      </c>
      <c r="AE74" s="69">
        <v>100.0</v>
      </c>
      <c r="AF74" s="69">
        <v>95.0</v>
      </c>
      <c r="AG74" s="69">
        <v>98.0</v>
      </c>
      <c r="AH74" s="69">
        <v>11.81</v>
      </c>
      <c r="AI74" s="69">
        <v>3.1</v>
      </c>
      <c r="AJ74" s="69">
        <v>75.0</v>
      </c>
      <c r="AK74" s="69">
        <v>85.0</v>
      </c>
      <c r="AL74" s="70">
        <v>56.3</v>
      </c>
      <c r="AM74" s="71">
        <v>19.0</v>
      </c>
      <c r="AN74" s="71">
        <v>45.0</v>
      </c>
      <c r="AO74" s="70">
        <v>365.0</v>
      </c>
      <c r="AP74" s="68" t="s">
        <v>368</v>
      </c>
      <c r="AQ74" s="68" t="s">
        <v>185</v>
      </c>
      <c r="AR74" s="70">
        <v>3.0</v>
      </c>
      <c r="AS74" s="71">
        <v>1.0</v>
      </c>
      <c r="AT74" s="70">
        <v>18.0</v>
      </c>
      <c r="AU74" s="70">
        <v>38.3</v>
      </c>
      <c r="AV74" s="71">
        <v>33.0</v>
      </c>
      <c r="AW74" s="71">
        <v>59.0</v>
      </c>
    </row>
    <row r="75">
      <c r="A75" s="42" t="s">
        <v>390</v>
      </c>
      <c r="B75" s="63">
        <v>7.57</v>
      </c>
      <c r="C75" s="63">
        <v>0.0</v>
      </c>
      <c r="D75" s="63">
        <v>0.0</v>
      </c>
      <c r="E75" s="63">
        <v>2318.0</v>
      </c>
      <c r="F75" s="63">
        <v>0.0</v>
      </c>
      <c r="G75" s="42" t="s">
        <v>172</v>
      </c>
      <c r="H75" s="63" t="s">
        <v>391</v>
      </c>
      <c r="I75" s="64"/>
      <c r="J75" s="42" t="s">
        <v>174</v>
      </c>
      <c r="K75" s="42" t="s">
        <v>366</v>
      </c>
      <c r="L75" s="65"/>
      <c r="M75" s="65"/>
      <c r="N75" s="65"/>
      <c r="O75" s="65"/>
      <c r="P75" s="42" t="s">
        <v>172</v>
      </c>
      <c r="Q75" s="42" t="s">
        <v>335</v>
      </c>
      <c r="R75" s="42" t="s">
        <v>172</v>
      </c>
      <c r="S75" s="42" t="s">
        <v>392</v>
      </c>
      <c r="T75" s="42" t="s">
        <v>366</v>
      </c>
      <c r="U75" s="64"/>
      <c r="V75" s="42" t="s">
        <v>200</v>
      </c>
      <c r="W75" s="64"/>
      <c r="X75" s="66" t="s">
        <v>180</v>
      </c>
      <c r="Y75" s="67" t="s">
        <v>181</v>
      </c>
      <c r="Z75" s="66" t="s">
        <v>182</v>
      </c>
      <c r="AA75" s="68" t="s">
        <v>174</v>
      </c>
      <c r="AB75" s="68" t="s">
        <v>183</v>
      </c>
      <c r="AC75" s="69">
        <v>25.0</v>
      </c>
      <c r="AD75" s="69">
        <v>100.0</v>
      </c>
      <c r="AE75" s="69">
        <v>100.0</v>
      </c>
      <c r="AF75" s="69">
        <v>95.0</v>
      </c>
      <c r="AG75" s="69">
        <v>98.0</v>
      </c>
      <c r="AH75" s="69">
        <v>12.07</v>
      </c>
      <c r="AI75" s="69">
        <v>4.8</v>
      </c>
      <c r="AJ75" s="69">
        <v>75.0</v>
      </c>
      <c r="AK75" s="69">
        <v>85.0</v>
      </c>
      <c r="AL75" s="70">
        <v>56.7</v>
      </c>
      <c r="AM75" s="71">
        <v>14.0</v>
      </c>
      <c r="AN75" s="71">
        <v>40.0</v>
      </c>
      <c r="AO75" s="70">
        <v>365.0</v>
      </c>
      <c r="AP75" s="68" t="s">
        <v>368</v>
      </c>
      <c r="AQ75" s="68" t="s">
        <v>185</v>
      </c>
      <c r="AR75" s="70">
        <v>1.0</v>
      </c>
      <c r="AS75" s="71">
        <v>1.0</v>
      </c>
      <c r="AT75" s="70">
        <v>7.0</v>
      </c>
      <c r="AU75" s="70">
        <v>49.7</v>
      </c>
      <c r="AV75" s="71">
        <v>20.0</v>
      </c>
      <c r="AW75" s="71">
        <v>43.0</v>
      </c>
    </row>
    <row r="76">
      <c r="A76" s="42" t="s">
        <v>393</v>
      </c>
      <c r="B76" s="63">
        <v>5.8</v>
      </c>
      <c r="C76" s="63">
        <v>0.0</v>
      </c>
      <c r="D76" s="63">
        <v>0.0</v>
      </c>
      <c r="E76" s="63">
        <v>3285.0</v>
      </c>
      <c r="F76" s="63">
        <v>0.0</v>
      </c>
      <c r="G76" s="42" t="s">
        <v>172</v>
      </c>
      <c r="H76" s="63" t="s">
        <v>394</v>
      </c>
      <c r="I76" s="64"/>
      <c r="J76" s="42" t="s">
        <v>174</v>
      </c>
      <c r="K76" s="42" t="s">
        <v>366</v>
      </c>
      <c r="L76" s="65"/>
      <c r="M76" s="65"/>
      <c r="N76" s="65"/>
      <c r="O76" s="65"/>
      <c r="P76" s="42" t="s">
        <v>172</v>
      </c>
      <c r="Q76" s="42" t="s">
        <v>335</v>
      </c>
      <c r="R76" s="42" t="s">
        <v>172</v>
      </c>
      <c r="S76" s="42" t="s">
        <v>395</v>
      </c>
      <c r="T76" s="42" t="s">
        <v>366</v>
      </c>
      <c r="U76" s="64"/>
      <c r="V76" s="42" t="s">
        <v>200</v>
      </c>
      <c r="W76" s="64"/>
      <c r="X76" s="66" t="s">
        <v>180</v>
      </c>
      <c r="Y76" s="67" t="s">
        <v>181</v>
      </c>
      <c r="Z76" s="66" t="s">
        <v>182</v>
      </c>
      <c r="AA76" s="68" t="s">
        <v>174</v>
      </c>
      <c r="AB76" s="68" t="s">
        <v>183</v>
      </c>
      <c r="AC76" s="69">
        <v>25.0</v>
      </c>
      <c r="AD76" s="69">
        <v>100.0</v>
      </c>
      <c r="AE76" s="69">
        <v>100.0</v>
      </c>
      <c r="AF76" s="69">
        <v>95.0</v>
      </c>
      <c r="AG76" s="69">
        <v>98.0</v>
      </c>
      <c r="AH76" s="69">
        <v>10.3</v>
      </c>
      <c r="AI76" s="69">
        <v>0.0</v>
      </c>
      <c r="AJ76" s="69">
        <v>75.0</v>
      </c>
      <c r="AK76" s="69">
        <v>85.0</v>
      </c>
      <c r="AL76" s="70">
        <v>55.6</v>
      </c>
      <c r="AM76" s="71">
        <v>25.0</v>
      </c>
      <c r="AN76" s="71">
        <v>51.0</v>
      </c>
      <c r="AO76" s="70">
        <v>365.0</v>
      </c>
      <c r="AP76" s="68" t="s">
        <v>368</v>
      </c>
      <c r="AQ76" s="68" t="s">
        <v>185</v>
      </c>
      <c r="AR76" s="70">
        <v>11.0</v>
      </c>
      <c r="AS76" s="71">
        <v>11.0</v>
      </c>
      <c r="AT76" s="70">
        <v>18.0</v>
      </c>
      <c r="AU76" s="70">
        <v>37.6</v>
      </c>
      <c r="AV76" s="71">
        <v>37.0</v>
      </c>
      <c r="AW76" s="71">
        <v>63.0</v>
      </c>
    </row>
    <row r="77">
      <c r="A77" s="42" t="s">
        <v>396</v>
      </c>
      <c r="B77" s="63">
        <v>7.34</v>
      </c>
      <c r="C77" s="63">
        <v>0.0</v>
      </c>
      <c r="D77" s="63">
        <v>0.0</v>
      </c>
      <c r="E77" s="63">
        <v>4052.0</v>
      </c>
      <c r="F77" s="63">
        <v>0.0</v>
      </c>
      <c r="G77" s="42" t="s">
        <v>172</v>
      </c>
      <c r="H77" s="63" t="s">
        <v>397</v>
      </c>
      <c r="I77" s="64"/>
      <c r="J77" s="42" t="s">
        <v>174</v>
      </c>
      <c r="K77" s="42" t="s">
        <v>366</v>
      </c>
      <c r="L77" s="65"/>
      <c r="M77" s="65"/>
      <c r="N77" s="65"/>
      <c r="O77" s="65"/>
      <c r="P77" s="42" t="s">
        <v>172</v>
      </c>
      <c r="Q77" s="42" t="s">
        <v>335</v>
      </c>
      <c r="R77" s="42" t="s">
        <v>172</v>
      </c>
      <c r="S77" s="42" t="s">
        <v>398</v>
      </c>
      <c r="T77" s="42" t="s">
        <v>366</v>
      </c>
      <c r="U77" s="64"/>
      <c r="V77" s="42" t="s">
        <v>200</v>
      </c>
      <c r="W77" s="64"/>
      <c r="X77" s="66" t="s">
        <v>180</v>
      </c>
      <c r="Y77" s="67" t="s">
        <v>181</v>
      </c>
      <c r="Z77" s="66" t="s">
        <v>182</v>
      </c>
      <c r="AA77" s="68" t="s">
        <v>174</v>
      </c>
      <c r="AB77" s="68" t="s">
        <v>183</v>
      </c>
      <c r="AC77" s="69">
        <v>25.0</v>
      </c>
      <c r="AD77" s="69">
        <v>100.0</v>
      </c>
      <c r="AE77" s="69">
        <v>100.0</v>
      </c>
      <c r="AF77" s="69">
        <v>95.0</v>
      </c>
      <c r="AG77" s="69">
        <v>98.0</v>
      </c>
      <c r="AH77" s="69">
        <v>11.84</v>
      </c>
      <c r="AI77" s="69">
        <v>3.3</v>
      </c>
      <c r="AJ77" s="69">
        <v>75.0</v>
      </c>
      <c r="AK77" s="69">
        <v>85.0</v>
      </c>
      <c r="AL77" s="70">
        <v>56.3</v>
      </c>
      <c r="AM77" s="71">
        <v>20.0</v>
      </c>
      <c r="AN77" s="71">
        <v>46.0</v>
      </c>
      <c r="AO77" s="70">
        <v>365.0</v>
      </c>
      <c r="AP77" s="68" t="s">
        <v>368</v>
      </c>
      <c r="AQ77" s="68" t="s">
        <v>185</v>
      </c>
      <c r="AR77" s="70">
        <v>2.0</v>
      </c>
      <c r="AS77" s="71">
        <v>1.0</v>
      </c>
      <c r="AT77" s="70">
        <v>14.0</v>
      </c>
      <c r="AU77" s="70">
        <v>42.3</v>
      </c>
      <c r="AV77" s="71">
        <v>29.0</v>
      </c>
      <c r="AW77" s="71">
        <v>54.0</v>
      </c>
    </row>
    <row r="78">
      <c r="A78" s="42" t="s">
        <v>399</v>
      </c>
      <c r="B78" s="63">
        <v>13.39</v>
      </c>
      <c r="C78" s="63">
        <v>0.0</v>
      </c>
      <c r="D78" s="63">
        <v>0.0</v>
      </c>
      <c r="E78" s="63">
        <v>996.0</v>
      </c>
      <c r="F78" s="63">
        <v>0.0</v>
      </c>
      <c r="G78" s="42" t="s">
        <v>172</v>
      </c>
      <c r="H78" s="63" t="s">
        <v>400</v>
      </c>
      <c r="I78" s="66" t="s">
        <v>220</v>
      </c>
      <c r="J78" s="42" t="s">
        <v>174</v>
      </c>
      <c r="K78" s="42" t="s">
        <v>366</v>
      </c>
      <c r="L78" s="65"/>
      <c r="M78" s="65"/>
      <c r="N78" s="65"/>
      <c r="O78" s="65"/>
      <c r="P78" s="42" t="s">
        <v>172</v>
      </c>
      <c r="Q78" s="42" t="s">
        <v>242</v>
      </c>
      <c r="R78" s="42" t="s">
        <v>172</v>
      </c>
      <c r="S78" s="42" t="s">
        <v>401</v>
      </c>
      <c r="T78" s="42" t="s">
        <v>366</v>
      </c>
      <c r="U78" s="66" t="s">
        <v>223</v>
      </c>
      <c r="V78" s="42" t="s">
        <v>200</v>
      </c>
      <c r="W78" s="66" t="s">
        <v>223</v>
      </c>
      <c r="X78" s="66" t="s">
        <v>180</v>
      </c>
      <c r="Y78" s="67" t="s">
        <v>181</v>
      </c>
      <c r="Z78" s="66" t="s">
        <v>225</v>
      </c>
      <c r="AA78" s="68" t="s">
        <v>174</v>
      </c>
      <c r="AB78" s="68" t="s">
        <v>183</v>
      </c>
      <c r="AC78" s="69">
        <v>25.0</v>
      </c>
      <c r="AD78" s="69">
        <v>100.0</v>
      </c>
      <c r="AE78" s="69">
        <v>100.0</v>
      </c>
      <c r="AF78" s="69">
        <v>95.0</v>
      </c>
      <c r="AG78" s="69">
        <v>98.0</v>
      </c>
      <c r="AH78" s="69">
        <v>13.39</v>
      </c>
      <c r="AI78" s="69">
        <v>13.5</v>
      </c>
      <c r="AJ78" s="69">
        <v>75.0</v>
      </c>
      <c r="AK78" s="69">
        <v>85.0</v>
      </c>
      <c r="AL78" s="70">
        <v>58.6</v>
      </c>
      <c r="AM78" s="71">
        <v>5.0</v>
      </c>
      <c r="AN78" s="71">
        <v>30.0</v>
      </c>
      <c r="AO78" s="70">
        <v>199.0</v>
      </c>
      <c r="AP78" s="68" t="s">
        <v>368</v>
      </c>
      <c r="AQ78" s="68" t="s">
        <v>185</v>
      </c>
      <c r="AR78" s="70">
        <v>0.0</v>
      </c>
      <c r="AS78" s="71">
        <v>0.0</v>
      </c>
      <c r="AT78" s="70">
        <v>0.0</v>
      </c>
      <c r="AU78" s="70">
        <v>58.6</v>
      </c>
      <c r="AV78" s="71">
        <v>3.0</v>
      </c>
      <c r="AW78" s="71">
        <v>22.0</v>
      </c>
    </row>
    <row r="79">
      <c r="A79" s="42" t="s">
        <v>402</v>
      </c>
      <c r="B79" s="63">
        <v>1.0</v>
      </c>
      <c r="C79" s="63">
        <v>0.0</v>
      </c>
      <c r="D79" s="63">
        <v>0.0</v>
      </c>
      <c r="E79" s="63">
        <v>1095.0</v>
      </c>
      <c r="F79" s="63">
        <v>0.0</v>
      </c>
      <c r="G79" s="42" t="s">
        <v>172</v>
      </c>
      <c r="H79" s="63" t="s">
        <v>394</v>
      </c>
      <c r="I79" s="66" t="s">
        <v>220</v>
      </c>
      <c r="J79" s="42" t="s">
        <v>174</v>
      </c>
      <c r="K79" s="42" t="s">
        <v>366</v>
      </c>
      <c r="L79" s="65"/>
      <c r="M79" s="65"/>
      <c r="N79" s="65"/>
      <c r="O79" s="65"/>
      <c r="P79" s="42" t="s">
        <v>172</v>
      </c>
      <c r="Q79" s="42" t="s">
        <v>238</v>
      </c>
      <c r="R79" s="42" t="s">
        <v>172</v>
      </c>
      <c r="S79" s="42" t="s">
        <v>403</v>
      </c>
      <c r="T79" s="42" t="s">
        <v>366</v>
      </c>
      <c r="U79" s="66" t="s">
        <v>223</v>
      </c>
      <c r="V79" s="42" t="s">
        <v>269</v>
      </c>
      <c r="W79" s="66" t="s">
        <v>223</v>
      </c>
      <c r="X79" s="66" t="s">
        <v>180</v>
      </c>
      <c r="Y79" s="67" t="s">
        <v>181</v>
      </c>
      <c r="Z79" s="66" t="s">
        <v>225</v>
      </c>
      <c r="AA79" s="68" t="s">
        <v>174</v>
      </c>
      <c r="AB79" s="68" t="s">
        <v>253</v>
      </c>
      <c r="AC79" s="69">
        <v>85.0</v>
      </c>
      <c r="AD79" s="69">
        <v>100.0</v>
      </c>
      <c r="AE79" s="69">
        <v>100.0</v>
      </c>
      <c r="AF79" s="69">
        <v>100.0</v>
      </c>
      <c r="AG79" s="69">
        <v>100.0</v>
      </c>
      <c r="AH79" s="69">
        <v>15.0</v>
      </c>
      <c r="AI79" s="69">
        <v>24.0</v>
      </c>
      <c r="AJ79" s="69">
        <v>75.0</v>
      </c>
      <c r="AK79" s="69">
        <v>85.0</v>
      </c>
      <c r="AL79" s="70">
        <v>76.3</v>
      </c>
      <c r="AM79" s="71">
        <v>1.0</v>
      </c>
      <c r="AN79" s="71">
        <v>7.0</v>
      </c>
      <c r="AO79" s="70">
        <v>27.0</v>
      </c>
      <c r="AP79" s="68" t="s">
        <v>404</v>
      </c>
      <c r="AQ79" s="68" t="s">
        <v>185</v>
      </c>
      <c r="AR79" s="70">
        <v>0.0</v>
      </c>
      <c r="AS79" s="71">
        <v>0.0</v>
      </c>
      <c r="AT79" s="70">
        <v>0.0</v>
      </c>
      <c r="AU79" s="70">
        <v>76.3</v>
      </c>
      <c r="AV79" s="71">
        <v>1.0</v>
      </c>
      <c r="AW79" s="71">
        <v>5.0</v>
      </c>
    </row>
    <row r="80">
      <c r="A80" s="42" t="s">
        <v>405</v>
      </c>
      <c r="B80" s="63">
        <v>0.09</v>
      </c>
      <c r="C80" s="63">
        <v>0.0</v>
      </c>
      <c r="D80" s="63">
        <v>0.0</v>
      </c>
      <c r="E80" s="63">
        <v>1785.0</v>
      </c>
      <c r="F80" s="63">
        <v>0.0</v>
      </c>
      <c r="G80" s="42" t="s">
        <v>172</v>
      </c>
      <c r="H80" s="63" t="s">
        <v>406</v>
      </c>
      <c r="I80" s="66" t="s">
        <v>220</v>
      </c>
      <c r="J80" s="42" t="s">
        <v>174</v>
      </c>
      <c r="K80" s="42" t="s">
        <v>366</v>
      </c>
      <c r="L80" s="65"/>
      <c r="M80" s="65"/>
      <c r="N80" s="65"/>
      <c r="O80" s="65"/>
      <c r="P80" s="42" t="s">
        <v>172</v>
      </c>
      <c r="Q80" s="42" t="s">
        <v>238</v>
      </c>
      <c r="R80" s="42" t="s">
        <v>172</v>
      </c>
      <c r="S80" s="42" t="s">
        <v>407</v>
      </c>
      <c r="T80" s="42" t="s">
        <v>366</v>
      </c>
      <c r="U80" s="66" t="s">
        <v>223</v>
      </c>
      <c r="V80" s="42" t="s">
        <v>200</v>
      </c>
      <c r="W80" s="66" t="s">
        <v>223</v>
      </c>
      <c r="X80" s="66" t="s">
        <v>180</v>
      </c>
      <c r="Y80" s="67" t="s">
        <v>181</v>
      </c>
      <c r="Z80" s="66" t="s">
        <v>225</v>
      </c>
      <c r="AA80" s="68" t="s">
        <v>174</v>
      </c>
      <c r="AB80" s="68" t="s">
        <v>253</v>
      </c>
      <c r="AC80" s="69">
        <v>65.0</v>
      </c>
      <c r="AD80" s="69">
        <v>90.0</v>
      </c>
      <c r="AE80" s="69">
        <v>100.0</v>
      </c>
      <c r="AF80" s="69">
        <v>95.0</v>
      </c>
      <c r="AG80" s="69">
        <v>98.0</v>
      </c>
      <c r="AH80" s="69">
        <v>14.09</v>
      </c>
      <c r="AI80" s="69">
        <v>18.1</v>
      </c>
      <c r="AJ80" s="69">
        <v>75.0</v>
      </c>
      <c r="AK80" s="69">
        <v>85.0</v>
      </c>
      <c r="AL80" s="70">
        <v>67.8</v>
      </c>
      <c r="AM80" s="71">
        <v>2.0</v>
      </c>
      <c r="AN80" s="71">
        <v>15.0</v>
      </c>
      <c r="AO80" s="70">
        <v>35.0</v>
      </c>
      <c r="AP80" s="68" t="s">
        <v>404</v>
      </c>
      <c r="AQ80" s="68" t="s">
        <v>185</v>
      </c>
      <c r="AR80" s="70">
        <v>1.0</v>
      </c>
      <c r="AS80" s="71">
        <v>1.0</v>
      </c>
      <c r="AT80" s="70">
        <v>7.0</v>
      </c>
      <c r="AU80" s="70">
        <v>60.8</v>
      </c>
      <c r="AV80" s="71">
        <v>3.0</v>
      </c>
      <c r="AW80" s="71">
        <v>16.0</v>
      </c>
    </row>
    <row r="81">
      <c r="A81" s="42" t="s">
        <v>408</v>
      </c>
      <c r="B81" s="63">
        <v>267.89</v>
      </c>
      <c r="C81" s="63">
        <v>0.0</v>
      </c>
      <c r="D81" s="63">
        <v>0.0</v>
      </c>
      <c r="E81" s="63">
        <v>1.0</v>
      </c>
      <c r="F81" s="63">
        <v>6.0</v>
      </c>
      <c r="G81" s="42" t="s">
        <v>172</v>
      </c>
      <c r="H81" s="63" t="s">
        <v>173</v>
      </c>
      <c r="I81" s="81"/>
      <c r="J81" s="42" t="s">
        <v>174</v>
      </c>
      <c r="K81" s="42" t="s">
        <v>175</v>
      </c>
      <c r="L81" s="65"/>
      <c r="M81" s="65"/>
      <c r="N81" s="65"/>
      <c r="O81" s="65"/>
      <c r="P81" s="42" t="s">
        <v>172</v>
      </c>
      <c r="Q81" s="42" t="s">
        <v>176</v>
      </c>
      <c r="R81" s="42" t="s">
        <v>172</v>
      </c>
      <c r="S81" s="42" t="s">
        <v>409</v>
      </c>
      <c r="T81" s="42" t="s">
        <v>410</v>
      </c>
      <c r="U81" s="81"/>
      <c r="V81" s="42" t="s">
        <v>179</v>
      </c>
      <c r="W81" s="81"/>
      <c r="X81" s="80" t="s">
        <v>299</v>
      </c>
      <c r="Y81" s="67" t="s">
        <v>181</v>
      </c>
      <c r="Z81" s="80" t="s">
        <v>182</v>
      </c>
      <c r="AA81" s="68" t="s">
        <v>174</v>
      </c>
      <c r="AB81" s="68" t="s">
        <v>183</v>
      </c>
      <c r="AC81" s="69">
        <v>25.0</v>
      </c>
      <c r="AD81" s="69">
        <v>100.0</v>
      </c>
      <c r="AE81" s="69">
        <v>35.0</v>
      </c>
      <c r="AF81" s="69">
        <v>60.0</v>
      </c>
      <c r="AG81" s="69">
        <v>45.0</v>
      </c>
      <c r="AH81" s="69">
        <v>18.0</v>
      </c>
      <c r="AI81" s="69">
        <v>43.7</v>
      </c>
      <c r="AJ81" s="69">
        <v>40.0</v>
      </c>
      <c r="AK81" s="69">
        <v>85.0</v>
      </c>
      <c r="AL81" s="70">
        <v>51.1</v>
      </c>
      <c r="AM81" s="71">
        <v>38.0</v>
      </c>
      <c r="AN81" s="71">
        <v>65.0</v>
      </c>
      <c r="AO81" s="70">
        <v>181.0</v>
      </c>
      <c r="AP81" s="68" t="s">
        <v>184</v>
      </c>
      <c r="AQ81" s="68" t="s">
        <v>185</v>
      </c>
      <c r="AR81" s="70">
        <v>0.0</v>
      </c>
      <c r="AS81" s="71">
        <v>0.0</v>
      </c>
      <c r="AT81" s="70">
        <v>0.0</v>
      </c>
      <c r="AU81" s="70">
        <v>51.1</v>
      </c>
      <c r="AV81" s="71">
        <v>13.0</v>
      </c>
      <c r="AW81" s="71">
        <v>34.0</v>
      </c>
    </row>
    <row r="82">
      <c r="A82" s="42" t="s">
        <v>411</v>
      </c>
      <c r="B82" s="63">
        <v>338.42</v>
      </c>
      <c r="C82" s="63">
        <v>0.0</v>
      </c>
      <c r="D82" s="63">
        <v>0.0</v>
      </c>
      <c r="E82" s="63">
        <v>1.0</v>
      </c>
      <c r="F82" s="63">
        <v>6.0</v>
      </c>
      <c r="G82" s="42" t="s">
        <v>172</v>
      </c>
      <c r="H82" s="63" t="s">
        <v>173</v>
      </c>
      <c r="I82" s="81"/>
      <c r="J82" s="42" t="s">
        <v>174</v>
      </c>
      <c r="K82" s="42" t="s">
        <v>175</v>
      </c>
      <c r="L82" s="65"/>
      <c r="M82" s="65"/>
      <c r="N82" s="65"/>
      <c r="O82" s="65"/>
      <c r="P82" s="42" t="s">
        <v>172</v>
      </c>
      <c r="Q82" s="42" t="s">
        <v>176</v>
      </c>
      <c r="R82" s="42" t="s">
        <v>172</v>
      </c>
      <c r="S82" s="42" t="s">
        <v>412</v>
      </c>
      <c r="T82" s="42" t="s">
        <v>410</v>
      </c>
      <c r="U82" s="81"/>
      <c r="V82" s="42" t="s">
        <v>179</v>
      </c>
      <c r="W82" s="81"/>
      <c r="X82" s="80" t="s">
        <v>299</v>
      </c>
      <c r="Y82" s="67" t="s">
        <v>181</v>
      </c>
      <c r="Z82" s="80" t="s">
        <v>182</v>
      </c>
      <c r="AA82" s="68" t="s">
        <v>174</v>
      </c>
      <c r="AB82" s="68" t="s">
        <v>183</v>
      </c>
      <c r="AC82" s="69">
        <v>25.0</v>
      </c>
      <c r="AD82" s="69">
        <v>100.0</v>
      </c>
      <c r="AE82" s="69">
        <v>35.0</v>
      </c>
      <c r="AF82" s="69">
        <v>60.0</v>
      </c>
      <c r="AG82" s="69">
        <v>45.0</v>
      </c>
      <c r="AH82" s="69">
        <v>18.0</v>
      </c>
      <c r="AI82" s="69">
        <v>43.7</v>
      </c>
      <c r="AJ82" s="69">
        <v>40.0</v>
      </c>
      <c r="AK82" s="69">
        <v>85.0</v>
      </c>
      <c r="AL82" s="70">
        <v>51.1</v>
      </c>
      <c r="AM82" s="71">
        <v>39.0</v>
      </c>
      <c r="AN82" s="71">
        <v>66.0</v>
      </c>
      <c r="AO82" s="70">
        <v>181.0</v>
      </c>
      <c r="AP82" s="68" t="s">
        <v>184</v>
      </c>
      <c r="AQ82" s="68" t="s">
        <v>185</v>
      </c>
      <c r="AR82" s="70">
        <v>0.0</v>
      </c>
      <c r="AS82" s="71">
        <v>0.0</v>
      </c>
      <c r="AT82" s="70">
        <v>0.0</v>
      </c>
      <c r="AU82" s="70">
        <v>51.1</v>
      </c>
      <c r="AV82" s="71">
        <v>14.0</v>
      </c>
      <c r="AW82" s="71">
        <v>35.0</v>
      </c>
    </row>
    <row r="83">
      <c r="A83" s="42" t="s">
        <v>413</v>
      </c>
      <c r="B83" s="63">
        <v>100.47</v>
      </c>
      <c r="C83" s="63">
        <v>0.0</v>
      </c>
      <c r="D83" s="63">
        <v>0.0</v>
      </c>
      <c r="E83" s="63">
        <v>1.0</v>
      </c>
      <c r="F83" s="63">
        <v>0.0</v>
      </c>
      <c r="G83" s="42" t="s">
        <v>172</v>
      </c>
      <c r="H83" s="63" t="s">
        <v>173</v>
      </c>
      <c r="I83" s="66" t="s">
        <v>220</v>
      </c>
      <c r="J83" s="42" t="s">
        <v>174</v>
      </c>
      <c r="K83" s="42" t="s">
        <v>175</v>
      </c>
      <c r="L83" s="65"/>
      <c r="M83" s="65"/>
      <c r="N83" s="65"/>
      <c r="O83" s="65"/>
      <c r="P83" s="42" t="s">
        <v>172</v>
      </c>
      <c r="Q83" s="42" t="s">
        <v>189</v>
      </c>
      <c r="R83" s="42" t="s">
        <v>172</v>
      </c>
      <c r="S83" s="42" t="s">
        <v>414</v>
      </c>
      <c r="T83" s="42" t="s">
        <v>410</v>
      </c>
      <c r="U83" s="66" t="s">
        <v>223</v>
      </c>
      <c r="V83" s="42" t="s">
        <v>200</v>
      </c>
      <c r="W83" s="66" t="s">
        <v>223</v>
      </c>
      <c r="X83" s="66" t="s">
        <v>180</v>
      </c>
      <c r="Y83" s="67" t="s">
        <v>181</v>
      </c>
      <c r="Z83" s="66" t="s">
        <v>225</v>
      </c>
      <c r="AA83" s="68" t="s">
        <v>174</v>
      </c>
      <c r="AB83" s="68" t="s">
        <v>226</v>
      </c>
      <c r="AC83" s="69">
        <v>100.0</v>
      </c>
      <c r="AD83" s="69">
        <v>100.0</v>
      </c>
      <c r="AE83" s="69">
        <v>70.0</v>
      </c>
      <c r="AF83" s="69">
        <v>95.0</v>
      </c>
      <c r="AG83" s="69">
        <v>80.0</v>
      </c>
      <c r="AH83" s="69">
        <v>14.07</v>
      </c>
      <c r="AI83" s="69">
        <v>17.9</v>
      </c>
      <c r="AJ83" s="69">
        <v>40.0</v>
      </c>
      <c r="AK83" s="69">
        <v>85.0</v>
      </c>
      <c r="AL83" s="70">
        <v>71.2</v>
      </c>
      <c r="AM83" s="71">
        <v>11.0</v>
      </c>
      <c r="AN83" s="71">
        <v>13.0</v>
      </c>
      <c r="AO83" s="70">
        <v>0.0</v>
      </c>
      <c r="AP83" s="68" t="s">
        <v>194</v>
      </c>
      <c r="AQ83" s="68" t="s">
        <v>195</v>
      </c>
      <c r="AR83" s="70">
        <v>4.0</v>
      </c>
      <c r="AS83" s="71">
        <v>6.0</v>
      </c>
      <c r="AT83" s="70">
        <v>18.0</v>
      </c>
      <c r="AU83" s="70">
        <v>53.2</v>
      </c>
      <c r="AV83" s="71">
        <v>11.0</v>
      </c>
      <c r="AW83" s="71">
        <v>31.0</v>
      </c>
    </row>
    <row r="84">
      <c r="A84" s="42" t="s">
        <v>415</v>
      </c>
      <c r="B84" s="63">
        <v>441.89</v>
      </c>
      <c r="C84" s="63">
        <v>0.0</v>
      </c>
      <c r="D84" s="63">
        <v>0.0</v>
      </c>
      <c r="E84" s="63">
        <v>1.0</v>
      </c>
      <c r="F84" s="63">
        <v>6.0</v>
      </c>
      <c r="G84" s="42" t="s">
        <v>172</v>
      </c>
      <c r="H84" s="63" t="s">
        <v>173</v>
      </c>
      <c r="I84" s="81"/>
      <c r="J84" s="42" t="s">
        <v>174</v>
      </c>
      <c r="K84" s="42" t="s">
        <v>175</v>
      </c>
      <c r="L84" s="65"/>
      <c r="M84" s="65"/>
      <c r="N84" s="65"/>
      <c r="O84" s="65"/>
      <c r="P84" s="42" t="s">
        <v>172</v>
      </c>
      <c r="Q84" s="42" t="s">
        <v>176</v>
      </c>
      <c r="R84" s="42" t="s">
        <v>172</v>
      </c>
      <c r="S84" s="42" t="s">
        <v>416</v>
      </c>
      <c r="T84" s="42" t="s">
        <v>410</v>
      </c>
      <c r="U84" s="81"/>
      <c r="V84" s="42" t="s">
        <v>179</v>
      </c>
      <c r="W84" s="81"/>
      <c r="X84" s="80" t="s">
        <v>299</v>
      </c>
      <c r="Y84" s="67" t="s">
        <v>181</v>
      </c>
      <c r="Z84" s="80" t="s">
        <v>182</v>
      </c>
      <c r="AA84" s="68" t="s">
        <v>174</v>
      </c>
      <c r="AB84" s="68" t="s">
        <v>183</v>
      </c>
      <c r="AC84" s="69">
        <v>25.0</v>
      </c>
      <c r="AD84" s="69">
        <v>100.0</v>
      </c>
      <c r="AE84" s="69">
        <v>35.0</v>
      </c>
      <c r="AF84" s="69">
        <v>60.0</v>
      </c>
      <c r="AG84" s="69">
        <v>45.0</v>
      </c>
      <c r="AH84" s="69">
        <v>18.0</v>
      </c>
      <c r="AI84" s="69">
        <v>43.7</v>
      </c>
      <c r="AJ84" s="69">
        <v>40.0</v>
      </c>
      <c r="AK84" s="69">
        <v>85.0</v>
      </c>
      <c r="AL84" s="70">
        <v>51.1</v>
      </c>
      <c r="AM84" s="71">
        <v>40.0</v>
      </c>
      <c r="AN84" s="71">
        <v>67.0</v>
      </c>
      <c r="AO84" s="70">
        <v>181.0</v>
      </c>
      <c r="AP84" s="68" t="s">
        <v>184</v>
      </c>
      <c r="AQ84" s="68" t="s">
        <v>185</v>
      </c>
      <c r="AR84" s="70">
        <v>0.0</v>
      </c>
      <c r="AS84" s="71">
        <v>0.0</v>
      </c>
      <c r="AT84" s="70">
        <v>0.0</v>
      </c>
      <c r="AU84" s="70">
        <v>51.1</v>
      </c>
      <c r="AV84" s="71">
        <v>15.0</v>
      </c>
      <c r="AW84" s="71">
        <v>36.0</v>
      </c>
    </row>
    <row r="86">
      <c r="B86" s="82"/>
    </row>
    <row r="87">
      <c r="B87" s="82"/>
    </row>
    <row r="88">
      <c r="B88" s="82"/>
    </row>
    <row r="89">
      <c r="B89" s="82"/>
    </row>
    <row r="90">
      <c r="B90" s="82"/>
    </row>
    <row r="91">
      <c r="B91" s="82"/>
    </row>
    <row r="92">
      <c r="B92" s="82"/>
    </row>
    <row r="93">
      <c r="B93" s="82"/>
    </row>
    <row r="94">
      <c r="B94" s="82"/>
    </row>
    <row r="95">
      <c r="B95" s="82"/>
    </row>
    <row r="96">
      <c r="B96" s="82"/>
    </row>
    <row r="97">
      <c r="B97" s="82"/>
    </row>
    <row r="98">
      <c r="B98" s="82"/>
    </row>
    <row r="99">
      <c r="B99" s="82"/>
    </row>
    <row r="100">
      <c r="B100" s="82"/>
    </row>
    <row r="101">
      <c r="B101" s="82"/>
    </row>
    <row r="102">
      <c r="B102" s="82"/>
    </row>
    <row r="103">
      <c r="B103" s="82"/>
    </row>
    <row r="104">
      <c r="B104" s="82"/>
    </row>
    <row r="105">
      <c r="B105" s="82"/>
    </row>
    <row r="106">
      <c r="B106" s="82"/>
    </row>
    <row r="107">
      <c r="B107" s="82"/>
    </row>
    <row r="108">
      <c r="B108" s="82"/>
    </row>
    <row r="109">
      <c r="B109" s="82"/>
    </row>
    <row r="110">
      <c r="B110" s="82"/>
    </row>
    <row r="111">
      <c r="B111" s="82"/>
    </row>
    <row r="112">
      <c r="B112" s="82"/>
    </row>
    <row r="113">
      <c r="B113" s="82"/>
    </row>
    <row r="114">
      <c r="B114" s="82"/>
    </row>
    <row r="115">
      <c r="B115" s="82"/>
    </row>
    <row r="116">
      <c r="B116" s="82"/>
    </row>
    <row r="117">
      <c r="B117" s="82"/>
    </row>
    <row r="118">
      <c r="B118" s="82"/>
    </row>
    <row r="119">
      <c r="B119" s="82"/>
    </row>
    <row r="120">
      <c r="B120" s="82"/>
    </row>
    <row r="121">
      <c r="B121" s="82"/>
    </row>
    <row r="122">
      <c r="B122" s="82"/>
    </row>
    <row r="123">
      <c r="B123" s="82"/>
    </row>
    <row r="124">
      <c r="B124" s="82"/>
    </row>
    <row r="125">
      <c r="B125" s="82"/>
    </row>
    <row r="126">
      <c r="B126" s="82"/>
    </row>
    <row r="127">
      <c r="B127" s="82"/>
    </row>
    <row r="128">
      <c r="B128" s="82"/>
    </row>
    <row r="129">
      <c r="B129" s="82"/>
    </row>
    <row r="130">
      <c r="B130" s="82"/>
    </row>
    <row r="131">
      <c r="B131" s="82"/>
    </row>
    <row r="132">
      <c r="B132" s="82"/>
    </row>
    <row r="133">
      <c r="B133" s="82"/>
    </row>
    <row r="134">
      <c r="B134" s="82"/>
    </row>
    <row r="135">
      <c r="B135" s="82"/>
    </row>
    <row r="136">
      <c r="B136" s="82"/>
    </row>
    <row r="137">
      <c r="B137" s="82"/>
    </row>
    <row r="138">
      <c r="B138" s="82"/>
    </row>
    <row r="139">
      <c r="B139" s="82"/>
    </row>
    <row r="140">
      <c r="B140" s="82"/>
    </row>
    <row r="141">
      <c r="B141" s="82"/>
    </row>
    <row r="142">
      <c r="B142" s="82"/>
    </row>
    <row r="143">
      <c r="B143" s="82"/>
    </row>
    <row r="144">
      <c r="B144" s="82"/>
    </row>
    <row r="145">
      <c r="B145" s="82"/>
    </row>
    <row r="146">
      <c r="B146" s="82"/>
    </row>
    <row r="147">
      <c r="B147" s="82"/>
    </row>
    <row r="148">
      <c r="B148" s="82"/>
    </row>
    <row r="149">
      <c r="B149" s="82"/>
    </row>
    <row r="150">
      <c r="B150" s="82"/>
    </row>
    <row r="151">
      <c r="B151" s="82"/>
    </row>
    <row r="152">
      <c r="B152" s="82"/>
    </row>
    <row r="153">
      <c r="B153" s="82"/>
    </row>
    <row r="154">
      <c r="B154" s="82"/>
    </row>
    <row r="155">
      <c r="B155" s="82"/>
    </row>
    <row r="156">
      <c r="B156" s="82"/>
    </row>
    <row r="157">
      <c r="B157" s="82"/>
    </row>
    <row r="158">
      <c r="B158" s="82"/>
    </row>
    <row r="159">
      <c r="B159" s="82"/>
    </row>
    <row r="160">
      <c r="B160" s="82"/>
    </row>
    <row r="161">
      <c r="B161" s="82"/>
    </row>
    <row r="162">
      <c r="B162" s="82"/>
    </row>
    <row r="163">
      <c r="B163" s="82"/>
    </row>
    <row r="164">
      <c r="B164" s="82"/>
    </row>
    <row r="165">
      <c r="B165" s="82"/>
    </row>
    <row r="166">
      <c r="B166" s="82"/>
    </row>
    <row r="167">
      <c r="B167" s="82"/>
    </row>
    <row r="168">
      <c r="B168" s="82"/>
    </row>
    <row r="169">
      <c r="B169" s="82"/>
    </row>
    <row r="170">
      <c r="B170" s="82"/>
    </row>
    <row r="171">
      <c r="B171" s="82"/>
    </row>
    <row r="172">
      <c r="B172" s="82"/>
    </row>
    <row r="173">
      <c r="B173" s="82"/>
    </row>
    <row r="174">
      <c r="B174" s="82"/>
    </row>
    <row r="175">
      <c r="B175" s="82"/>
    </row>
    <row r="176">
      <c r="B176" s="82"/>
    </row>
    <row r="177">
      <c r="B177" s="82"/>
    </row>
    <row r="178">
      <c r="B178" s="82"/>
    </row>
    <row r="179">
      <c r="B179" s="82"/>
    </row>
    <row r="180">
      <c r="B180" s="82"/>
    </row>
    <row r="181">
      <c r="B181" s="82"/>
    </row>
    <row r="182">
      <c r="B182" s="82"/>
    </row>
    <row r="183">
      <c r="B183" s="82"/>
    </row>
    <row r="184">
      <c r="B184" s="82"/>
    </row>
    <row r="185">
      <c r="B185" s="82"/>
    </row>
    <row r="186">
      <c r="B186" s="82"/>
    </row>
    <row r="187">
      <c r="B187" s="82"/>
    </row>
    <row r="188">
      <c r="B188" s="82"/>
    </row>
    <row r="189">
      <c r="B189" s="82"/>
    </row>
    <row r="190">
      <c r="B190" s="82"/>
    </row>
    <row r="191">
      <c r="B191" s="82"/>
    </row>
    <row r="192">
      <c r="B192" s="82"/>
    </row>
    <row r="193">
      <c r="B193" s="82"/>
    </row>
    <row r="194">
      <c r="B194" s="82"/>
    </row>
    <row r="195">
      <c r="B195" s="82"/>
    </row>
    <row r="196">
      <c r="B196" s="82"/>
    </row>
    <row r="197">
      <c r="B197" s="82"/>
    </row>
    <row r="198">
      <c r="B198" s="82"/>
    </row>
    <row r="199">
      <c r="B199" s="82"/>
    </row>
    <row r="200">
      <c r="B200" s="82"/>
    </row>
    <row r="201">
      <c r="B201" s="82"/>
    </row>
    <row r="202">
      <c r="B202" s="82"/>
    </row>
    <row r="203">
      <c r="B203" s="82"/>
    </row>
    <row r="204">
      <c r="B204" s="82"/>
    </row>
    <row r="205">
      <c r="B205" s="82"/>
    </row>
    <row r="206">
      <c r="B206" s="82"/>
    </row>
    <row r="207">
      <c r="B207" s="82"/>
    </row>
    <row r="208">
      <c r="B208" s="82"/>
    </row>
    <row r="209">
      <c r="B209" s="82"/>
    </row>
    <row r="210">
      <c r="B210" s="82"/>
    </row>
    <row r="211">
      <c r="B211" s="82"/>
    </row>
    <row r="212">
      <c r="B212" s="82"/>
    </row>
    <row r="213">
      <c r="B213" s="82"/>
    </row>
    <row r="214">
      <c r="B214" s="82"/>
    </row>
    <row r="215">
      <c r="B215" s="82"/>
    </row>
    <row r="216">
      <c r="B216" s="82"/>
    </row>
    <row r="217">
      <c r="B217" s="82"/>
    </row>
    <row r="218">
      <c r="B218" s="82"/>
    </row>
    <row r="219">
      <c r="B219" s="82"/>
    </row>
    <row r="220">
      <c r="B220" s="82"/>
    </row>
    <row r="221">
      <c r="B221" s="82"/>
    </row>
    <row r="222">
      <c r="B222" s="82"/>
    </row>
    <row r="223">
      <c r="B223" s="82"/>
    </row>
    <row r="224">
      <c r="B224" s="82"/>
    </row>
    <row r="225">
      <c r="B225" s="82"/>
    </row>
    <row r="226">
      <c r="B226" s="82"/>
    </row>
    <row r="227">
      <c r="B227" s="82"/>
    </row>
    <row r="228">
      <c r="B228" s="82"/>
    </row>
    <row r="229">
      <c r="B229" s="82"/>
    </row>
    <row r="230">
      <c r="B230" s="82"/>
    </row>
    <row r="231">
      <c r="B231" s="82"/>
    </row>
    <row r="232">
      <c r="B232" s="82"/>
    </row>
    <row r="233">
      <c r="B233" s="82"/>
    </row>
    <row r="234">
      <c r="B234" s="82"/>
    </row>
    <row r="235">
      <c r="B235" s="82"/>
    </row>
    <row r="236">
      <c r="B236" s="82"/>
    </row>
    <row r="237">
      <c r="B237" s="82"/>
    </row>
    <row r="238">
      <c r="B238" s="82"/>
    </row>
    <row r="239">
      <c r="B239" s="82"/>
    </row>
    <row r="240">
      <c r="B240" s="82"/>
    </row>
    <row r="241">
      <c r="B241" s="82"/>
    </row>
    <row r="242">
      <c r="B242" s="82"/>
    </row>
    <row r="243">
      <c r="B243" s="82"/>
    </row>
    <row r="244">
      <c r="B244" s="82"/>
    </row>
    <row r="245">
      <c r="B245" s="82"/>
    </row>
    <row r="246">
      <c r="B246" s="82"/>
    </row>
    <row r="247">
      <c r="B247" s="82"/>
    </row>
    <row r="248">
      <c r="B248" s="82"/>
    </row>
    <row r="249">
      <c r="B249" s="82"/>
    </row>
    <row r="250">
      <c r="B250" s="82"/>
    </row>
    <row r="251">
      <c r="B251" s="82"/>
    </row>
    <row r="252">
      <c r="B252" s="82"/>
    </row>
    <row r="253">
      <c r="B253" s="82"/>
    </row>
    <row r="254">
      <c r="B254" s="82"/>
    </row>
    <row r="255">
      <c r="B255" s="82"/>
    </row>
    <row r="256">
      <c r="B256" s="82"/>
    </row>
    <row r="257">
      <c r="B257" s="82"/>
    </row>
    <row r="258">
      <c r="B258" s="82"/>
    </row>
    <row r="259">
      <c r="B259" s="82"/>
    </row>
    <row r="260">
      <c r="B260" s="82"/>
    </row>
    <row r="261">
      <c r="B261" s="82"/>
    </row>
    <row r="262">
      <c r="B262" s="82"/>
    </row>
    <row r="263">
      <c r="B263" s="82"/>
    </row>
    <row r="264">
      <c r="B264" s="82"/>
    </row>
    <row r="265">
      <c r="B265" s="82"/>
    </row>
    <row r="266">
      <c r="B266" s="82"/>
    </row>
    <row r="267">
      <c r="B267" s="82"/>
    </row>
    <row r="268">
      <c r="B268" s="82"/>
    </row>
    <row r="269">
      <c r="B269" s="82"/>
    </row>
    <row r="270">
      <c r="B270" s="82"/>
    </row>
    <row r="271">
      <c r="B271" s="82"/>
    </row>
    <row r="272">
      <c r="B272" s="82"/>
    </row>
    <row r="273">
      <c r="B273" s="82"/>
    </row>
    <row r="274">
      <c r="B274" s="82"/>
    </row>
    <row r="275">
      <c r="B275" s="82"/>
    </row>
    <row r="276">
      <c r="B276" s="82"/>
    </row>
    <row r="277">
      <c r="B277" s="82"/>
    </row>
    <row r="278">
      <c r="B278" s="82"/>
    </row>
    <row r="279">
      <c r="B279" s="82"/>
    </row>
    <row r="280">
      <c r="B280" s="82"/>
    </row>
    <row r="281">
      <c r="B281" s="82"/>
    </row>
    <row r="282">
      <c r="B282" s="82"/>
    </row>
    <row r="283">
      <c r="B283" s="82"/>
    </row>
    <row r="284">
      <c r="B284" s="82"/>
    </row>
    <row r="285">
      <c r="B285" s="82"/>
    </row>
    <row r="286">
      <c r="B286" s="82"/>
    </row>
    <row r="287">
      <c r="B287" s="82"/>
    </row>
    <row r="288">
      <c r="B288" s="82"/>
    </row>
    <row r="289">
      <c r="B289" s="82"/>
    </row>
    <row r="290">
      <c r="B290" s="82"/>
    </row>
    <row r="291">
      <c r="B291" s="82"/>
    </row>
    <row r="292">
      <c r="B292" s="82"/>
    </row>
    <row r="293">
      <c r="B293" s="82"/>
    </row>
    <row r="294">
      <c r="B294" s="82"/>
    </row>
    <row r="295">
      <c r="B295" s="82"/>
    </row>
    <row r="296">
      <c r="B296" s="82"/>
    </row>
    <row r="297">
      <c r="B297" s="82"/>
    </row>
    <row r="298">
      <c r="B298" s="82"/>
    </row>
    <row r="299">
      <c r="B299" s="82"/>
    </row>
    <row r="300">
      <c r="B300" s="82"/>
    </row>
    <row r="301">
      <c r="B301" s="82"/>
    </row>
    <row r="302">
      <c r="B302" s="82"/>
    </row>
    <row r="303">
      <c r="B303" s="82"/>
    </row>
    <row r="304">
      <c r="B304" s="82"/>
    </row>
    <row r="305">
      <c r="B305" s="82"/>
    </row>
    <row r="306">
      <c r="B306" s="82"/>
    </row>
    <row r="307">
      <c r="B307" s="82"/>
    </row>
    <row r="308">
      <c r="B308" s="82"/>
    </row>
    <row r="309">
      <c r="B309" s="82"/>
    </row>
    <row r="310">
      <c r="B310" s="82"/>
    </row>
    <row r="311">
      <c r="B311" s="82"/>
    </row>
    <row r="312">
      <c r="B312" s="82"/>
    </row>
    <row r="313">
      <c r="B313" s="82"/>
    </row>
    <row r="314">
      <c r="B314" s="82"/>
    </row>
    <row r="315">
      <c r="B315" s="82"/>
    </row>
    <row r="316">
      <c r="B316" s="82"/>
    </row>
    <row r="317">
      <c r="B317" s="82"/>
    </row>
    <row r="318">
      <c r="B318" s="82"/>
    </row>
    <row r="319">
      <c r="B319" s="82"/>
    </row>
    <row r="320">
      <c r="B320" s="82"/>
    </row>
    <row r="321">
      <c r="B321" s="82"/>
    </row>
    <row r="322">
      <c r="B322" s="82"/>
    </row>
    <row r="323">
      <c r="B323" s="82"/>
    </row>
    <row r="324">
      <c r="B324" s="82"/>
    </row>
    <row r="325">
      <c r="B325" s="82"/>
    </row>
    <row r="326">
      <c r="B326" s="82"/>
    </row>
    <row r="327">
      <c r="B327" s="82"/>
    </row>
    <row r="328">
      <c r="B328" s="82"/>
    </row>
    <row r="329">
      <c r="B329" s="82"/>
    </row>
    <row r="330">
      <c r="B330" s="82"/>
    </row>
    <row r="331">
      <c r="B331" s="82"/>
    </row>
    <row r="332">
      <c r="B332" s="82"/>
    </row>
    <row r="333">
      <c r="B333" s="82"/>
    </row>
    <row r="334">
      <c r="B334" s="82"/>
    </row>
    <row r="335">
      <c r="B335" s="82"/>
    </row>
    <row r="336">
      <c r="B336" s="82"/>
    </row>
    <row r="337">
      <c r="B337" s="82"/>
    </row>
    <row r="338">
      <c r="B338" s="82"/>
    </row>
    <row r="339">
      <c r="B339" s="82"/>
    </row>
    <row r="340">
      <c r="B340" s="82"/>
    </row>
    <row r="341">
      <c r="B341" s="82"/>
    </row>
    <row r="342">
      <c r="B342" s="82"/>
    </row>
    <row r="343">
      <c r="B343" s="82"/>
    </row>
    <row r="344">
      <c r="B344" s="82"/>
    </row>
    <row r="345">
      <c r="B345" s="82"/>
    </row>
    <row r="346">
      <c r="B346" s="82"/>
    </row>
    <row r="347">
      <c r="B347" s="82"/>
    </row>
    <row r="348">
      <c r="B348" s="82"/>
    </row>
    <row r="349">
      <c r="B349" s="82"/>
    </row>
    <row r="350">
      <c r="B350" s="82"/>
    </row>
    <row r="351">
      <c r="B351" s="82"/>
    </row>
    <row r="352">
      <c r="B352" s="82"/>
    </row>
    <row r="353">
      <c r="B353" s="82"/>
    </row>
    <row r="354">
      <c r="B354" s="82"/>
    </row>
    <row r="355">
      <c r="B355" s="82"/>
    </row>
    <row r="356">
      <c r="B356" s="82"/>
    </row>
    <row r="357">
      <c r="B357" s="82"/>
    </row>
    <row r="358">
      <c r="B358" s="82"/>
    </row>
    <row r="359">
      <c r="B359" s="82"/>
    </row>
    <row r="360">
      <c r="B360" s="82"/>
    </row>
    <row r="361">
      <c r="B361" s="82"/>
    </row>
    <row r="362">
      <c r="B362" s="82"/>
    </row>
    <row r="363">
      <c r="B363" s="82"/>
    </row>
    <row r="364">
      <c r="B364" s="82"/>
    </row>
    <row r="365">
      <c r="B365" s="82"/>
    </row>
    <row r="366">
      <c r="B366" s="82"/>
    </row>
    <row r="367">
      <c r="B367" s="82"/>
    </row>
    <row r="368">
      <c r="B368" s="82"/>
    </row>
    <row r="369">
      <c r="B369" s="82"/>
    </row>
    <row r="370">
      <c r="B370" s="82"/>
    </row>
    <row r="371">
      <c r="B371" s="82"/>
    </row>
    <row r="372">
      <c r="B372" s="82"/>
    </row>
    <row r="373">
      <c r="B373" s="82"/>
    </row>
    <row r="374">
      <c r="B374" s="82"/>
    </row>
    <row r="375">
      <c r="B375" s="82"/>
    </row>
    <row r="376">
      <c r="B376" s="82"/>
    </row>
    <row r="377">
      <c r="B377" s="82"/>
    </row>
    <row r="378">
      <c r="B378" s="82"/>
    </row>
    <row r="379">
      <c r="B379" s="82"/>
    </row>
    <row r="380">
      <c r="B380" s="82"/>
    </row>
    <row r="381">
      <c r="B381" s="82"/>
    </row>
    <row r="382">
      <c r="B382" s="82"/>
    </row>
    <row r="383">
      <c r="B383" s="82"/>
    </row>
    <row r="384">
      <c r="B384" s="82"/>
    </row>
    <row r="385">
      <c r="B385" s="82"/>
    </row>
    <row r="386">
      <c r="B386" s="82"/>
    </row>
    <row r="387">
      <c r="B387" s="82"/>
    </row>
    <row r="388">
      <c r="B388" s="82"/>
    </row>
    <row r="389">
      <c r="B389" s="82"/>
    </row>
    <row r="390">
      <c r="B390" s="82"/>
    </row>
    <row r="391">
      <c r="B391" s="82"/>
    </row>
    <row r="392">
      <c r="B392" s="82"/>
    </row>
    <row r="393">
      <c r="B393" s="82"/>
    </row>
    <row r="394">
      <c r="B394" s="82"/>
    </row>
    <row r="395">
      <c r="B395" s="82"/>
    </row>
    <row r="396">
      <c r="B396" s="82"/>
    </row>
    <row r="397">
      <c r="B397" s="82"/>
    </row>
    <row r="398">
      <c r="B398" s="82"/>
    </row>
    <row r="399">
      <c r="B399" s="82"/>
    </row>
    <row r="400">
      <c r="B400" s="82"/>
    </row>
    <row r="401">
      <c r="B401" s="82"/>
    </row>
    <row r="402">
      <c r="B402" s="82"/>
    </row>
    <row r="403">
      <c r="B403" s="82"/>
    </row>
    <row r="404">
      <c r="B404" s="82"/>
    </row>
    <row r="405">
      <c r="B405" s="82"/>
    </row>
    <row r="406">
      <c r="B406" s="82"/>
    </row>
    <row r="407">
      <c r="B407" s="82"/>
    </row>
    <row r="408">
      <c r="B408" s="82"/>
    </row>
    <row r="409">
      <c r="B409" s="82"/>
    </row>
    <row r="410">
      <c r="B410" s="82"/>
    </row>
    <row r="411">
      <c r="B411" s="82"/>
    </row>
    <row r="412">
      <c r="B412" s="82"/>
    </row>
    <row r="413">
      <c r="B413" s="82"/>
    </row>
    <row r="414">
      <c r="B414" s="82"/>
    </row>
    <row r="415">
      <c r="B415" s="82"/>
    </row>
    <row r="416">
      <c r="B416" s="82"/>
    </row>
    <row r="417">
      <c r="B417" s="82"/>
    </row>
    <row r="418">
      <c r="B418" s="82"/>
    </row>
    <row r="419">
      <c r="B419" s="82"/>
    </row>
    <row r="420">
      <c r="B420" s="82"/>
    </row>
    <row r="421">
      <c r="B421" s="82"/>
    </row>
    <row r="422">
      <c r="B422" s="82"/>
    </row>
    <row r="423">
      <c r="B423" s="82"/>
    </row>
    <row r="424">
      <c r="B424" s="82"/>
    </row>
    <row r="425">
      <c r="B425" s="82"/>
    </row>
    <row r="426">
      <c r="B426" s="82"/>
    </row>
    <row r="427">
      <c r="B427" s="82"/>
    </row>
    <row r="428">
      <c r="B428" s="82"/>
    </row>
    <row r="429">
      <c r="B429" s="82"/>
    </row>
    <row r="430">
      <c r="B430" s="82"/>
    </row>
    <row r="431">
      <c r="B431" s="82"/>
    </row>
    <row r="432">
      <c r="B432" s="82"/>
    </row>
    <row r="433">
      <c r="B433" s="82"/>
    </row>
    <row r="434">
      <c r="B434" s="82"/>
    </row>
    <row r="435">
      <c r="B435" s="82"/>
    </row>
    <row r="436">
      <c r="B436" s="82"/>
    </row>
    <row r="437">
      <c r="B437" s="82"/>
    </row>
    <row r="438">
      <c r="B438" s="82"/>
    </row>
    <row r="439">
      <c r="B439" s="82"/>
    </row>
    <row r="440">
      <c r="B440" s="82"/>
    </row>
    <row r="441">
      <c r="B441" s="82"/>
    </row>
    <row r="442">
      <c r="B442" s="82"/>
    </row>
    <row r="443">
      <c r="B443" s="82"/>
    </row>
    <row r="444">
      <c r="B444" s="82"/>
    </row>
    <row r="445">
      <c r="B445" s="82"/>
    </row>
    <row r="446">
      <c r="B446" s="82"/>
    </row>
    <row r="447">
      <c r="B447" s="82"/>
    </row>
    <row r="448">
      <c r="B448" s="82"/>
    </row>
    <row r="449">
      <c r="B449" s="82"/>
    </row>
    <row r="450">
      <c r="B450" s="82"/>
    </row>
    <row r="451">
      <c r="B451" s="82"/>
    </row>
    <row r="452">
      <c r="B452" s="82"/>
    </row>
    <row r="453">
      <c r="B453" s="82"/>
    </row>
    <row r="454">
      <c r="B454" s="82"/>
    </row>
    <row r="455">
      <c r="B455" s="82"/>
    </row>
    <row r="456">
      <c r="B456" s="82"/>
    </row>
    <row r="457">
      <c r="B457" s="82"/>
    </row>
    <row r="458">
      <c r="B458" s="82"/>
    </row>
    <row r="459">
      <c r="B459" s="82"/>
    </row>
    <row r="460">
      <c r="B460" s="82"/>
    </row>
    <row r="461">
      <c r="B461" s="82"/>
    </row>
    <row r="462">
      <c r="B462" s="82"/>
    </row>
    <row r="463">
      <c r="B463" s="82"/>
    </row>
    <row r="464">
      <c r="B464" s="82"/>
    </row>
    <row r="465">
      <c r="B465" s="82"/>
    </row>
    <row r="466">
      <c r="B466" s="82"/>
    </row>
    <row r="467">
      <c r="B467" s="82"/>
    </row>
    <row r="468">
      <c r="B468" s="82"/>
    </row>
    <row r="469">
      <c r="B469" s="82"/>
    </row>
    <row r="470">
      <c r="B470" s="82"/>
    </row>
    <row r="471">
      <c r="B471" s="82"/>
    </row>
    <row r="472">
      <c r="B472" s="82"/>
    </row>
    <row r="473">
      <c r="B473" s="82"/>
    </row>
    <row r="474">
      <c r="B474" s="82"/>
    </row>
    <row r="475">
      <c r="B475" s="82"/>
    </row>
    <row r="476">
      <c r="B476" s="82"/>
    </row>
    <row r="477">
      <c r="B477" s="82"/>
    </row>
    <row r="478">
      <c r="B478" s="82"/>
    </row>
    <row r="479">
      <c r="B479" s="82"/>
    </row>
    <row r="480">
      <c r="B480" s="82"/>
    </row>
    <row r="481">
      <c r="B481" s="82"/>
    </row>
    <row r="482">
      <c r="B482" s="82"/>
    </row>
    <row r="483">
      <c r="B483" s="82"/>
    </row>
    <row r="484">
      <c r="B484" s="82"/>
    </row>
    <row r="485">
      <c r="B485" s="82"/>
    </row>
    <row r="486">
      <c r="B486" s="82"/>
    </row>
    <row r="487">
      <c r="B487" s="82"/>
    </row>
    <row r="488">
      <c r="B488" s="82"/>
    </row>
    <row r="489">
      <c r="B489" s="82"/>
    </row>
    <row r="490">
      <c r="B490" s="82"/>
    </row>
    <row r="491">
      <c r="B491" s="82"/>
    </row>
    <row r="492">
      <c r="B492" s="82"/>
    </row>
    <row r="493">
      <c r="B493" s="82"/>
    </row>
    <row r="494">
      <c r="B494" s="82"/>
    </row>
    <row r="495">
      <c r="B495" s="82"/>
    </row>
    <row r="496">
      <c r="B496" s="82"/>
    </row>
    <row r="497">
      <c r="B497" s="82"/>
    </row>
    <row r="498">
      <c r="B498" s="82"/>
    </row>
    <row r="499">
      <c r="B499" s="82"/>
    </row>
    <row r="500">
      <c r="B500" s="82"/>
    </row>
    <row r="501">
      <c r="B501" s="82"/>
    </row>
    <row r="502">
      <c r="B502" s="82"/>
    </row>
    <row r="503">
      <c r="B503" s="82"/>
    </row>
    <row r="504">
      <c r="B504" s="82"/>
    </row>
    <row r="505">
      <c r="B505" s="82"/>
    </row>
    <row r="506">
      <c r="B506" s="82"/>
    </row>
    <row r="507">
      <c r="B507" s="82"/>
    </row>
    <row r="508">
      <c r="B508" s="82"/>
    </row>
    <row r="509">
      <c r="B509" s="82"/>
    </row>
    <row r="510">
      <c r="B510" s="82"/>
    </row>
    <row r="511">
      <c r="B511" s="82"/>
    </row>
    <row r="512">
      <c r="B512" s="82"/>
    </row>
    <row r="513">
      <c r="B513" s="82"/>
    </row>
    <row r="514">
      <c r="B514" s="82"/>
    </row>
    <row r="515">
      <c r="B515" s="82"/>
    </row>
    <row r="516">
      <c r="B516" s="82"/>
    </row>
    <row r="517">
      <c r="B517" s="82"/>
    </row>
    <row r="518">
      <c r="B518" s="82"/>
    </row>
    <row r="519">
      <c r="B519" s="82"/>
    </row>
    <row r="520">
      <c r="B520" s="82"/>
    </row>
    <row r="521">
      <c r="B521" s="82"/>
    </row>
    <row r="522">
      <c r="B522" s="82"/>
    </row>
    <row r="523">
      <c r="B523" s="82"/>
    </row>
    <row r="524">
      <c r="B524" s="82"/>
    </row>
    <row r="525">
      <c r="B525" s="82"/>
    </row>
    <row r="526">
      <c r="B526" s="82"/>
    </row>
    <row r="527">
      <c r="B527" s="82"/>
    </row>
    <row r="528">
      <c r="B528" s="82"/>
    </row>
    <row r="529">
      <c r="B529" s="82"/>
    </row>
    <row r="530">
      <c r="B530" s="82"/>
    </row>
    <row r="531">
      <c r="B531" s="82"/>
    </row>
    <row r="532">
      <c r="B532" s="82"/>
    </row>
    <row r="533">
      <c r="B533" s="82"/>
    </row>
    <row r="534">
      <c r="B534" s="82"/>
    </row>
    <row r="535">
      <c r="B535" s="82"/>
    </row>
    <row r="536">
      <c r="B536" s="82"/>
    </row>
    <row r="537">
      <c r="B537" s="82"/>
    </row>
    <row r="538">
      <c r="B538" s="82"/>
    </row>
    <row r="539">
      <c r="B539" s="82"/>
    </row>
    <row r="540">
      <c r="B540" s="82"/>
    </row>
    <row r="541">
      <c r="B541" s="82"/>
    </row>
    <row r="542">
      <c r="B542" s="82"/>
    </row>
    <row r="543">
      <c r="B543" s="82"/>
    </row>
    <row r="544">
      <c r="B544" s="82"/>
    </row>
    <row r="545">
      <c r="B545" s="82"/>
    </row>
    <row r="546">
      <c r="B546" s="82"/>
    </row>
    <row r="547">
      <c r="B547" s="82"/>
    </row>
    <row r="548">
      <c r="B548" s="82"/>
    </row>
    <row r="549">
      <c r="B549" s="82"/>
    </row>
    <row r="550">
      <c r="B550" s="82"/>
    </row>
    <row r="551">
      <c r="B551" s="82"/>
    </row>
    <row r="552">
      <c r="B552" s="82"/>
    </row>
    <row r="553">
      <c r="B553" s="82"/>
    </row>
    <row r="554">
      <c r="B554" s="82"/>
    </row>
    <row r="555">
      <c r="B555" s="82"/>
    </row>
    <row r="556">
      <c r="B556" s="82"/>
    </row>
    <row r="557">
      <c r="B557" s="82"/>
    </row>
    <row r="558">
      <c r="B558" s="82"/>
    </row>
    <row r="559">
      <c r="B559" s="82"/>
    </row>
    <row r="560">
      <c r="B560" s="82"/>
    </row>
    <row r="561">
      <c r="B561" s="82"/>
    </row>
    <row r="562">
      <c r="B562" s="82"/>
    </row>
    <row r="563">
      <c r="B563" s="82"/>
    </row>
    <row r="564">
      <c r="B564" s="82"/>
    </row>
    <row r="565">
      <c r="B565" s="82"/>
    </row>
    <row r="566">
      <c r="B566" s="82"/>
    </row>
    <row r="567">
      <c r="B567" s="82"/>
    </row>
    <row r="568">
      <c r="B568" s="82"/>
    </row>
    <row r="569">
      <c r="B569" s="82"/>
    </row>
    <row r="570">
      <c r="B570" s="82"/>
    </row>
    <row r="571">
      <c r="B571" s="82"/>
    </row>
    <row r="572">
      <c r="B572" s="82"/>
    </row>
    <row r="573">
      <c r="B573" s="82"/>
    </row>
    <row r="574">
      <c r="B574" s="82"/>
    </row>
    <row r="575">
      <c r="B575" s="82"/>
    </row>
    <row r="576">
      <c r="B576" s="82"/>
    </row>
    <row r="577">
      <c r="B577" s="82"/>
    </row>
    <row r="578">
      <c r="B578" s="82"/>
    </row>
    <row r="579">
      <c r="B579" s="82"/>
    </row>
    <row r="580">
      <c r="B580" s="82"/>
    </row>
    <row r="581">
      <c r="B581" s="82"/>
    </row>
    <row r="582">
      <c r="B582" s="82"/>
    </row>
    <row r="583">
      <c r="B583" s="82"/>
    </row>
    <row r="584">
      <c r="B584" s="82"/>
    </row>
    <row r="585">
      <c r="B585" s="82"/>
    </row>
    <row r="586">
      <c r="B586" s="82"/>
    </row>
    <row r="587">
      <c r="B587" s="82"/>
    </row>
    <row r="588">
      <c r="B588" s="82"/>
    </row>
    <row r="589">
      <c r="B589" s="82"/>
    </row>
    <row r="590">
      <c r="B590" s="82"/>
    </row>
    <row r="591">
      <c r="B591" s="82"/>
    </row>
    <row r="592">
      <c r="B592" s="82"/>
    </row>
    <row r="593">
      <c r="B593" s="82"/>
    </row>
    <row r="594">
      <c r="B594" s="82"/>
    </row>
    <row r="595">
      <c r="B595" s="82"/>
    </row>
    <row r="596">
      <c r="B596" s="82"/>
    </row>
    <row r="597">
      <c r="B597" s="82"/>
    </row>
    <row r="598">
      <c r="B598" s="82"/>
    </row>
    <row r="599">
      <c r="B599" s="82"/>
    </row>
    <row r="600">
      <c r="B600" s="82"/>
    </row>
    <row r="601">
      <c r="B601" s="82"/>
    </row>
    <row r="602">
      <c r="B602" s="82"/>
    </row>
    <row r="603">
      <c r="B603" s="82"/>
    </row>
    <row r="604">
      <c r="B604" s="82"/>
    </row>
    <row r="605">
      <c r="B605" s="82"/>
    </row>
    <row r="606">
      <c r="B606" s="82"/>
    </row>
    <row r="607">
      <c r="B607" s="82"/>
    </row>
    <row r="608">
      <c r="B608" s="82"/>
    </row>
    <row r="609">
      <c r="B609" s="82"/>
    </row>
    <row r="610">
      <c r="B610" s="82"/>
    </row>
    <row r="611">
      <c r="B611" s="82"/>
    </row>
    <row r="612">
      <c r="B612" s="82"/>
    </row>
    <row r="613">
      <c r="B613" s="82"/>
    </row>
    <row r="614">
      <c r="B614" s="82"/>
    </row>
    <row r="615">
      <c r="B615" s="82"/>
    </row>
    <row r="616">
      <c r="B616" s="82"/>
    </row>
    <row r="617">
      <c r="B617" s="82"/>
    </row>
    <row r="618">
      <c r="B618" s="82"/>
    </row>
    <row r="619">
      <c r="B619" s="82"/>
    </row>
    <row r="620">
      <c r="B620" s="82"/>
    </row>
    <row r="621">
      <c r="B621" s="82"/>
    </row>
    <row r="622">
      <c r="B622" s="82"/>
    </row>
    <row r="623">
      <c r="B623" s="82"/>
    </row>
    <row r="624">
      <c r="B624" s="82"/>
    </row>
    <row r="625">
      <c r="B625" s="82"/>
    </row>
    <row r="626">
      <c r="B626" s="82"/>
    </row>
    <row r="627">
      <c r="B627" s="82"/>
    </row>
    <row r="628">
      <c r="B628" s="82"/>
    </row>
    <row r="629">
      <c r="B629" s="82"/>
    </row>
    <row r="630">
      <c r="B630" s="82"/>
    </row>
    <row r="631">
      <c r="B631" s="82"/>
    </row>
    <row r="632">
      <c r="B632" s="82"/>
    </row>
    <row r="633">
      <c r="B633" s="82"/>
    </row>
    <row r="634">
      <c r="B634" s="82"/>
    </row>
    <row r="635">
      <c r="B635" s="82"/>
    </row>
    <row r="636">
      <c r="B636" s="82"/>
    </row>
    <row r="637">
      <c r="B637" s="82"/>
    </row>
    <row r="638">
      <c r="B638" s="82"/>
    </row>
    <row r="639">
      <c r="B639" s="82"/>
    </row>
    <row r="640">
      <c r="B640" s="82"/>
    </row>
    <row r="641">
      <c r="B641" s="82"/>
    </row>
    <row r="642">
      <c r="B642" s="82"/>
    </row>
    <row r="643">
      <c r="B643" s="82"/>
    </row>
    <row r="644">
      <c r="B644" s="82"/>
    </row>
    <row r="645">
      <c r="B645" s="82"/>
    </row>
    <row r="646">
      <c r="B646" s="82"/>
    </row>
    <row r="647">
      <c r="B647" s="82"/>
    </row>
    <row r="648">
      <c r="B648" s="82"/>
    </row>
    <row r="649">
      <c r="B649" s="82"/>
    </row>
    <row r="650">
      <c r="B650" s="82"/>
    </row>
    <row r="651">
      <c r="B651" s="82"/>
    </row>
    <row r="652">
      <c r="B652" s="82"/>
    </row>
    <row r="653">
      <c r="B653" s="82"/>
    </row>
    <row r="654">
      <c r="B654" s="82"/>
    </row>
    <row r="655">
      <c r="B655" s="82"/>
    </row>
    <row r="656">
      <c r="B656" s="82"/>
    </row>
    <row r="657">
      <c r="B657" s="82"/>
    </row>
    <row r="658">
      <c r="B658" s="82"/>
    </row>
    <row r="659">
      <c r="B659" s="82"/>
    </row>
    <row r="660">
      <c r="B660" s="82"/>
    </row>
    <row r="661">
      <c r="B661" s="82"/>
    </row>
    <row r="662">
      <c r="B662" s="82"/>
    </row>
    <row r="663">
      <c r="B663" s="82"/>
    </row>
    <row r="664">
      <c r="B664" s="82"/>
    </row>
    <row r="665">
      <c r="B665" s="82"/>
    </row>
    <row r="666">
      <c r="B666" s="82"/>
    </row>
    <row r="667">
      <c r="B667" s="82"/>
    </row>
    <row r="668">
      <c r="B668" s="82"/>
    </row>
    <row r="669">
      <c r="B669" s="82"/>
    </row>
    <row r="670">
      <c r="B670" s="82"/>
    </row>
    <row r="671">
      <c r="B671" s="82"/>
    </row>
    <row r="672">
      <c r="B672" s="82"/>
    </row>
    <row r="673">
      <c r="B673" s="82"/>
    </row>
    <row r="674">
      <c r="B674" s="82"/>
    </row>
    <row r="675">
      <c r="B675" s="82"/>
    </row>
    <row r="676">
      <c r="B676" s="82"/>
    </row>
    <row r="677">
      <c r="B677" s="82"/>
    </row>
    <row r="678">
      <c r="B678" s="82"/>
    </row>
    <row r="679">
      <c r="B679" s="82"/>
    </row>
    <row r="680">
      <c r="B680" s="82"/>
    </row>
    <row r="681">
      <c r="B681" s="82"/>
    </row>
    <row r="682">
      <c r="B682" s="82"/>
    </row>
    <row r="683">
      <c r="B683" s="82"/>
    </row>
    <row r="684">
      <c r="B684" s="82"/>
    </row>
    <row r="685">
      <c r="B685" s="82"/>
    </row>
    <row r="686">
      <c r="B686" s="82"/>
    </row>
    <row r="687">
      <c r="B687" s="82"/>
    </row>
    <row r="688">
      <c r="B688" s="82"/>
    </row>
    <row r="689">
      <c r="B689" s="82"/>
    </row>
    <row r="690">
      <c r="B690" s="82"/>
    </row>
    <row r="691">
      <c r="B691" s="82"/>
    </row>
    <row r="692">
      <c r="B692" s="82"/>
    </row>
    <row r="693">
      <c r="B693" s="82"/>
    </row>
    <row r="694">
      <c r="B694" s="82"/>
    </row>
    <row r="695">
      <c r="B695" s="82"/>
    </row>
    <row r="696">
      <c r="B696" s="82"/>
    </row>
    <row r="697">
      <c r="B697" s="82"/>
    </row>
    <row r="698">
      <c r="B698" s="82"/>
    </row>
    <row r="699">
      <c r="B699" s="82"/>
    </row>
    <row r="700">
      <c r="B700" s="82"/>
    </row>
    <row r="701">
      <c r="B701" s="82"/>
    </row>
    <row r="702">
      <c r="B702" s="82"/>
    </row>
    <row r="703">
      <c r="B703" s="82"/>
    </row>
    <row r="704">
      <c r="B704" s="82"/>
    </row>
    <row r="705">
      <c r="B705" s="82"/>
    </row>
    <row r="706">
      <c r="B706" s="82"/>
    </row>
    <row r="707">
      <c r="B707" s="82"/>
    </row>
    <row r="708">
      <c r="B708" s="82"/>
    </row>
    <row r="709">
      <c r="B709" s="82"/>
    </row>
    <row r="710">
      <c r="B710" s="82"/>
    </row>
    <row r="711">
      <c r="B711" s="82"/>
    </row>
    <row r="712">
      <c r="B712" s="82"/>
    </row>
    <row r="713">
      <c r="B713" s="82"/>
    </row>
    <row r="714">
      <c r="B714" s="82"/>
    </row>
    <row r="715">
      <c r="B715" s="82"/>
    </row>
    <row r="716">
      <c r="B716" s="82"/>
    </row>
    <row r="717">
      <c r="B717" s="82"/>
    </row>
    <row r="718">
      <c r="B718" s="82"/>
    </row>
    <row r="719">
      <c r="B719" s="82"/>
    </row>
    <row r="720">
      <c r="B720" s="82"/>
    </row>
    <row r="721">
      <c r="B721" s="82"/>
    </row>
    <row r="722">
      <c r="B722" s="82"/>
    </row>
    <row r="723">
      <c r="B723" s="82"/>
    </row>
    <row r="724">
      <c r="B724" s="82"/>
    </row>
    <row r="725">
      <c r="B725" s="82"/>
    </row>
    <row r="726">
      <c r="B726" s="82"/>
    </row>
    <row r="727">
      <c r="B727" s="82"/>
    </row>
    <row r="728">
      <c r="B728" s="82"/>
    </row>
    <row r="729">
      <c r="B729" s="82"/>
    </row>
    <row r="730">
      <c r="B730" s="82"/>
    </row>
    <row r="731">
      <c r="B731" s="82"/>
    </row>
    <row r="732">
      <c r="B732" s="82"/>
    </row>
    <row r="733">
      <c r="B733" s="82"/>
    </row>
    <row r="734">
      <c r="B734" s="82"/>
    </row>
    <row r="735">
      <c r="B735" s="82"/>
    </row>
    <row r="736">
      <c r="B736" s="82"/>
    </row>
    <row r="737">
      <c r="B737" s="82"/>
    </row>
    <row r="738">
      <c r="B738" s="82"/>
    </row>
    <row r="739">
      <c r="B739" s="82"/>
    </row>
    <row r="740">
      <c r="B740" s="82"/>
    </row>
    <row r="741">
      <c r="B741" s="82"/>
    </row>
    <row r="742">
      <c r="B742" s="82"/>
    </row>
    <row r="743">
      <c r="B743" s="82"/>
    </row>
    <row r="744">
      <c r="B744" s="82"/>
    </row>
    <row r="745">
      <c r="B745" s="82"/>
    </row>
    <row r="746">
      <c r="B746" s="82"/>
    </row>
    <row r="747">
      <c r="B747" s="82"/>
    </row>
    <row r="748">
      <c r="B748" s="82"/>
    </row>
    <row r="749">
      <c r="B749" s="82"/>
    </row>
    <row r="750">
      <c r="B750" s="82"/>
    </row>
    <row r="751">
      <c r="B751" s="82"/>
    </row>
    <row r="752">
      <c r="B752" s="82"/>
    </row>
    <row r="753">
      <c r="B753" s="82"/>
    </row>
    <row r="754">
      <c r="B754" s="82"/>
    </row>
    <row r="755">
      <c r="B755" s="82"/>
    </row>
    <row r="756">
      <c r="B756" s="82"/>
    </row>
    <row r="757">
      <c r="B757" s="82"/>
    </row>
    <row r="758">
      <c r="B758" s="82"/>
    </row>
    <row r="759">
      <c r="B759" s="82"/>
    </row>
    <row r="760">
      <c r="B760" s="82"/>
    </row>
    <row r="761">
      <c r="B761" s="82"/>
    </row>
    <row r="762">
      <c r="B762" s="82"/>
    </row>
    <row r="763">
      <c r="B763" s="82"/>
    </row>
    <row r="764">
      <c r="B764" s="82"/>
    </row>
    <row r="765">
      <c r="B765" s="82"/>
    </row>
    <row r="766">
      <c r="B766" s="82"/>
    </row>
    <row r="767">
      <c r="B767" s="82"/>
    </row>
    <row r="768">
      <c r="B768" s="82"/>
    </row>
    <row r="769">
      <c r="B769" s="82"/>
    </row>
    <row r="770">
      <c r="B770" s="82"/>
    </row>
    <row r="771">
      <c r="B771" s="82"/>
    </row>
    <row r="772">
      <c r="B772" s="82"/>
    </row>
    <row r="773">
      <c r="B773" s="82"/>
    </row>
    <row r="774">
      <c r="B774" s="82"/>
    </row>
    <row r="775">
      <c r="B775" s="82"/>
    </row>
    <row r="776">
      <c r="B776" s="82"/>
    </row>
    <row r="777">
      <c r="B777" s="82"/>
    </row>
    <row r="778">
      <c r="B778" s="82"/>
    </row>
    <row r="779">
      <c r="B779" s="82"/>
    </row>
    <row r="780">
      <c r="B780" s="82"/>
    </row>
    <row r="781">
      <c r="B781" s="82"/>
    </row>
    <row r="782">
      <c r="B782" s="82"/>
    </row>
    <row r="783">
      <c r="B783" s="82"/>
    </row>
    <row r="784">
      <c r="B784" s="82"/>
    </row>
    <row r="785">
      <c r="B785" s="82"/>
    </row>
    <row r="786">
      <c r="B786" s="82"/>
    </row>
    <row r="787">
      <c r="B787" s="82"/>
    </row>
    <row r="788">
      <c r="B788" s="82"/>
    </row>
    <row r="789">
      <c r="B789" s="82"/>
    </row>
    <row r="790">
      <c r="B790" s="82"/>
    </row>
    <row r="791">
      <c r="B791" s="82"/>
    </row>
    <row r="792">
      <c r="B792" s="82"/>
    </row>
    <row r="793">
      <c r="B793" s="82"/>
    </row>
    <row r="794">
      <c r="B794" s="82"/>
    </row>
    <row r="795">
      <c r="B795" s="82"/>
    </row>
    <row r="796">
      <c r="B796" s="82"/>
    </row>
    <row r="797">
      <c r="B797" s="82"/>
    </row>
    <row r="798">
      <c r="B798" s="82"/>
    </row>
    <row r="799">
      <c r="B799" s="82"/>
    </row>
    <row r="800">
      <c r="B800" s="82"/>
    </row>
    <row r="801">
      <c r="B801" s="82"/>
    </row>
    <row r="802">
      <c r="B802" s="82"/>
    </row>
    <row r="803">
      <c r="B803" s="82"/>
    </row>
    <row r="804">
      <c r="B804" s="82"/>
    </row>
    <row r="805">
      <c r="B805" s="82"/>
    </row>
    <row r="806">
      <c r="B806" s="82"/>
    </row>
    <row r="807">
      <c r="B807" s="82"/>
    </row>
    <row r="808">
      <c r="B808" s="82"/>
    </row>
    <row r="809">
      <c r="B809" s="82"/>
    </row>
    <row r="810">
      <c r="B810" s="82"/>
    </row>
    <row r="811">
      <c r="B811" s="82"/>
    </row>
    <row r="812">
      <c r="B812" s="82"/>
    </row>
    <row r="813">
      <c r="B813" s="82"/>
    </row>
    <row r="814">
      <c r="B814" s="82"/>
    </row>
    <row r="815">
      <c r="B815" s="82"/>
    </row>
    <row r="816">
      <c r="B816" s="82"/>
    </row>
    <row r="817">
      <c r="B817" s="82"/>
    </row>
    <row r="818">
      <c r="B818" s="82"/>
    </row>
    <row r="819">
      <c r="B819" s="82"/>
    </row>
    <row r="820">
      <c r="B820" s="82"/>
    </row>
    <row r="821">
      <c r="B821" s="82"/>
    </row>
    <row r="822">
      <c r="B822" s="82"/>
    </row>
    <row r="823">
      <c r="B823" s="82"/>
    </row>
    <row r="824">
      <c r="B824" s="82"/>
    </row>
    <row r="825">
      <c r="B825" s="82"/>
    </row>
    <row r="826">
      <c r="B826" s="82"/>
    </row>
    <row r="827">
      <c r="B827" s="82"/>
    </row>
    <row r="828">
      <c r="B828" s="82"/>
    </row>
    <row r="829">
      <c r="B829" s="82"/>
    </row>
    <row r="830">
      <c r="B830" s="82"/>
    </row>
    <row r="831">
      <c r="B831" s="82"/>
    </row>
    <row r="832">
      <c r="B832" s="82"/>
    </row>
    <row r="833">
      <c r="B833" s="82"/>
    </row>
    <row r="834">
      <c r="B834" s="82"/>
    </row>
    <row r="835">
      <c r="B835" s="82"/>
    </row>
    <row r="836">
      <c r="B836" s="82"/>
    </row>
    <row r="837">
      <c r="B837" s="82"/>
    </row>
    <row r="838">
      <c r="B838" s="82"/>
    </row>
    <row r="839">
      <c r="B839" s="82"/>
    </row>
    <row r="840">
      <c r="B840" s="82"/>
    </row>
    <row r="841">
      <c r="B841" s="82"/>
    </row>
    <row r="842">
      <c r="B842" s="82"/>
    </row>
    <row r="843">
      <c r="B843" s="82"/>
    </row>
    <row r="844">
      <c r="B844" s="82"/>
    </row>
    <row r="845">
      <c r="B845" s="82"/>
    </row>
    <row r="846">
      <c r="B846" s="82"/>
    </row>
    <row r="847">
      <c r="B847" s="82"/>
    </row>
    <row r="848">
      <c r="B848" s="82"/>
    </row>
    <row r="849">
      <c r="B849" s="82"/>
    </row>
    <row r="850">
      <c r="B850" s="82"/>
    </row>
    <row r="851">
      <c r="B851" s="82"/>
    </row>
    <row r="852">
      <c r="B852" s="82"/>
    </row>
    <row r="853">
      <c r="B853" s="82"/>
    </row>
    <row r="854">
      <c r="B854" s="82"/>
    </row>
    <row r="855">
      <c r="B855" s="82"/>
    </row>
    <row r="856">
      <c r="B856" s="82"/>
    </row>
    <row r="857">
      <c r="B857" s="82"/>
    </row>
    <row r="858">
      <c r="B858" s="82"/>
    </row>
    <row r="859">
      <c r="B859" s="82"/>
    </row>
    <row r="860">
      <c r="B860" s="82"/>
    </row>
    <row r="861">
      <c r="B861" s="82"/>
    </row>
    <row r="862">
      <c r="B862" s="82"/>
    </row>
    <row r="863">
      <c r="B863" s="82"/>
    </row>
    <row r="864">
      <c r="B864" s="82"/>
    </row>
    <row r="865">
      <c r="B865" s="82"/>
    </row>
    <row r="866">
      <c r="B866" s="82"/>
    </row>
    <row r="867">
      <c r="B867" s="82"/>
    </row>
    <row r="868">
      <c r="B868" s="82"/>
    </row>
    <row r="869">
      <c r="B869" s="82"/>
    </row>
    <row r="870">
      <c r="B870" s="82"/>
    </row>
    <row r="871">
      <c r="B871" s="82"/>
    </row>
    <row r="872">
      <c r="B872" s="82"/>
    </row>
    <row r="873">
      <c r="B873" s="82"/>
    </row>
    <row r="874">
      <c r="B874" s="82"/>
    </row>
    <row r="875">
      <c r="B875" s="82"/>
    </row>
    <row r="876">
      <c r="B876" s="82"/>
    </row>
    <row r="877">
      <c r="B877" s="82"/>
    </row>
    <row r="878">
      <c r="B878" s="82"/>
    </row>
    <row r="879">
      <c r="B879" s="82"/>
    </row>
    <row r="880">
      <c r="B880" s="82"/>
    </row>
    <row r="881">
      <c r="B881" s="82"/>
    </row>
    <row r="882">
      <c r="B882" s="82"/>
    </row>
    <row r="883">
      <c r="B883" s="82"/>
    </row>
    <row r="884">
      <c r="B884" s="82"/>
    </row>
    <row r="885">
      <c r="B885" s="82"/>
    </row>
    <row r="886">
      <c r="B886" s="82"/>
    </row>
    <row r="887">
      <c r="B887" s="82"/>
    </row>
    <row r="888">
      <c r="B888" s="82"/>
    </row>
    <row r="889">
      <c r="B889" s="82"/>
    </row>
    <row r="890">
      <c r="B890" s="82"/>
    </row>
    <row r="891">
      <c r="B891" s="82"/>
    </row>
    <row r="892">
      <c r="B892" s="82"/>
    </row>
    <row r="893">
      <c r="B893" s="82"/>
    </row>
    <row r="894">
      <c r="B894" s="82"/>
    </row>
    <row r="895">
      <c r="B895" s="82"/>
    </row>
    <row r="896">
      <c r="B896" s="82"/>
    </row>
    <row r="897">
      <c r="B897" s="82"/>
    </row>
    <row r="898">
      <c r="B898" s="82"/>
    </row>
    <row r="899">
      <c r="B899" s="82"/>
    </row>
    <row r="900">
      <c r="B900" s="82"/>
    </row>
    <row r="901">
      <c r="B901" s="82"/>
    </row>
    <row r="902">
      <c r="B902" s="82"/>
    </row>
    <row r="903">
      <c r="B903" s="82"/>
    </row>
    <row r="904">
      <c r="B904" s="82"/>
    </row>
    <row r="905">
      <c r="B905" s="82"/>
    </row>
    <row r="906">
      <c r="B906" s="82"/>
    </row>
    <row r="907">
      <c r="B907" s="82"/>
    </row>
    <row r="908">
      <c r="B908" s="82"/>
    </row>
    <row r="909">
      <c r="B909" s="82"/>
    </row>
    <row r="910">
      <c r="B910" s="82"/>
    </row>
    <row r="911">
      <c r="B911" s="82"/>
    </row>
    <row r="912">
      <c r="B912" s="82"/>
    </row>
    <row r="913">
      <c r="B913" s="82"/>
    </row>
    <row r="914">
      <c r="B914" s="82"/>
    </row>
    <row r="915">
      <c r="B915" s="82"/>
    </row>
    <row r="916">
      <c r="B916" s="82"/>
    </row>
    <row r="917">
      <c r="B917" s="82"/>
    </row>
    <row r="918">
      <c r="B918" s="82"/>
    </row>
    <row r="919">
      <c r="B919" s="82"/>
    </row>
    <row r="920">
      <c r="B920" s="82"/>
    </row>
    <row r="921">
      <c r="B921" s="82"/>
    </row>
    <row r="922">
      <c r="B922" s="82"/>
    </row>
    <row r="923">
      <c r="B923" s="82"/>
    </row>
    <row r="924">
      <c r="B924" s="82"/>
    </row>
    <row r="925">
      <c r="B925" s="82"/>
    </row>
    <row r="926">
      <c r="B926" s="82"/>
    </row>
    <row r="927">
      <c r="B927" s="82"/>
    </row>
    <row r="928">
      <c r="B928" s="82"/>
    </row>
    <row r="929">
      <c r="B929" s="82"/>
    </row>
    <row r="930">
      <c r="B930" s="82"/>
    </row>
    <row r="931">
      <c r="B931" s="82"/>
    </row>
    <row r="932">
      <c r="B932" s="82"/>
    </row>
    <row r="933">
      <c r="B933" s="82"/>
    </row>
    <row r="934">
      <c r="B934" s="82"/>
    </row>
    <row r="935">
      <c r="B935" s="82"/>
    </row>
    <row r="936">
      <c r="B936" s="82"/>
    </row>
    <row r="937">
      <c r="B937" s="82"/>
    </row>
    <row r="938">
      <c r="B938" s="82"/>
    </row>
    <row r="939">
      <c r="B939" s="82"/>
    </row>
    <row r="940">
      <c r="B940" s="82"/>
    </row>
    <row r="941">
      <c r="B941" s="82"/>
    </row>
    <row r="942">
      <c r="B942" s="82"/>
    </row>
    <row r="943">
      <c r="B943" s="82"/>
    </row>
    <row r="944">
      <c r="B944" s="82"/>
    </row>
    <row r="945">
      <c r="B945" s="82"/>
    </row>
    <row r="946">
      <c r="B946" s="82"/>
    </row>
    <row r="947">
      <c r="B947" s="82"/>
    </row>
    <row r="948">
      <c r="B948" s="82"/>
    </row>
    <row r="949">
      <c r="B949" s="82"/>
    </row>
    <row r="950">
      <c r="B950" s="82"/>
    </row>
    <row r="951">
      <c r="B951" s="82"/>
    </row>
    <row r="952">
      <c r="B952" s="82"/>
    </row>
    <row r="953">
      <c r="B953" s="82"/>
    </row>
    <row r="954">
      <c r="B954" s="82"/>
    </row>
    <row r="955">
      <c r="B955" s="82"/>
    </row>
    <row r="956">
      <c r="B956" s="82"/>
    </row>
    <row r="957">
      <c r="B957" s="82"/>
    </row>
    <row r="958">
      <c r="B958" s="82"/>
    </row>
    <row r="959">
      <c r="B959" s="82"/>
    </row>
    <row r="960">
      <c r="B960" s="82"/>
    </row>
    <row r="961">
      <c r="B961" s="82"/>
    </row>
    <row r="962">
      <c r="B962" s="82"/>
    </row>
    <row r="963">
      <c r="B963" s="82"/>
    </row>
    <row r="964">
      <c r="B964" s="82"/>
    </row>
    <row r="965">
      <c r="B965" s="82"/>
    </row>
    <row r="966">
      <c r="B966" s="82"/>
    </row>
    <row r="967">
      <c r="B967" s="82"/>
    </row>
    <row r="968">
      <c r="B968" s="82"/>
    </row>
    <row r="969">
      <c r="B969" s="82"/>
    </row>
    <row r="970">
      <c r="B970" s="82"/>
    </row>
    <row r="971">
      <c r="B971" s="82"/>
    </row>
    <row r="972">
      <c r="B972" s="82"/>
    </row>
    <row r="973">
      <c r="B973" s="82"/>
    </row>
    <row r="974">
      <c r="B974" s="82"/>
    </row>
    <row r="975">
      <c r="B975" s="82"/>
    </row>
    <row r="976">
      <c r="B976" s="82"/>
    </row>
    <row r="977">
      <c r="B977" s="82"/>
    </row>
    <row r="978">
      <c r="B978" s="82"/>
    </row>
    <row r="979">
      <c r="B979" s="82"/>
    </row>
    <row r="980">
      <c r="B980" s="82"/>
    </row>
    <row r="981">
      <c r="B981" s="82"/>
    </row>
    <row r="982">
      <c r="B982" s="82"/>
    </row>
    <row r="983">
      <c r="B983" s="82"/>
    </row>
    <row r="984">
      <c r="B984" s="82"/>
    </row>
    <row r="985">
      <c r="B985" s="82"/>
    </row>
    <row r="986">
      <c r="B986" s="82"/>
    </row>
    <row r="987">
      <c r="B987" s="82"/>
    </row>
    <row r="988">
      <c r="B988" s="82"/>
    </row>
    <row r="989">
      <c r="B989" s="82"/>
    </row>
    <row r="990">
      <c r="B990" s="82"/>
    </row>
    <row r="991">
      <c r="B991" s="82"/>
    </row>
    <row r="992">
      <c r="B992" s="82"/>
    </row>
    <row r="993">
      <c r="B993" s="82"/>
    </row>
  </sheetData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2026-03-06T21:22:10Z</dcterms:created>
  <dc:creator>openpyxl</dc:creator>
</cp:coreProperties>
</file>