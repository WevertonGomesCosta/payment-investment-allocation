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os Gastos" sheetId="1" r:id="rId4"/>
    <sheet state="visible" name="Inventário de Lotes" sheetId="2" r:id="rId5"/>
    <sheet state="visible" name="Resumo Mensal" sheetId="3" r:id="rId6"/>
    <sheet state="visible" name="Carteiras" sheetId="4" r:id="rId7"/>
  </sheets>
  <definedNames>
    <definedName hidden="1" localSheetId="0" name="_xlnm._FilterDatabase">'Todos os Gastos'!$A$1:$E$213</definedName>
    <definedName hidden="1" localSheetId="1" name="_xlnm._FilterDatabase">'Inventário de Lotes'!$A$1:$D$40</definedName>
    <definedName hidden="1" localSheetId="2" name="_xlnm._FilterDatabase">'Resumo Mensal'!$A$3:$G$123</definedName>
    <definedName hidden="1" localSheetId="3" name="_xlnm._FilterDatabase">Carteiras!$A$1:$Z$179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X/zGMa8PKACQsUCoGQ5IJjkoONAljF1zXz/yEMG1RDI="/>
    </ext>
  </extLst>
</workbook>
</file>

<file path=xl/sharedStrings.xml><?xml version="1.0" encoding="utf-8"?>
<sst xmlns="http://schemas.openxmlformats.org/spreadsheetml/2006/main" count="3330" uniqueCount="561">
  <si>
    <t>Data</t>
  </si>
  <si>
    <t>Descrição</t>
  </si>
  <si>
    <t>Valor</t>
  </si>
  <si>
    <t>Pago</t>
  </si>
  <si>
    <t>Lote usado</t>
  </si>
  <si>
    <t>SUM de Valor</t>
  </si>
  <si>
    <t>Cartão Azul</t>
  </si>
  <si>
    <t>OK</t>
  </si>
  <si>
    <t>Lote 2063,11 fev.</t>
  </si>
  <si>
    <t>Lote 1000 mar.</t>
  </si>
  <si>
    <t>Lote 10342 fev.</t>
  </si>
  <si>
    <t>Cartão PS</t>
  </si>
  <si>
    <t>Lote 4000 fev.</t>
  </si>
  <si>
    <t>Cemig</t>
  </si>
  <si>
    <t>Lote 4124,75 fev.</t>
  </si>
  <si>
    <t>Lote 35 abr.</t>
  </si>
  <si>
    <t>Pelada</t>
  </si>
  <si>
    <t>Lote 3600 abr.</t>
  </si>
  <si>
    <t>Aluguel</t>
  </si>
  <si>
    <t>IPVA</t>
  </si>
  <si>
    <t>Internet</t>
  </si>
  <si>
    <t>Lote 5400 fev.</t>
  </si>
  <si>
    <t>Escola</t>
  </si>
  <si>
    <t>Lote 5680 abr.</t>
  </si>
  <si>
    <t>Material</t>
  </si>
  <si>
    <t>Lote 6630,64 fev.</t>
  </si>
  <si>
    <t>Condomínio</t>
  </si>
  <si>
    <t>Lote 7800 abr.</t>
  </si>
  <si>
    <t>Cartão NU</t>
  </si>
  <si>
    <t>Lote 900 mar.</t>
  </si>
  <si>
    <t>Claro Biola</t>
  </si>
  <si>
    <t>Total geral</t>
  </si>
  <si>
    <t>Entrada Hotel</t>
  </si>
  <si>
    <t>Presente Gi</t>
  </si>
  <si>
    <t>Presente Negs</t>
  </si>
  <si>
    <t>Roupa Academia</t>
  </si>
  <si>
    <t>Roupa biola</t>
  </si>
  <si>
    <t>Sapatos</t>
  </si>
  <si>
    <t>Spotify</t>
  </si>
  <si>
    <t>Cemig SIM</t>
  </si>
  <si>
    <t>Faxina Rosa</t>
  </si>
  <si>
    <t>Claro Velti</t>
  </si>
  <si>
    <t>Ginástica Biola</t>
  </si>
  <si>
    <t>Cleitim</t>
  </si>
  <si>
    <t>Consulta Maite</t>
  </si>
  <si>
    <t>Velt</t>
  </si>
  <si>
    <t>Licenciamento</t>
  </si>
  <si>
    <t>Ana Paula</t>
  </si>
  <si>
    <t>Cida</t>
  </si>
  <si>
    <t>Embreagem</t>
  </si>
  <si>
    <t>Pircing</t>
  </si>
  <si>
    <t>Poupança Lara</t>
  </si>
  <si>
    <t>Thayrine</t>
  </si>
  <si>
    <t>Unha</t>
  </si>
  <si>
    <t>Claro</t>
  </si>
  <si>
    <t>Pelada e churrasco</t>
  </si>
  <si>
    <t xml:space="preserve">Concerto Carro </t>
  </si>
  <si>
    <t>Fran</t>
  </si>
  <si>
    <t>Tratamento Lara</t>
  </si>
  <si>
    <t>IPTU</t>
  </si>
  <si>
    <t>Onedrive</t>
  </si>
  <si>
    <t>Rematricula</t>
  </si>
  <si>
    <t>Spotify e presente Gi</t>
  </si>
  <si>
    <t>Lote (ID)</t>
  </si>
  <si>
    <t>Data Aplicação</t>
  </si>
  <si>
    <t>Valor Original</t>
  </si>
  <si>
    <t>Investimento</t>
  </si>
  <si>
    <t>CDB Turbinado</t>
  </si>
  <si>
    <t>Lote 3000 mar. V</t>
  </si>
  <si>
    <t>CDB XP 230%</t>
  </si>
  <si>
    <t>Lote 3000 mar. B</t>
  </si>
  <si>
    <t>-</t>
  </si>
  <si>
    <t>Lote 8500 mar.</t>
  </si>
  <si>
    <t>CDB Sofisa 105%</t>
  </si>
  <si>
    <t>Lote 7000 mai.</t>
  </si>
  <si>
    <t>Lote 3600 mai.</t>
  </si>
  <si>
    <t>Lote 5680 mai.</t>
  </si>
  <si>
    <t>Lote 7000 jun.</t>
  </si>
  <si>
    <t>Lote 1800 jun.</t>
  </si>
  <si>
    <t>Lote 5680 jun.</t>
  </si>
  <si>
    <t>Lote 7000 jul.</t>
  </si>
  <si>
    <t>Lote 5680 jul.</t>
  </si>
  <si>
    <t>Lote 7000 ago.</t>
  </si>
  <si>
    <t>Lote 5680 ago.</t>
  </si>
  <si>
    <t>Lote 7000 set.</t>
  </si>
  <si>
    <t>Lote 5680 set.</t>
  </si>
  <si>
    <t>Lote 7000 out.</t>
  </si>
  <si>
    <t>Lote 5680 out.</t>
  </si>
  <si>
    <t>Lote 7000 nov.</t>
  </si>
  <si>
    <t>Lote 5680 nov.</t>
  </si>
  <si>
    <t>Lote 7000 dez.</t>
  </si>
  <si>
    <t>Lote 5680 dez.</t>
  </si>
  <si>
    <t>Lote 7000 jan.</t>
  </si>
  <si>
    <t>Lote 5680 jan.</t>
  </si>
  <si>
    <t>Lote 7000 fev.</t>
  </si>
  <si>
    <t>Lote 5680 fev.</t>
  </si>
  <si>
    <t>Lote 7000 mar.</t>
  </si>
  <si>
    <t>Lote 5680 mar.</t>
  </si>
  <si>
    <t>Resumo mensal automático</t>
  </si>
  <si>
    <t>Último mês com dados</t>
  </si>
  <si>
    <t>Painel executivo mensal</t>
  </si>
  <si>
    <t>Mês</t>
  </si>
  <si>
    <t>Gastos totais</t>
  </si>
  <si>
    <t>Recebidos totais</t>
  </si>
  <si>
    <t>Saldo mensal</t>
  </si>
  <si>
    <t>Qtd. gastos</t>
  </si>
  <si>
    <t>Qtd. recebimentos</t>
  </si>
  <si>
    <t>Saldo acumulado</t>
  </si>
  <si>
    <t>Total de gastos</t>
  </si>
  <si>
    <t>Primeiro mês</t>
  </si>
  <si>
    <t>Total recebido</t>
  </si>
  <si>
    <t>Saldo acumulado até mês atual</t>
  </si>
  <si>
    <t>Saldo acumulado final</t>
  </si>
  <si>
    <t>Saldo do mês atual</t>
  </si>
  <si>
    <t>Média mensal do saldo</t>
  </si>
  <si>
    <t>Maior gasto mensal</t>
  </si>
  <si>
    <t>Maior recebido mensal</t>
  </si>
  <si>
    <t>Período coberto</t>
  </si>
  <si>
    <t>Mês atual</t>
  </si>
  <si>
    <t>Nome</t>
  </si>
  <si>
    <t>Taxa_Base_CDI</t>
  </si>
  <si>
    <t>Taxa_Bonus_CDI</t>
  </si>
  <si>
    <t>Dias_Bonus</t>
  </si>
  <si>
    <t>Prazo_Dias</t>
  </si>
  <si>
    <t>Carência_Dias</t>
  </si>
  <si>
    <t>Isento_IR</t>
  </si>
  <si>
    <t>Aplicação_Mínima</t>
  </si>
  <si>
    <t>Aplicação_Máxima</t>
  </si>
  <si>
    <t>Ativo</t>
  </si>
  <si>
    <t>Tipo</t>
  </si>
  <si>
    <t>Produto_Base</t>
  </si>
  <si>
    <t>Produto_Bonus</t>
  </si>
  <si>
    <t>Ratio_Base</t>
  </si>
  <si>
    <t>Ratio_Bonus</t>
  </si>
  <si>
    <t>Somente_Combo</t>
  </si>
  <si>
    <t>Indexador</t>
  </si>
  <si>
    <t>FGC</t>
  </si>
  <si>
    <t>Observações</t>
  </si>
  <si>
    <t>Banco_Emissor</t>
  </si>
  <si>
    <t>Score_Banco</t>
  </si>
  <si>
    <t>Risco_Real</t>
  </si>
  <si>
    <t>Max_Usos</t>
  </si>
  <si>
    <t>Camada</t>
  </si>
  <si>
    <t>Status_Confirmação</t>
  </si>
  <si>
    <t>Campos_Pendentes</t>
  </si>
  <si>
    <t>ACE Capital Multicenários FC FIF MULT - RL</t>
  </si>
  <si>
    <t>Não</t>
  </si>
  <si>
    <t>pendente de confirmação</t>
  </si>
  <si>
    <t>Sim</t>
  </si>
  <si>
    <t>Fundo</t>
  </si>
  <si>
    <t>Variável</t>
  </si>
  <si>
    <t>Rentab, bruta 12M 39,31%; Comparativo 266,87% do CDI; Aplicação D+0; Resgate D+15 corridos + liquidação D+2 úteis; Mov, mínima e saldo mínimo R$ 100; Horário 15h; Risco médio 16</t>
  </si>
  <si>
    <t>ACE Capital</t>
  </si>
  <si>
    <t>Médio</t>
  </si>
  <si>
    <t>Fora da Carteira</t>
  </si>
  <si>
    <t>Fortemente sustentado</t>
  </si>
  <si>
    <t>Aplicação_Máxima, Score_Banco, Max_Usos</t>
  </si>
  <si>
    <t>ARX Fuji FIC de FIF RF CP RL</t>
  </si>
  <si>
    <t>CDI</t>
  </si>
  <si>
    <t>Rentab, bruta 12M 15,31%; 103,94% do CDI; Aplicação D+0; Resgate D+0 + liquidação D+1; Mov, mínima e saldo mínimo R$ 1,000; Risco 4/baixo</t>
  </si>
  <si>
    <t>ARX</t>
  </si>
  <si>
    <t>Baixo</t>
  </si>
  <si>
    <t>Secundária</t>
  </si>
  <si>
    <t>ARX SOBERANO FIRF REF DI RL</t>
  </si>
  <si>
    <t>PicPay 11/04/2026 | nome inferido de screenshot parcial | risco baixo | rentab, 12M 14,52% | 6M 6,99% | taxa proxy 100% CDI | prazo proxy 1 dia</t>
  </si>
  <si>
    <t>BTG CDB PLUS FIRF CP RL</t>
  </si>
  <si>
    <t>PicPay 11/04/2026 | Fundo aberto | risco baixo | rentab, 12M 14,80% | 6M 7,10% | taxa proxy 100% CDI | prazo proxy 1 dia</t>
  </si>
  <si>
    <t>BTG</t>
  </si>
  <si>
    <t>BTG Pactual Discovery FIM - Resp, Limitada - Classe Única</t>
  </si>
  <si>
    <t>Taxa adm, 2,00% a,a,; Cota de fechamento; Aplicação D+0; Resgate D+30 + liquidação D+1 útil; IR longo prazo; Risco médio</t>
  </si>
  <si>
    <t>BTG Pactual</t>
  </si>
  <si>
    <t>BTG YIELD FIRF REF CP RL</t>
  </si>
  <si>
    <t>PicPay 11/04/2026 | Fundo aberto | risco baixo | rentab, 12M 14,72% | 6M 7,02% | taxa proxy 100% CDI | prazo proxy 1 dia</t>
  </si>
  <si>
    <t>CDB 3 Meses 100% CDI</t>
  </si>
  <si>
    <t>CDB</t>
  </si>
  <si>
    <t>Perna base do combo</t>
  </si>
  <si>
    <t>Pendente de confirmação</t>
  </si>
  <si>
    <t>Aplicação_Máxima, Banco_Emissor, Produto_Base, Produto_Bonus, Ratio_Base, Ratio_Bonus, Score_Banco, Max_Usos</t>
  </si>
  <si>
    <t>CDB 6 Meses 100% CDI</t>
  </si>
  <si>
    <t>CDB BMG DI 109% CDI - 1 ano</t>
  </si>
  <si>
    <t>Resgate no vencimento; IR 17,5%; Perfil conservador; Risco baixo</t>
  </si>
  <si>
    <t>BMG</t>
  </si>
  <si>
    <t>CDB BMG DI 110% CDI - 6 anos</t>
  </si>
  <si>
    <t>Resgate no vencimento; IR 15%; Perfil moderado; Risco moderado</t>
  </si>
  <si>
    <t>Moderado</t>
  </si>
  <si>
    <t>CDB BMG DI 111% CDI - 2 anos</t>
  </si>
  <si>
    <t>Resgate no vencimento; IR 15%; Perfil conservador; Risco baixo</t>
  </si>
  <si>
    <t>CDB BMG DI 112% CDI - 3 anos</t>
  </si>
  <si>
    <t>CDB BMG DI 113% CDI - 4 anos</t>
  </si>
  <si>
    <t>CDB BMG DI 114% CDI - 5 anos</t>
  </si>
  <si>
    <t>CDB BMG DI Renda Mensal 108% CDI - 3 anos</t>
  </si>
  <si>
    <t>Pagamento de juros mensal; Resgate no vencimento; Perfil conservador; Risco baixo</t>
  </si>
  <si>
    <t>Aplicação_Mínima, Aplicação_Máxima, Score_Banco, Max_Usos</t>
  </si>
  <si>
    <t>CDB BMG Duplo Indexado - 2 anos</t>
  </si>
  <si>
    <t>CDI ou Pré</t>
  </si>
  <si>
    <t>Alternativa: 100% do CDI ou prefixado 13,16% a,a,; Resgate no vencimento; IR 15%; Perfil conservador; Risco baixo</t>
  </si>
  <si>
    <t>CDB BMG Duplo Indexado - 3 anos</t>
  </si>
  <si>
    <t>Alternativa: 100% do CDI ou prefixado 13,12% a,a,; Resgate no vencimento; IR 15%; Perfil conservador; Risco baixo</t>
  </si>
  <si>
    <t>CDB BMG Escalonado - até 109% CDI - 5 anos</t>
  </si>
  <si>
    <t>CDI Escalonado</t>
  </si>
  <si>
    <t>Escalonamento: 1-360d 105% CDI; 361-720d 106%; 721-1080d 107%; 1081-1440d 108%; 1441-1825d 109%; Resgate diário; Perfil conservador; Risco baixo</t>
  </si>
  <si>
    <t>Prioritária</t>
  </si>
  <si>
    <t>CDB BMG IPCA+ 8,19% - 1 ano</t>
  </si>
  <si>
    <t>IPCA+</t>
  </si>
  <si>
    <t>CDB BMG IPCA+ 8,65% - 5 anos</t>
  </si>
  <si>
    <t>CDB BMG IPCA+ 8,68% - 3 anos</t>
  </si>
  <si>
    <t>CDB BMG IPCA+ 8,69% - 4 anos</t>
  </si>
  <si>
    <t>CDB BMG IPCA+ 9,01% - 2 anos</t>
  </si>
  <si>
    <t>CDB BMG Pré 14,70% - 1 ano</t>
  </si>
  <si>
    <t>Pré</t>
  </si>
  <si>
    <t>CDB BMG Pré 14,84% - 3 anos</t>
  </si>
  <si>
    <t>CDB BMG Pré 14,88% - 2 anos</t>
  </si>
  <si>
    <t>CDB BMG Pré 14,90% - 4 anos</t>
  </si>
  <si>
    <t>CDB BMG Pré 14,96% - 5 anos</t>
  </si>
  <si>
    <t>CDB BMG Super Poupança</t>
  </si>
  <si>
    <t>Selic</t>
  </si>
  <si>
    <t>Emissor: BMG | 107,00% da Selic | prazo 1096 dias | carência 0 dias | aplicação mínima R$ 50,00 | aplicação máxima R$ 500,000,000,00 | FGC</t>
  </si>
  <si>
    <t>Confirmado</t>
  </si>
  <si>
    <t>Score_Banco, Max_Usos</t>
  </si>
  <si>
    <t>CDB BTG 15,00% Prefixado</t>
  </si>
  <si>
    <t>Prefixado</t>
  </si>
  <si>
    <t>Oportunidade BTG</t>
  </si>
  <si>
    <t>CDB Daycoval 104%</t>
  </si>
  <si>
    <t>Emissor: Daycoval | 104,00% do CDI | prazo 720 dias | carência 0 dias | aplicação mínima R$ 1,000,00 | FGC</t>
  </si>
  <si>
    <t>Daycoval</t>
  </si>
  <si>
    <t>CDB Digimais 140%</t>
  </si>
  <si>
    <t>Taxa fixa alta</t>
  </si>
  <si>
    <t>Digimais</t>
  </si>
  <si>
    <t>CDB InfinitePay 106%</t>
  </si>
  <si>
    <t>Emissor: InfinitePay | 106,00% do CDI | prazo 91 dias | carência 31 dias | aplicação mínima R$ 1,00 | FGC</t>
  </si>
  <si>
    <t>InfinitePay</t>
  </si>
  <si>
    <t>CDB IPCA+ 7,90% 3 anos</t>
  </si>
  <si>
    <t>IPCA</t>
  </si>
  <si>
    <t>Emissor: Genérico FGC | IPCA + 7,90% | prazo 1080 dias | carência 1080 dias | aplicação mínima R$ 1,000,00 | FGC</t>
  </si>
  <si>
    <t>Aplicação_Máxima, Banco_Emissor, Score_Banco, Max_Usos</t>
  </si>
  <si>
    <t>CDB IPCA+ 8,34% 2 anos</t>
  </si>
  <si>
    <t>Emissor: Genérico FGC | IPCA + 8,30% | prazo 720 dias | carência 720 dias | aplicação mínima R$ 1,000,00 | FGC</t>
  </si>
  <si>
    <t>CDB Liquidez Diária 103%</t>
  </si>
  <si>
    <t>PagBank 11/04/2026 | BancoSeguro | 103,00% do CDI | vencimento 11/04/2028 | resgate diário | carência até 12/04/2026 | vencimento antecipado opcional pelo PagBank | aplicação mínima R$ 1,00 | aplicação máxima R$ 10,000,000,00</t>
  </si>
  <si>
    <t>Muito Baixo</t>
  </si>
  <si>
    <t>Banco_Emissor, Score_Banco, Max_Usos</t>
  </si>
  <si>
    <t>CDB Neon Cofrinho Escalonado - 100% a 113% CDI</t>
  </si>
  <si>
    <t>Resgate 24h por dia; Rende a partir do 31º dia; Escalonamento: 0-30d 0,01% CDI; 1-6m 100%; 6-12m 103%; 12-18m 106%; 18-24m 109%; acima de 24m 113%; Rentabilidade máxima a partir de 2 anos; Risco baixo</t>
  </si>
  <si>
    <t>Neon</t>
  </si>
  <si>
    <t>CDB Neon Diário Escalonado</t>
  </si>
  <si>
    <t>Escalonado até 113%</t>
  </si>
  <si>
    <t>CDB Neon Planejado 112% CDI - 90 dias</t>
  </si>
  <si>
    <t>Vencimento 11/07/2026; Rendimento desde o 1º dia útil; Após o vencimento rende 100% CDI com resgate 24h; Risco baixo</t>
  </si>
  <si>
    <t>CDB Neon Planejado 116% CDI - 181 dias</t>
  </si>
  <si>
    <t>Vencimento 10/10/2026; Rendimento desde o 1º dia útil; Após o vencimento rende 100% CDI com resgate 24h; Risco baixo</t>
  </si>
  <si>
    <t>CDB Neon Planejado 119% CDI - 361 dias</t>
  </si>
  <si>
    <t>Vencimento 08/04/2027; Rendimento desde o 1º dia útil; Após o vencimento rende 100% CDI com resgate 24h; Risco baixo</t>
  </si>
  <si>
    <t>CDB Neon Planejado 120% CDI - 721 dias</t>
  </si>
  <si>
    <t>Vencimento 02/04/2028; Rendimento desde o 1º dia útil; Após o vencimento rende 100% CDI com resgate 24h; Risco baixo</t>
  </si>
  <si>
    <t>CDB Neon Planejado 150% CDI - 60 dias</t>
  </si>
  <si>
    <t>Vencimento 11/06/2026; Rendimento desde o 1º dia útil; Após o vencimento rende 100% CDI com resgate 24h; Risco baixo</t>
  </si>
  <si>
    <t>CDB Neon Resgate Diário 100% CDI</t>
  </si>
  <si>
    <t>Vencimento 27/03/2029; Resgate 24h por dia; Rendimento desde o 1º dia útil; Risco baixo</t>
  </si>
  <si>
    <t>CDB PagBank 104%</t>
  </si>
  <si>
    <t>PagBank 11/04/2026 | BancoSeguro | 104,00% do CDI | vencimento 10/07/2026 | resgate no vencimento | carência até 10/07/2026 | vencimento antecipado opcional pelo PagBank | aplicação mínima R$ 1,00 | aplicação máxima R$ 10,000,000,00</t>
  </si>
  <si>
    <t>CDB PagBank 105%</t>
  </si>
  <si>
    <t>PagBank 11/04/2026 | BancoSeguro | 105,00% do CDI | vencimento 09/10/2026 | resgate no vencimento | carência até 09/10/2026 | vencimento antecipado opcional pelo PagBank | aplicação mínima R$ 500,00 | aplicação máxima R$ 10,000,000,00</t>
  </si>
  <si>
    <t>CDB PagBank 106%</t>
  </si>
  <si>
    <t>PagBank 11/04/2026 | BancoSeguro | 106,00% do CDI | vencimento 11/04/2027 | resgate no vencimento | carência até 11/04/2027 | vencimento antecipado opcional pelo PagBank | aplicação mínima R$ 500,00 | aplicação máxima R$ 10,000,000,00</t>
  </si>
  <si>
    <t>CDB PagBank 107,50%</t>
  </si>
  <si>
    <t>PagBank 11/04/2026 | BancoSeguro | 107,50% do CDI | vencimento 11/04/2029 | resgate no vencimento | carência até 11/04/2029 | vencimento antecipado opcional pelo PagBank | aplicação mínima R$ 500,00 | aplicação máxima R$ 10,000,000,00</t>
  </si>
  <si>
    <t>CDB PagBank 107%</t>
  </si>
  <si>
    <t>PagBank 11/04/2026 | BancoSeguro | 107,00% do CDI | vencimento 01/04/2028 | resgate no vencimento | carência até 01/04/2028 | vencimento antecipado opcional pelo PagBank | aplicação mínima R$ 500,00 | aplicação máxima R$ 10,000,000,00</t>
  </si>
  <si>
    <t>CDB PagBank 108,50%</t>
  </si>
  <si>
    <t>PagBank 11/04/2026 | BancoSeguro | 108,50% do CDI | vencimento 11/04/2030 | resgate no vencimento | carência até 11/04/2030 | vencimento antecipado opcional pelo PagBank | aplicação mínima R$ 500,00 | aplicação máxima R$ 10,000,000,00</t>
  </si>
  <si>
    <t>CDB PagBank 14,80%</t>
  </si>
  <si>
    <t>PagBank 11/04/2026 | BancoSeguro | 14,80% a,a, | vencimento 01/04/2028 | resgate no vencimento | carência até 01/04/2028 | vencimento antecipado opcional pelo PagBank | aplicação mínima R$ 500,00 | aplicação máxima R$ 10,000,000,00</t>
  </si>
  <si>
    <t>CDB PagBank 14,90%</t>
  </si>
  <si>
    <t>PagBank 11/04/2026 | BancoSeguro | 14,90% a,a, prefixado | vencimento 11/04/2027 | resgate no vencimento | carência até 11/04/2027 | vencimento antecipado opcional pelo PagBank | aplicação mínima R$ 500,00 | aplicação máxima R$ 10,000,000,00</t>
  </si>
  <si>
    <t>CDB PagBank 15,00%</t>
  </si>
  <si>
    <t>PagBank 11/04/2026 | BancoSeguro | 15,00% a,a, prefixado | vencimento 09/10/2026 | resgate no vencimento | carência até 09/10/2026 | vencimento antecipado opcional pelo PagBank | aplicação mínima R$ 500,00 | aplicação máxima R$ 10,000,000,00</t>
  </si>
  <si>
    <t>CDB PagBank 3 Meses</t>
  </si>
  <si>
    <t>PagBank 11/04/2026 | BancoSeguro | 102,25% do CDI | vencimento 14/07/2026 | resgate no vencimento | carência até 14/07/2026 | aplicação mínima R$ 100,00 | aplicação máxima R$ 10,000,000,00</t>
  </si>
  <si>
    <t>CDB PagBank IPCA+ 8,30%</t>
  </si>
  <si>
    <t>PagBank 11/04/2026 | BancoSeguro | IPCA + 8,30% a,a, | vencimento 01/04/2028 | resgate no vencimento | carência até 01/04/2028 | vencimento antecipado opcional pelo PagBank | aplicação mínima R$ 500,00 | aplicação máxima R$ 10,000,000,00</t>
  </si>
  <si>
    <t>CDB PagBank IPCA+ 8,40%</t>
  </si>
  <si>
    <t>PagBank 11/04/2026 | BancoSeguro | IPCA + 8,40% a,a, | vencimento 11/04/2027 | resgate no vencimento | carência até 11/04/2027 | vencimento antecipado opcional pelo PagBank | aplicação mínima R$ 500,00 | aplicação máxima R$ 10,000,000,00</t>
  </si>
  <si>
    <t>CDB PagBank Liquidez</t>
  </si>
  <si>
    <t>PagBank 11/04/2026 | BancoSeguro | 102,00% do CDI | vencimento 21/03/2030 | resgate imediato | aplicação mínima R$ 100,00 | aplicação máxima R$ 10,000,000,00</t>
  </si>
  <si>
    <t>CDB PicPay 100%</t>
  </si>
  <si>
    <t>PicPay 11/04/2026 | CDB base do combo 100% do CDI | vencimento em 3 meses (13/07/2026 na captura) | aplicação mínima R$ 200,00 | FGC | produto usado para desbloquear a oferta de 115% do CDI</t>
  </si>
  <si>
    <t>PicPay Bank</t>
  </si>
  <si>
    <t>Aplicação_Máxima, Produto_Base, Produto_Bonus, Ratio_Base, Ratio_Bonus, Score_Banco, Max_Usos</t>
  </si>
  <si>
    <t>CDB PicPay 115%</t>
  </si>
  <si>
    <t>PicPay 11/04/2026 | oferta bônus de combo a 115% do CDI | cada R$ 200,00 investidos no CDB base 100% libera R$ 100,00 para esta perna bônus | prazo não apareceu de forma isolada na captura; mantido em 3 meses por contexto do combo</t>
  </si>
  <si>
    <t>CDB PicPay 120% 3 Meses</t>
  </si>
  <si>
    <t>PicPay 11/04/2026 | oferta condicional/indisponível no momento | 120% do CDI | vencimento 13/07/2026 | botão orienta investir no CDB 3 meses 100% do CDI para acessar a oferta</t>
  </si>
  <si>
    <t>CDB PicPay 120% 6 Meses</t>
  </si>
  <si>
    <t>PicPay 11/04/2026 | oferta condicional/indisponível no momento | 120% do CDI | vencimento 13/10/2026 | botão orienta investir no CDB 6 meses 100% do CDI para acessar a oferta</t>
  </si>
  <si>
    <t>CDB PicPay Bank 1 Ano</t>
  </si>
  <si>
    <t>PicPay 11/04/2026 | 106,00% do CDI | vencimento 12/04/2027 | resgate no vencimento | aplicação mínima R$ 100,00 | houve screenshot adicional com 13/04/2027; mantido um único registro para evitar duplicidade</t>
  </si>
  <si>
    <t>CDB PicPay Bank 18 Meses</t>
  </si>
  <si>
    <t>PicPay 11/04/2026 | 107,25% do CDI | vencimento 13/10/2027 | resgate no vencimento | aplicação mínima R$ 100,00</t>
  </si>
  <si>
    <t>CDB PicPay Bank 2 Anos</t>
  </si>
  <si>
    <t>PicPay 11/04/2026 | 108,00% do CDI | vencimento 12/04/2028 | resgate no vencimento | aplicação mínima R$ 100,00 | houve screenshot adicional com 13/04/2028; mantido um único registro para evitar duplicidade</t>
  </si>
  <si>
    <t>CDB PicPay Bank 3 Anos</t>
  </si>
  <si>
    <t>PicPay 11/04/2026 | 108,75% do CDI | vencimento 12/04/2029 | resgate no vencimento | aplicação mínima R$ 100,00</t>
  </si>
  <si>
    <t>CDB PicPay Bank 3 Meses</t>
  </si>
  <si>
    <t>PicPay 11/04/2026 | 102,25% do CDI | vencimento 14/07/2026 | resgate no vencimento | aplicação mínima R$ 100,00</t>
  </si>
  <si>
    <t>CDB PicPay Bank 4 Anos</t>
  </si>
  <si>
    <t>PicPay 11/04/2026 | 109,00% do CDI | vencimento 12/04/2030 | resgate no vencimento | aplicação mínima R$ 100,00</t>
  </si>
  <si>
    <t>CDB PicPay Bank 5 Anos</t>
  </si>
  <si>
    <t>PicPay 11/04/2026 | 110,00% do CDI | vencimento 15/04/2031 | resgate no vencimento | aplicação mínima R$ 100,00</t>
  </si>
  <si>
    <t>CDB PicPay Bank 6 Meses</t>
  </si>
  <si>
    <t>PicPay 11/04/2026 | 103,25% do CDI | vencimento 14/10/2026 | resgate no vencimento | aplicação mínima R$ 100,00</t>
  </si>
  <si>
    <t>CDB PicPay Bank Liquidez</t>
  </si>
  <si>
    <t>PicPay 11/04/2026 | 102,00% do CDI | vencimento 21/03/2030 | resgate imediato | aplicação mínima R$ 100,00</t>
  </si>
  <si>
    <t>CDB Pine IPCA+ 8,5%</t>
  </si>
  <si>
    <t>Spread sobre IPCA</t>
  </si>
  <si>
    <t>Pine</t>
  </si>
  <si>
    <t>CDB Prefixado 13,50% 24m</t>
  </si>
  <si>
    <t>Emissor: Genérico FGC | 13,50% a,a, | prazo 720 dias | carência 720 dias | aplicação mínima R$ 1,000,00 | FGC</t>
  </si>
  <si>
    <t>CDB Prefixado 13,76% 12m</t>
  </si>
  <si>
    <t>Emissor: Genérico FGC | 13,76% a,a, | prazo 360 dias | carência 360 dias | aplicação mínima R$ 1,000,00 | FGC</t>
  </si>
  <si>
    <t>CDB Sofisa 102% 366d</t>
  </si>
  <si>
    <t>Sofisa | CDBs Pós Fixados | 102,00% do CDI | prazo 366 dias | resgate antecipado inativo | liquidez no vencimento | aplicação mínima R$ 1,00 | IR não isento | grau de risco baixo</t>
  </si>
  <si>
    <t>Sofisa</t>
  </si>
  <si>
    <t>CDB Sofisa 102% 546d</t>
  </si>
  <si>
    <t>Sofisa | CDBs Pós Fixados | 102,00% do CDI | prazo 546 dias | resgate antecipado inativo | liquidez no vencimento | aplicação mínima R$ 1,00 | IR não isento | grau de risco baixo</t>
  </si>
  <si>
    <t>CDB Sofisa 104%</t>
  </si>
  <si>
    <t>Sofisa | CDBs Pós Fixados | 104,00% do CDI | prazo 726 dias | resgate antecipado inativo | liquidez no vencimento | aplicação mínima R$ 1,00 | IR não isento | grau de risco baixo</t>
  </si>
  <si>
    <t>Emissor: Sofisa | 105,00% do CDI | prazo 1080 dias | carência 0 dias | aplicação mínima R$ 1,00 | FGC</t>
  </si>
  <si>
    <t>CDB Sofisa 106%</t>
  </si>
  <si>
    <t>Sofisa | CDBs Pós Fixados | 106,00% do CDI | prazo 1086 dias | resgate antecipado inativo | liquidez no vencimento | aplicação mínima R$ 1,00 | IR não isento | grau de risco baixo</t>
  </si>
  <si>
    <t>CDB Sofisa 107%</t>
  </si>
  <si>
    <t>Sofisa | CDBs Pós Fixados | 107,00% do CDI | prazo 1466 dias | resgate antecipado inativo | liquidez no vencimento | aplicação mínima R$ 1,00 | IR não isento | grau de risco médio</t>
  </si>
  <si>
    <t>CDB Sofisa 108%</t>
  </si>
  <si>
    <t>Sofisa | CDBs Pós Fixados | 108,00% do CDI | prazo 1806 dias | resgate antecipado inativo | liquidez no vencimento | aplicação mínima R$ 1,00 | IR não isento | grau de risco médio</t>
  </si>
  <si>
    <t>CDB Sofisa 14,10% Prefixado 186d</t>
  </si>
  <si>
    <t>Sofisa | CDBs Prefixados | 14,10% a,a, | prazo 186 dias | resgate antecipado inativo | liquidez no vencimento | aplicação mínima R$ 1,00 | IR não isento | grau de risco baixo</t>
  </si>
  <si>
    <t>CDB Sofisa 14,10% Prefixado 726d</t>
  </si>
  <si>
    <t>Sofisa | CDBs Prefixados | 14,10% a,a, | prazo 726 dias | resgate antecipado inativo | liquidez no vencimento | aplicação mínima R$ 1,00 | IR não isento | grau de risco baixo</t>
  </si>
  <si>
    <t>CDB Sofisa 14,20% Prefixado</t>
  </si>
  <si>
    <t>Sofisa | CDBs Prefixados | 14,20% a,a, | prazo 366 dias | resgate antecipado inativo | liquidez no vencimento | aplicação mínima R$ 1,00 | IR não isento | grau de risco baixo</t>
  </si>
  <si>
    <t>CDB Sofisa 14,30% Prefixado</t>
  </si>
  <si>
    <t>Sofisa | CDBs Prefixados | 14,30% a,a, | prazo 1086 dias | resgate antecipado inativo | liquidez no vencimento | aplicação mínima R$ 1,00 | IR não isento | grau de risco baixo</t>
  </si>
  <si>
    <t>CDB Sofisa 14,60% Prefixado</t>
  </si>
  <si>
    <t>Sofisa | CDBs Prefixados | 14,60% a,a, | prazo 1466 dias | resgate antecipado inativo | liquidez no vencimento | aplicação mínima R$ 1,00 | IR não isento | grau de risco médio</t>
  </si>
  <si>
    <t>CDB Sofisa 14,70% Prefixado</t>
  </si>
  <si>
    <t>Sofisa | CDBs Prefixados | 14,70% a,a, | prazo 1806 dias | resgate antecipado inativo | liquidez no vencimento | aplicação mínima R$ 1,00 | IR não isento | grau de risco médio</t>
  </si>
  <si>
    <t>CDB Sofisa IPCA+ 7,50%</t>
  </si>
  <si>
    <t>Sofisa | CDBs IPCA | IPCA + 7,50% a,a, | prazo 1806 dias | resgate antecipado inativo | liquidez no vencimento | aplicação mínima R$ 1,00 | IR não isento | grau de risco médio</t>
  </si>
  <si>
    <t>CDB Sofisa IPCA+ 7,60%</t>
  </si>
  <si>
    <t>Sofisa | CDBs IPCA | IPCA + 7,60% a,a, | prazo 1086 dias | resgate antecipado inativo | liquidez no vencimento | aplicação mínima R$ 1,00 | IR não isento | grau de risco médio</t>
  </si>
  <si>
    <t>CDB Sofisa IPCA+ 7,70%</t>
  </si>
  <si>
    <t>Sofisa | CDBs IPCA | IPCA + 7,70% a,a, | prazo 1466 dias | resgate antecipado inativo | liquidez no vencimento | aplicação mínima R$ 1,00 | IR não isento | grau de risco médio</t>
  </si>
  <si>
    <t>CDB Sofisa IPCA+ 8,10%</t>
  </si>
  <si>
    <t>Sofisa | CDBs IPCA | IPCA + 8,10% a,a, | prazo 366 dias | resgate antecipado inativo | liquidez no vencimento | aplicação mínima R$ 1,00 | IR não isento | grau de risco médio</t>
  </si>
  <si>
    <t>CDB Sofisa IPCA+ 8,20%</t>
  </si>
  <si>
    <t>Sofisa | CDBs IPCA | IPCA + 8,20% a,a, | prazo 726 dias | resgate antecipado inativo | liquidez no vencimento | aplicação mínima R$ 1,00 | IR não isento | grau de risco médio</t>
  </si>
  <si>
    <t>CDB Sofisa Liquidez Diária 105%</t>
  </si>
  <si>
    <t>Sofisa | CDB Liquidez Diária | 105,00% do CDI | prazo 1086 dias | resgate antecipado ativo | liquidez diária | aplicação mínima R$ 1,00 | IR não isento | grau de risco baixo</t>
  </si>
  <si>
    <t>Desativado</t>
  </si>
  <si>
    <t>CDB XP 150%</t>
  </si>
  <si>
    <t>Emissor: XP | 150,00% do CDI | prazo 60 dias | carência 0 dias | aplicação mínima R$ 10,000,00 | aplicação máxima R$ 60,000,00 | FGC</t>
  </si>
  <si>
    <t>XP</t>
  </si>
  <si>
    <t>Emissor: XP | 230,00% do CDI | prazo 60 dias | carência 0 dias | aplicação mínima R$ 100,00 | aplicação máxima R$ 3,000,00 | FGC</t>
  </si>
  <si>
    <t>Combo PicPay 100-115</t>
  </si>
  <si>
    <t>Combo</t>
  </si>
  <si>
    <t>CDB Picpay 100%</t>
  </si>
  <si>
    <t>CDB Picpay 115%</t>
  </si>
  <si>
    <t>PicPay 11/04/2026 | combo atual visto no app: investir no CDB base 100% do CDI para desbloquear oferta de 115% do CDI | proporção explícita de 2:1 (cada R$ 200,00 no base libera R$ 100,00 no bônus) | saldo disponível para investir no combo estava R$ 0,00 na captura</t>
  </si>
  <si>
    <t>PicPay</t>
  </si>
  <si>
    <t>Observação/Oportunidade</t>
  </si>
  <si>
    <t>Combo PicPay 100-120 3m</t>
  </si>
  <si>
    <t>CDB Picpay 120% 3m</t>
  </si>
  <si>
    <t>PicPay 11/04/2026 | existe oferta condicional de 120% do CDI associada ao CDB base de 3 meses 100% do CDI | regra exata de desbloqueio não foi exibida nesta captura; linha mantida apenas como referência do combo</t>
  </si>
  <si>
    <t>Aplicação_Mínima, Aplicação_Máxima, Ratio_Base, Ratio_Bonus, Score_Banco, Max_Usos</t>
  </si>
  <si>
    <t>Combo PicPay 100-120 6m</t>
  </si>
  <si>
    <t>CDB Picpay 120% 6m</t>
  </si>
  <si>
    <t>PicPay 11/04/2026 | existe oferta condicional de 120% do CDI associada ao CDB base de 6 meses 100% do CDI | regra exata de desbloqueio não foi exibida nesta captura; linha mantida apenas como referência do combo</t>
  </si>
  <si>
    <t>Compass Credit Selection FIC de FIF RF CP LP RL</t>
  </si>
  <si>
    <t>Rentab, bruta 12M 15,06%; 102,24% do CDI; Aplicação D+0; Resgate D+0 + liquidação D+1; Mov, mínima R$ 500; Saldo mínimo R$ 0; Horário 15h; Risco 4/baixo</t>
  </si>
  <si>
    <t>Compass</t>
  </si>
  <si>
    <t>Compromissada ABC 80% CDI</t>
  </si>
  <si>
    <t>Compromissada</t>
  </si>
  <si>
    <t>PagBank 11/04/2026 | Banco ABC Brasil S,A, | 80,00% do CDI | vencimento 13/04/2026 | resgate no vencimento | preço unitário R$ 50,000,00 | quantidade mínima 1 | IOF isento | IR sobre rendimento | rating BRAAA pela S&amp;P</t>
  </si>
  <si>
    <t>ABC</t>
  </si>
  <si>
    <t>Compromissada BancoSeguro 83% CDI</t>
  </si>
  <si>
    <t>PagBank 11/04/2026 | BancoSeguro | 83,00% do CDI | vencimento 13/04/2026 | resgate no vencimento | preço unitário R$ 50,000,00 | quantidade mínima 10 | IOF isento | IR sobre rendimento | rating BRAAA pela S&amp;P</t>
  </si>
  <si>
    <t>Compromissada BancoSeguro 85% CDI</t>
  </si>
  <si>
    <t>PagBank 11/04/2026 | BancoSeguro | 85,00% do CDI | vencimento 13/04/2026 | resgate no vencimento | preço unitário R$ 50,000,00 | quantidade mínima 20 | IOF isento | IR sobre rendimento | rating BRAAA pela S&amp;P</t>
  </si>
  <si>
    <t>Compromissada BancoSeguro 88% CDI</t>
  </si>
  <si>
    <t>PagBank 11/04/2026 | BancoSeguro | 88,00% do CDI | vencimento 13/04/2026 | resgate no vencimento | preço unitário R$ 50,000,00 | quantidade mínima 50 | IOF isento | IR sobre rendimento | rating BRAAA pela S&amp;P</t>
  </si>
  <si>
    <t>Compromissada BancoSeguro 90% CDI</t>
  </si>
  <si>
    <t>PagBank 11/04/2026 | BancoSeguro | 90,00% do CDI | vencimento 13/04/2026 | resgate no vencimento | preço unitário R$ 50,000,00 | quantidade mínima 100 | IOF isento | IR sobre rendimento | rating BRAAA pela S&amp;P</t>
  </si>
  <si>
    <t>Giant Prev FIE FIC FIM</t>
  </si>
  <si>
    <t>Fundo Prev</t>
  </si>
  <si>
    <t>Rentab, desde o início 48,20%; 60,64% do CDI; Classificação Anbima: Multimercado; Início 17/12/2019; PL R$ 82,833,925,57; Taxa adm, 1,5%; Taxa máxima 1,9%; Taxa de performance 20%; Aplicação inicial mínima R$ 100; Risco baixo 5</t>
  </si>
  <si>
    <t>Giant / XP Seg</t>
  </si>
  <si>
    <t>ICATU VANGUARDA ABSOLUTO II FI RF CP PREV</t>
  </si>
  <si>
    <t>PicPay 11/04/2026 | Previdência | rentab, 12M 14,52% | 1M 0,24% | ano 3,09% | taxa proxy 100% CDI | prazo proxy 1 dia</t>
  </si>
  <si>
    <t>Icatu Vanguarda</t>
  </si>
  <si>
    <t>ICATU VANGUARDA DINÂMICO CDI FIC DE FIF</t>
  </si>
  <si>
    <t>PicPay 11/04/2026 | Fundo aberto | rentab, 12M 15,39% | 1M 0,26% | ano 3,45% | taxa proxy 100% CDI | prazo proxy 1 dia</t>
  </si>
  <si>
    <t>Icatu Vanguarda FI RF Plus LP - Resp, Limitada - Classe Única</t>
  </si>
  <si>
    <t>Taxa adm, 0,28% a,a,; Cota de fechamento; Aplicação D+0; Resgate D+0 + liquidação D+1 útil; IR longo prazo; Risco baixo</t>
  </si>
  <si>
    <t>Icatu</t>
  </si>
  <si>
    <t>J&amp;F Investimentos 1 ano</t>
  </si>
  <si>
    <t>Renda Fixa</t>
  </si>
  <si>
    <t>PicPay 11/04/2026 | CDI + 2,15% a,a, | equivalente a 115,75% do CDI | vencimento 05/05/2027 | tipo/FGC/risco não visíveis no screenshot; classificação conservadora</t>
  </si>
  <si>
    <t>J&amp;F Investimentos</t>
  </si>
  <si>
    <t>J&amp;F Investimentos 2 anos</t>
  </si>
  <si>
    <t>PicPay 11/04/2026 | CDI + 2,50% a,a, | equivalente a 119,16% do CDI | vencimento 05/05/2028 | tipo/FGC/risco não visíveis no screenshot; classificação conservadora</t>
  </si>
  <si>
    <t>J&amp;F Investimentos 3 meses</t>
  </si>
  <si>
    <t>PicPay 11/04/2026 | 15,40% a,a, | equivalente a 104,41% do CDI | vencimento 05/08/2026 | tipo/FGC/risco não visíveis no screenshot; classificação conservadora</t>
  </si>
  <si>
    <t>J&amp;F Investimentos 6 meses</t>
  </si>
  <si>
    <t>PicPay 11/04/2026 | 15,65% a,a, | equivalente a 108,76% do CDI | vencimento 05/11/2026 | tipo/FGC/risco não visíveis no screenshot; classificação conservadora</t>
  </si>
  <si>
    <t>Kapitalo Kappa Fin FIC FIF Multim - Resp, Limitada - Classe Única</t>
  </si>
  <si>
    <t>Taxa adm, 1,48% a,a,; Cota de fechamento; Aplicação D+0; Resgate D+30 + liquidação D+1 útil; IR longo prazo; Risco médio</t>
  </si>
  <si>
    <t>Kapitalo</t>
  </si>
  <si>
    <t>LCA ABC Pós-Fixado 1 ano</t>
  </si>
  <si>
    <t>LCA</t>
  </si>
  <si>
    <t>PicPay 11/04/2026 | 88,50% do CDI | vencimento 12/04/2027 | resgate no vencimento | ativo garantido pelo FGC | aplicação mínima não visível no screenshot</t>
  </si>
  <si>
    <t>LCA ABC Pós-Fixado 1 ano (PagBank)</t>
  </si>
  <si>
    <t>PagBank 11/04/2026 | Banco ABC | 89,50% do CDI | vencimento 12/04/2027 | resgate no vencimento | isento de IR | rating AAA(BRA) pela FITCH | aplicação mínima R$ 1,000,00</t>
  </si>
  <si>
    <t>LCA ABC Pós-Fixado 2 anos</t>
  </si>
  <si>
    <t>PicPay 11/04/2026 | 89,00% do CDI | vencimento 10/04/2028 | resgate no vencimento | ativo garantido pelo FGC | aplicação mínima não visível no screenshot</t>
  </si>
  <si>
    <t>LCA ABC Pós-Fixado 2 anos (PagBank)</t>
  </si>
  <si>
    <t>PagBank 11/04/2026 | Banco ABC | 90,00% do CDI | vencimento 10/04/2028 | resgate no vencimento | isento de IR | rating AAA(BRA) pela FITCH | aplicação mínima R$ 1,000,00</t>
  </si>
  <si>
    <t>LCA ABC Prefixado 1 ano</t>
  </si>
  <si>
    <t>PicPay 11/04/2026 | 11,94% a,a, | vencimento 12/04/2027 | resgate no vencimento | ativo garantido pelo FGC | aplicação mínima não visível no screenshot</t>
  </si>
  <si>
    <t>LCA ABC Prefixado 2 anos</t>
  </si>
  <si>
    <t>PicPay 11/04/2026 | 11,38% a,a, | vencimento 10/04/2028 | resgate no vencimento | ativo garantido pelo FGC | aplicação mínima não visível no screenshot</t>
  </si>
  <si>
    <t>LCA BTG Pós-Fixado 1 ano</t>
  </si>
  <si>
    <t>PicPay 11/04/2026 | 86,00% do CDI | vencimento 12/04/2027 | resgate no vencimento | ativo garantido pelo FGC | aplicação mínima não visível no screenshot</t>
  </si>
  <si>
    <t>LCA BTG Pós-Fixado 1 ano (PagBank)</t>
  </si>
  <si>
    <t>PagBank 11/04/2026 | Banco BTG | 87,00% do CDI | vencimento 12/04/2027 | resgate no vencimento | isento de IR | rating AAA(BRA) pela FITCH | aplicação mínima R$ 1,000,00</t>
  </si>
  <si>
    <t>LCA BTG Pós-Fixado 2 anos</t>
  </si>
  <si>
    <t>PicPay 11/04/2026 | 86,00% do CDI | vencimento 10/04/2028 | resgate no vencimento | ativo garantido pelo FGC | aplicação mínima não visível no screenshot</t>
  </si>
  <si>
    <t>LCA BTG Pós-Fixado 2 anos (PagBank)</t>
  </si>
  <si>
    <t>PagBank 11/04/2026 | Banco BTG | 87,00% do CDI | vencimento 10/04/2028 | resgate no vencimento | isento de IR | rating AAA(BRA) pela FITCH | aplicação mínima R$ 1,000,00</t>
  </si>
  <si>
    <t>LCA BTG Pós-Fixado 3 anos</t>
  </si>
  <si>
    <t>PicPay 11/04/2026 | 84,00% do CDI | vencimento 10/04/2029 | resgate no vencimento | ativo garantido pelo FGC | aplicação mínima não visível no screenshot</t>
  </si>
  <si>
    <t>LCA BTG Pós-Fixado 3 anos (PagBank)</t>
  </si>
  <si>
    <t>PagBank 11/04/2026 | Banco BTG | 85,00% do CDI | vencimento 10/04/2029 | resgate no vencimento | isento de IR | rating AAA(BRA) pela FITCH | aplicação mínima R$ 1,000,00</t>
  </si>
  <si>
    <t>LCA BTG Prefixado 1 ano</t>
  </si>
  <si>
    <t>PicPay 11/04/2026 | 11,40% a,a, | vencimento 12/04/2027 | resgate no vencimento | ativo garantido pelo FGC | aplicação mínima não visível no screenshot</t>
  </si>
  <si>
    <t>LCA BTG Prefixado 5 anos</t>
  </si>
  <si>
    <t>PicPay 11/04/2026 | 10,84% a,a, | vencimento 10/04/2031 | resgate no vencimento | ativo garantido pelo FGC | aplicação mínima não visível no screenshot</t>
  </si>
  <si>
    <t>LCA Inter 90 dias</t>
  </si>
  <si>
    <t>Liquidez após 90 dias</t>
  </si>
  <si>
    <t>Inter</t>
  </si>
  <si>
    <t>LCA IPCA+ 5,50% 3 anos</t>
  </si>
  <si>
    <t>Emissor: Genérico FGC | IPCA + 5,50% | prazo 1080 dias | carência 1080 dias | aplicação mínima R$ 1,000,00 | FGC | isento de IR</t>
  </si>
  <si>
    <t>LCA Original Pós-Fixado 1 ano</t>
  </si>
  <si>
    <t>PicPay 11/04/2026 | 92,50% do CDI | vencimento 12/04/2027 | resgate no vencimento | ativo garantido pelo FGC | aplicação mínima não visível no screenshot</t>
  </si>
  <si>
    <t>Original</t>
  </si>
  <si>
    <t>LCA Original Pós-Fixado 2 anos</t>
  </si>
  <si>
    <t>PicPay 11/04/2026 | 93,50% do CDI | vencimento 10/04/2028 | resgate no vencimento | ativo garantido pelo FGC | aplicação mínima não visível no screenshot</t>
  </si>
  <si>
    <t>LCA Original Pós-Fixado 3 anos</t>
  </si>
  <si>
    <t>PicPay 11/04/2026 | 93,50% do CDI | vencimento 09/04/2029 | resgate no vencimento | ativo garantido pelo FGC | aplicação mínima não visível no screenshot</t>
  </si>
  <si>
    <t>LCA Original Prefixado 1 ano</t>
  </si>
  <si>
    <t>PicPay 11/04/2026 | 12,05% a,a, | vencimento 12/04/2027 | resgate no vencimento | ativo garantido pelo FGC | aplicação mínima não visível no screenshot</t>
  </si>
  <si>
    <t>LCA Original Prefixado 2 anos</t>
  </si>
  <si>
    <t>PicPay 11/04/2026 | 11,86% a,a, | vencimento 10/04/2028 | resgate no vencimento | ativo garantido pelo FGC | aplicação mínima não visível no screenshot</t>
  </si>
  <si>
    <t>LCA Original Prefixado 3 anos</t>
  </si>
  <si>
    <t>PicPay 11/04/2026 | 11,80% a,a, | vencimento 09/04/2029 | resgate no vencimento | ativo garantido pelo FGC | aplicação mínima não visível no screenshot</t>
  </si>
  <si>
    <t>LCA Pós 90% CDI 12m</t>
  </si>
  <si>
    <t>Emissor: Genérico FGC | 90,00% do CDI | prazo 360 dias | carência 360 dias | aplicação mínima R$ 1,000,00 | FGC | isento de IR</t>
  </si>
  <si>
    <t>LCA Prefixada 11,46% 12m</t>
  </si>
  <si>
    <t>Emissor: Genérico FGC | 11,46% a,a, | prazo 360 dias | carência 360 dias | aplicação mínima R$ 1,000,00 | FGC | isento de IR</t>
  </si>
  <si>
    <t>LCA Rabobank Merge</t>
  </si>
  <si>
    <t>Emissor: Rabobank | 93,50% do CDI | prazo 360 dias | carência 360 dias | aplicação mínima R$ 1,000,00 | FGC | isento de IR</t>
  </si>
  <si>
    <t>Rabobank</t>
  </si>
  <si>
    <t>LCI Daycoval Merge</t>
  </si>
  <si>
    <t>LCI</t>
  </si>
  <si>
    <t>Emissor: Daycoval | 92,00% do CDI | prazo 180 dias | carência 180 dias | aplicação mínima R$ 1,000,00 | FGC | isento de IR</t>
  </si>
  <si>
    <t>LCI IPCA+ 5,82% 2 anos</t>
  </si>
  <si>
    <t>Emissor: Genérico FGC | IPCA + 5,82% | prazo 720 dias | carência 720 dias | aplicação mínima R$ 1,000,00 | FGC | isento de IR</t>
  </si>
  <si>
    <t>LCI Pós 100% CDI 12m</t>
  </si>
  <si>
    <t>Emissor: Genérico FGC | 100,00% do CDI | prazo 360 dias | carência 360 dias | aplicação mínima R$ 1,000,00 | FGC | isento de IR</t>
  </si>
  <si>
    <t>LCI Prefixada 11,46% 12m</t>
  </si>
  <si>
    <t>MAG FIRF REF DI PREMIUM CP RL</t>
  </si>
  <si>
    <t>PicPay 11/04/2026 | Fundo aberto | risco baixo | rentab, 12M 14,86% | 6M 7,10% | taxa proxy 100% CDI | prazo proxy 1 dia</t>
  </si>
  <si>
    <t>MAG</t>
  </si>
  <si>
    <t>Mapfre Confianza FIF RF Referenciado DI CP RL</t>
  </si>
  <si>
    <t>Rentab, bruta 12M 15,36%; 104,21% do CDI; Aplicação D+0; Resgate D+0 + liquidação D+0; Mov, mínima R$ 500; Saldo mínimo R$ 1,000; Outra captura mostrou aplicação mínima de R$ 1; Risco baixo</t>
  </si>
  <si>
    <t>Mapfre</t>
  </si>
  <si>
    <t>Mapfre FIF RF - Resp, Limitada - Classe Única</t>
  </si>
  <si>
    <t>Taxa adm, 0,45% a,a,; Cota de abertura; Aplicação D+0; Resgate D+0 + liquidação D+0; IR longo prazo; Risco baixo</t>
  </si>
  <si>
    <t>MAPFRE FIRF RL</t>
  </si>
  <si>
    <t>PicPay 11/04/2026 | Fundo aberto | risco baixo | rentab, 12M 14,75% | 6M 7,28% | taxa proxy 100% CDI | prazo proxy 1 dia</t>
  </si>
  <si>
    <t>Mercado Pago Cofrinho 115% CDI</t>
  </si>
  <si>
    <t>Cofrinhos do Mercado Pago | até 115% do CDI | liquidez diária com resgate a qualquer momento | requer entrada de pelo menos R$ 1,000,00 por mês na conta | teto promocional de R$ 5,000,00; excedente rende 100% do CDI,</t>
  </si>
  <si>
    <t>Mercado Pago</t>
  </si>
  <si>
    <t>Mercado Pago Cofrinho 120% CDI (Meli+)</t>
  </si>
  <si>
    <t>Cofrinhos do Mercado Pago com assinatura Meli+ ativa | até 120% do CDI | liquidez diária com resgate a qualquer momento | teto promocional de R$ 10,000,00; excedente rende 100% do CDI | opção complementar e condicional ao plano Meli+,</t>
  </si>
  <si>
    <t>Nubank Caixinha Turbo 115% CDI</t>
  </si>
  <si>
    <t>Caixinha Turbo do Nubank | até 115% do CDI | liquidez diária com resgate imediato | requer movimentar/depositar R$ 900 por ciclo de 31 dias na Conta do Nu para manter 115% | teto promocional de R$ 5,000,00 | acima disso usar outra caixinha/conta; se perder elegibilidade volta para 100% do CDI,</t>
  </si>
  <si>
    <t>Nubank</t>
  </si>
  <si>
    <t>Riza Lotus Prev XP Seg FIC FIM CP</t>
  </si>
  <si>
    <t>Rentab, desde o início 68,35%; 110,37% do CDI; Classificação Anbima: Multimercado; Início 25/04/2022; PL R$ 1,031,107,633,56; Taxa adm, 0,8%; Sem taxa de performance; Contribuição mínima R$ 100; Risco baixo 3</t>
  </si>
  <si>
    <t>Riza / XP Seg</t>
  </si>
  <si>
    <t>SAFRA AGILITE FIRF CP RL</t>
  </si>
  <si>
    <t>PicPay 11/04/2026 | Fundo aberto | risco baixo | rentab, 12M 14,66% | 6M 6,92% | taxa proxy 100% CDI | prazo proxy 1 dia</t>
  </si>
  <si>
    <t>Safra</t>
  </si>
  <si>
    <t>SAFRA DI MASTER FIRF REF RL</t>
  </si>
  <si>
    <t>PicPay 11/04/2026 | Fundo aberto | risco baixo | rentab, 12M 14,61% | 6M 6,96% | taxa proxy 100% CDI | prazo proxy 1 dia</t>
  </si>
  <si>
    <t>SAFRA VITESSE FIRF CP RL</t>
  </si>
  <si>
    <t>PicPay 11/04/2026 | Fundo aberto | risco baixo | rentab, 12M 14,73% | 6M 6,94% | taxa proxy 100% CDI | prazo proxy 1 dia</t>
  </si>
  <si>
    <t>SulAmérica Premium Plus FIRF Referenciado DI CP</t>
  </si>
  <si>
    <t>Rentab, bruta 12M 14,84%; 100,75% do CDI; Aplicação D+0; Resgate D+0 + liquidação D+1; Mov, mínima e saldo mínimo R$ 1,000; Risco 2/baixo</t>
  </si>
  <si>
    <t>SulAmérica</t>
  </si>
  <si>
    <t>Super Poup BMG 107% CDI - 3 anos</t>
  </si>
  <si>
    <t>Resgate diário; Perfil conservador; Risco baixo</t>
  </si>
  <si>
    <t>Tesouro Educa+ 2027</t>
  </si>
  <si>
    <t>Tesouro</t>
  </si>
  <si>
    <t>Tesouro Direto via Sofisa | Tesouro Educa+ 2027 | IPCA + 7,67% a,a, | vencimento 15/12/2031 | valor unitário R$ 3,709,89 | aplicação mínima R$ 37,09 | liquidez diária no ambiente Tesouro Direto</t>
  </si>
  <si>
    <t>Tesouro Educa+ 2028</t>
  </si>
  <si>
    <t>Tesouro Direto via Sofisa | Tesouro Educa+ 2028 | IPCA + 7,63% a,a, | vencimento 15/12/2032 | valor unitário R$ 3,452,25 | aplicação mínima R$ 34,52 | liquidez diária no ambiente Tesouro Direto</t>
  </si>
  <si>
    <t>Tesouro Educa+ 2029</t>
  </si>
  <si>
    <t>Tesouro Direto via Sofisa | Tesouro Educa+ 2029 | IPCA + 7,60% a,a, | vencimento 15/12/2033 | valor unitário R$ 3,213,44 | aplicação mínima R$ 32,13 | liquidez diária no ambiente Tesouro Direto</t>
  </si>
  <si>
    <t>Tesouro Educa+ 2030</t>
  </si>
  <si>
    <t>Tesouro Direto via Sofisa | Tesouro Educa+ 2030 | IPCA + 7,56% a,a, | vencimento 15/12/2034 | valor unitário R$ 2,993,94 | aplicação mínima R$ 29,93 | liquidez diária no ambiente Tesouro Direto</t>
  </si>
  <si>
    <t>Tesouro Educa+ 2031</t>
  </si>
  <si>
    <t>Tesouro Direto via Sofisa | Tesouro Educa+ 2031 | IPCA + 7,50% a,a, | vencimento 15/12/2035 | valor unitário R$ 2,795,28 | aplicação mínima R$ 27,95 | liquidez diária no ambiente Tesouro Direto</t>
  </si>
  <si>
    <t>Tesouro Educa+ 2032</t>
  </si>
  <si>
    <t>Tesouro Direto via Sofisa | Tesouro Educa+ 2032 | IPCA + 7,44% a,a, | vencimento 15/12/2036 | valor unitário R$ 2,612,91 | aplicação mínima R$ 26,12 | liquidez diária no ambiente Tesouro Direto</t>
  </si>
  <si>
    <t>Tesouro Educa+ 2033</t>
  </si>
  <si>
    <t>Tesouro Direto via Sofisa | Tesouro Educa+ 2033 | IPCA + 7,38% a,a, | vencimento 15/12/2037 | valor unitário R$ 2,445,33 | aplicação mínima R$ 24,45 | liquidez diária no ambiente Tesouro Direto</t>
  </si>
  <si>
    <t>Tesouro Educa+ 2034</t>
  </si>
  <si>
    <t>Tesouro Direto via Sofisa | Tesouro Educa+ 2034 | IPCA + 7,31% a,a, | vencimento 15/12/2038 | valor unitário R$ 2,293,59 | aplicação mínima R$ 22,93 | liquidez diária no ambiente Tesouro Direto</t>
  </si>
  <si>
    <t>Tesouro IPCA+ 2032</t>
  </si>
  <si>
    <t>Tesouro Direto via Sofisa | Tesouro IPCA+ 2032 | IPCA + 7,57% a,a, | vencimento 15/08/2032 | valor unitário R$ 2,948,10 | aplicação mínima R$ 29,48 | liquidez diária no ambiente Tesouro Direto</t>
  </si>
  <si>
    <t>Tesouro IPCA+ 2035</t>
  </si>
  <si>
    <t>Emissor: Tesouro | IPCA + 5,80% | prazo 3285 dias | carência 0 dias | aplicação mínima R$ 30,00</t>
  </si>
  <si>
    <t>Tesouro IPCA+ com Juros Semestrais 2037</t>
  </si>
  <si>
    <t>Tesouro Direto via Sofisa | Tesouro IPCA+ com Juros Semestrais 2037 | IPCA + 7,34% a,a, | vencimento 15/05/2037 | valor unitário R$ 4,342,17 | aplicação mínima R$ 43,42 | liquidez diária no ambiente Tesouro Direto</t>
  </si>
  <si>
    <t>Tesouro Prefixado 2029</t>
  </si>
  <si>
    <t>Tesouro Direto via Sofisa | Tesouro Prefixado 2029 | 13,39% a,a, | vencimento 01/01/2029 | valor unitário R$ 712,41 | aplicação mínima R$ 7,12 | liquidez diária no ambiente Tesouro Direto</t>
  </si>
  <si>
    <t>Tesouro Selic 2029</t>
  </si>
  <si>
    <t>Emissor: Tesouro | 1,00% da Selic | prazo 1095 dias | carência 0 dias | aplicação mínima R$ 30,00</t>
  </si>
  <si>
    <t>Tesouro Selic 2031</t>
  </si>
  <si>
    <t>Tesouro Direto via Sofisa | Tesouro Selic 2031 | Selic + 0,09% a,a, | vencimento 01/03/2031 | valor unitário R$ 18,706,17 | aplicação mínima R$ 187,06 | liquidez diária no ambiente Tesouro Direto</t>
  </si>
  <si>
    <t>Trend Bolsas Globais FIA RL</t>
  </si>
  <si>
    <t>Rentab, bruta 12M 39,46%; Comparativo 267,89% do CDI; Aplicação D+1; Resgate D+4 corridos + liquidação D+2 úteis; Mov, mínima e saldo mínimo R$ 100; Horário 15h; Risco médio 14</t>
  </si>
  <si>
    <t>Trend</t>
  </si>
  <si>
    <t>Trend Commodities FIM RL</t>
  </si>
  <si>
    <t>Rentab, bruta 12M 49,85%; Comparativo 338,42% do CDI; Aplicação D+1; Resgate D+4 corridos + liquidação D+2 úteis; Mov, mínima e saldo mínimo R$ 100; Horário 15h; Risco médio 19</t>
  </si>
  <si>
    <t>Trend DI FIC RF Simples RL</t>
  </si>
  <si>
    <t>Rentab, bruta 12M 14,81%; 100,47% do CDI; Aplicação D+0; Resgate D+0 + liquidação D+0; Mov, mínima e saldo mínimo R$ 100; Risco 1/baixo</t>
  </si>
  <si>
    <t>Trend Ouro FIF Multi RL</t>
  </si>
  <si>
    <t>Rentab, bruta 12M 65,09%; Comparativo 441,89% do CDI; Aplicação D+0; Resgate D+4 corridos + liquidação D+2 úteis; Mov, mínima e saldo mínimo R$ 100; Horário 15h; Risco médio 14</t>
  </si>
  <si>
    <t>Vinland Renda Fixa Ativo XP Seg Prev FICFI</t>
  </si>
  <si>
    <t>Rentab, desde o início 64,89%; 94,85% do CDI; Classificação Anbima: Renda Fixa; Início 26/11/2021; PL R$ 454,571,341,01; Taxa adm, 0,9%; Taxa de performance 20%; Aplicação inicial mínima R$ 100; Risco baixo 1</t>
  </si>
  <si>
    <t>Vinland / XP Seg</t>
  </si>
  <si>
    <t>Western Asset Total Credit Advisory FIC de FIF RF CP</t>
  </si>
  <si>
    <t>Rentab, bruta 12M 15,18%; 103,05% do CDI; Aplicação D+0; Resgate D+0 + liquidação D+1; Mov, mínima R$ 100; Saldo mínimo R$ 500; Horário 15h; Risco 2/baixo</t>
  </si>
  <si>
    <t>Western Asset</t>
  </si>
  <si>
    <t>XP Bancos FIC RF Referenciada DI CP RL</t>
  </si>
  <si>
    <t>Rentab, bruta 12M 14,67%; 99,53% do CDI; Aplicação D+0; Resgate D+0 + liquidação D+0; Mov, mínima e saldo mínimo R$ 50; Horário 16h; Risco 2/baixo</t>
  </si>
  <si>
    <t>XP Liquidez FIC RF REF DI CP RL</t>
  </si>
  <si>
    <t>Rentab, bruta 12M 14,62%; 99,19% do CDI; Aplicação D+0; Resgate D+0 + liquidação D+0; Mov, mínima e saldo mínimo R$ 100; Horário 16h; Risco 2/baixo</t>
  </si>
  <si>
    <t>XP Referenciado FIF RF Referenciado DI CP RL</t>
  </si>
  <si>
    <t>Rentab, bruta 12M 14,62%; 99,19% do CDI; Aplicação D+0; Resgate D+0 + liquidação D+0; Mov, mínima e saldo mínimo R$ 50; Horário 15h; Risco 2/baixo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</si>
</sst>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00"/>
    <numFmt numFmtId="166" formatCode="dd/mm"/>
    <numFmt numFmtId="167" formatCode="&quot;R$ &quot;#,##0.00;[Red]&quot;-R$ &quot;#,##0.00"/>
  </numFmts>
  <fonts count="16">
    <font>
      <sz val="11.0"/>
      <color theme="1"/>
      <name val="Calibri"/>
      <scheme val="minor"/>
    </font>
    <font>
      <sz val="11.0"/>
      <color rgb="FF1F1F1F"/>
      <name val="Calibri"/>
    </font>
    <font>
      <b/>
      <sz val="11.0"/>
      <color rgb="FF1F1F1F"/>
      <name val="Calibri"/>
    </font>
    <font>
      <sz val="11.0"/>
      <color rgb="FF1F1F1F"/>
      <name val="Arial"/>
    </font>
    <font>
      <sz val="11.0"/>
      <color rgb="FF444746"/>
      <name val="Calibri"/>
    </font>
    <font>
      <sz val="11.0"/>
      <color rgb="FF444746"/>
      <name val="Arial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Arial"/>
    </font>
    <font>
      <b/>
      <sz val="16.0"/>
      <color rgb="FFFFFFFF"/>
      <name val="Cambria"/>
    </font>
    <font/>
    <font>
      <b/>
      <sz val="13.0"/>
      <color rgb="FFFFFFFF"/>
      <name val="Cambria"/>
    </font>
    <font>
      <b/>
      <sz val="11.0"/>
      <color theme="1"/>
      <name val="Cambria"/>
    </font>
    <font>
      <i/>
      <sz val="10.0"/>
      <color rgb="FF666666"/>
      <name val="Calibri"/>
    </font>
    <font>
      <b/>
      <sz val="11.0"/>
      <color rgb="FFFFFF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EEF3F8"/>
        <bgColor rgb="FFEEF3F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D9D9D9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2" xfId="0" applyFont="1" applyNumberFormat="1"/>
    <xf borderId="0" fillId="0" fontId="2" numFmtId="0" xfId="0" applyFont="1"/>
    <xf borderId="0" fillId="0" fontId="3" numFmtId="0" xfId="0" applyFont="1"/>
    <xf borderId="0" fillId="0" fontId="3" numFmtId="2" xfId="0" applyFont="1" applyNumberFormat="1"/>
    <xf borderId="0" fillId="0" fontId="3" numFmtId="165" xfId="0" applyFont="1" applyNumberFormat="1"/>
    <xf borderId="0" fillId="0" fontId="4" numFmtId="0" xfId="0" applyFont="1"/>
    <xf borderId="0" fillId="0" fontId="5" numFmtId="164" xfId="0" applyFont="1" applyNumberFormat="1"/>
    <xf borderId="0" fillId="0" fontId="5" numFmtId="2" xfId="0" applyFont="1" applyNumberFormat="1"/>
    <xf borderId="0" fillId="0" fontId="5" numFmtId="4" xfId="0" applyFont="1" applyNumberFormat="1"/>
    <xf borderId="0" fillId="0" fontId="5" numFmtId="0" xfId="0" applyFont="1"/>
    <xf borderId="0" fillId="0" fontId="6" numFmtId="4" xfId="0" applyAlignment="1" applyFont="1" applyNumberFormat="1">
      <alignment horizontal="right"/>
    </xf>
    <xf borderId="0" fillId="0" fontId="6" numFmtId="2" xfId="0" applyAlignment="1" applyFont="1" applyNumberFormat="1">
      <alignment horizontal="right"/>
    </xf>
    <xf borderId="0" fillId="0" fontId="7" numFmtId="0" xfId="0" applyFont="1"/>
    <xf borderId="0" fillId="0" fontId="6" numFmtId="2" xfId="0" applyFont="1" applyNumberFormat="1"/>
    <xf borderId="0" fillId="0" fontId="5" numFmtId="166" xfId="0" applyFont="1" applyNumberFormat="1"/>
    <xf borderId="0" fillId="0" fontId="5" numFmtId="165" xfId="0" applyFont="1" applyNumberFormat="1"/>
    <xf borderId="0" fillId="0" fontId="5" numFmtId="164" xfId="0" applyAlignment="1" applyFont="1" applyNumberFormat="1">
      <alignment horizontal="right"/>
    </xf>
    <xf borderId="0" fillId="0" fontId="8" numFmtId="2" xfId="0" applyAlignment="1" applyFont="1" applyNumberFormat="1">
      <alignment horizontal="right"/>
    </xf>
    <xf borderId="0" fillId="0" fontId="6" numFmtId="2" xfId="0" applyAlignment="1" applyFont="1" applyNumberFormat="1">
      <alignment horizontal="right" shrinkToFit="0" wrapText="1"/>
    </xf>
    <xf borderId="0" fillId="0" fontId="6" numFmtId="164" xfId="0" applyFont="1" applyNumberFormat="1"/>
    <xf borderId="0" fillId="0" fontId="6" numFmtId="165" xfId="0" applyFont="1" applyNumberFormat="1"/>
    <xf borderId="0" fillId="0" fontId="7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6" numFmtId="2" xfId="0" applyAlignment="1" applyFont="1" applyNumberFormat="1">
      <alignment readingOrder="0"/>
    </xf>
    <xf borderId="0" fillId="0" fontId="9" numFmtId="164" xfId="0" applyFont="1" applyNumberFormat="1"/>
    <xf borderId="0" fillId="0" fontId="9" numFmtId="2" xfId="0" applyFont="1" applyNumberForma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6" numFmtId="164" xfId="0" applyAlignment="1" applyFont="1" applyNumberFormat="1">
      <alignment horizontal="right" shrinkToFit="0" wrapText="1"/>
    </xf>
    <xf borderId="0" fillId="0" fontId="6" numFmtId="0" xfId="0" applyAlignment="1" applyFont="1">
      <alignment horizontal="center"/>
    </xf>
    <xf borderId="0" fillId="0" fontId="6" numFmtId="2" xfId="0" applyAlignment="1" applyFont="1" applyNumberFormat="1">
      <alignment horizontal="center" shrinkToFit="0" wrapText="1"/>
    </xf>
    <xf borderId="0" fillId="0" fontId="6" numFmtId="2" xfId="0" applyAlignment="1" applyFont="1" applyNumberFormat="1">
      <alignment horizontal="center"/>
    </xf>
    <xf borderId="0" fillId="0" fontId="6" numFmtId="2" xfId="0" applyAlignment="1" applyFont="1" applyNumberFormat="1">
      <alignment horizontal="right" readingOrder="0" shrinkToFit="0" wrapText="1"/>
    </xf>
    <xf borderId="0" fillId="0" fontId="6" numFmtId="2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1" fillId="2" fontId="10" numFmtId="0" xfId="0" applyAlignment="1" applyBorder="1" applyFill="1" applyFont="1">
      <alignment horizontal="center" shrinkToFit="0" wrapText="0"/>
    </xf>
    <xf borderId="2" fillId="0" fontId="11" numFmtId="0" xfId="0" applyBorder="1" applyFont="1"/>
    <xf borderId="3" fillId="0" fontId="11" numFmtId="0" xfId="0" applyBorder="1" applyFont="1"/>
    <xf borderId="4" fillId="2" fontId="10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0" fillId="0" fontId="7" numFmtId="14" xfId="0" applyFont="1" applyNumberFormat="1"/>
    <xf borderId="5" fillId="3" fontId="13" numFmtId="0" xfId="0" applyAlignment="1" applyBorder="1" applyFill="1" applyFont="1">
      <alignment horizontal="center"/>
    </xf>
    <xf borderId="5" fillId="4" fontId="13" numFmtId="0" xfId="0" applyBorder="1" applyFill="1" applyFont="1"/>
    <xf borderId="6" fillId="0" fontId="13" numFmtId="167" xfId="0" applyBorder="1" applyFont="1" applyNumberFormat="1"/>
    <xf borderId="0" fillId="0" fontId="6" numFmtId="17" xfId="0" applyFont="1" applyNumberFormat="1"/>
    <xf borderId="0" fillId="0" fontId="6" numFmtId="167" xfId="0" applyAlignment="1" applyFont="1" applyNumberFormat="1">
      <alignment horizontal="right"/>
    </xf>
    <xf borderId="0" fillId="0" fontId="6" numFmtId="1" xfId="0" applyAlignment="1" applyFont="1" applyNumberFormat="1">
      <alignment horizontal="right"/>
    </xf>
    <xf borderId="4" fillId="5" fontId="6" numFmtId="17" xfId="0" applyBorder="1" applyFill="1" applyFont="1" applyNumberFormat="1"/>
    <xf borderId="4" fillId="5" fontId="6" numFmtId="167" xfId="0" applyAlignment="1" applyBorder="1" applyFont="1" applyNumberFormat="1">
      <alignment horizontal="right"/>
    </xf>
    <xf borderId="4" fillId="5" fontId="6" numFmtId="1" xfId="0" applyAlignment="1" applyBorder="1" applyFont="1" applyNumberFormat="1">
      <alignment horizontal="right"/>
    </xf>
    <xf borderId="6" fillId="0" fontId="13" numFmtId="49" xfId="0" applyAlignment="1" applyBorder="1" applyFont="1" applyNumberFormat="1">
      <alignment horizontal="left"/>
    </xf>
    <xf borderId="0" fillId="0" fontId="14" numFmtId="0" xfId="0" applyAlignment="1" applyFont="1">
      <alignment horizontal="left"/>
    </xf>
    <xf borderId="0" fillId="6" fontId="15" numFmtId="0" xfId="0" applyAlignment="1" applyFill="1" applyFont="1">
      <alignment horizontal="center" readingOrder="0"/>
    </xf>
    <xf borderId="0" fillId="6" fontId="15" numFmtId="4" xfId="0" applyAlignment="1" applyFont="1" applyNumberFormat="1">
      <alignment horizontal="center" readingOrder="0"/>
    </xf>
    <xf borderId="0" fillId="0" fontId="8" numFmtId="0" xfId="0" applyAlignment="1" applyFont="1">
      <alignment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7" fontId="8" numFmtId="0" xfId="0" applyAlignment="1" applyFill="1" applyFont="1">
      <alignment horizontal="left" readingOrder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vertical="bottom"/>
    </xf>
    <xf borderId="0" fillId="8" fontId="8" numFmtId="0" xfId="0" applyAlignment="1" applyFill="1" applyFont="1">
      <alignment horizontal="left" readingOrder="0"/>
    </xf>
    <xf borderId="0" fillId="9" fontId="8" numFmtId="0" xfId="0" applyAlignment="1" applyFill="1" applyFont="1">
      <alignment horizontal="left" readingOrder="0"/>
    </xf>
    <xf borderId="0" fillId="10" fontId="8" numFmtId="0" xfId="0" applyAlignment="1" applyFill="1" applyFont="1">
      <alignment horizontal="left" readingOrder="0"/>
    </xf>
    <xf borderId="0" fillId="11" fontId="8" numFmtId="0" xfId="0" applyAlignment="1" applyFill="1" applyFont="1">
      <alignment horizontal="left" readingOrder="0"/>
    </xf>
    <xf borderId="0" fillId="12" fontId="8" numFmtId="0" xfId="0" applyAlignment="1" applyFill="1" applyFont="1">
      <alignment horizontal="left" readingOrder="0"/>
    </xf>
    <xf borderId="0" fillId="4" fontId="8" numFmtId="0" xfId="0" applyAlignment="1" applyFont="1">
      <alignment horizontal="left" readingOrder="0"/>
    </xf>
    <xf borderId="0" fillId="0" fontId="8" numFmtId="0" xfId="0" applyAlignment="1" applyFont="1">
      <alignment shrinkToFit="0" vertical="bottom" wrapText="0"/>
    </xf>
    <xf borderId="0" fillId="0" fontId="7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Gastos x Recebidos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Gastos totais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'Resumo Mensal'!$A$4:$A$17</c:f>
            </c:strRef>
          </c:cat>
          <c:val>
            <c:numRef>
              <c:f>'Resumo Mensal'!$B$4:$B$17</c:f>
              <c:numCache/>
            </c:numRef>
          </c:val>
        </c:ser>
        <c:ser>
          <c:idx val="1"/>
          <c:order val="1"/>
          <c:tx>
            <c:v>Recebidos totais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'Resumo Mensal'!$A$4:$A$17</c:f>
            </c:strRef>
          </c:cat>
          <c:val>
            <c:numRef>
              <c:f>'Resumo Mensal'!$C$4:$C$17</c:f>
              <c:numCache/>
            </c:numRef>
          </c:val>
        </c:ser>
        <c:axId val="1379993917"/>
        <c:axId val="729087268"/>
      </c:barChart>
      <c:catAx>
        <c:axId val="1379993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29087268"/>
      </c:catAx>
      <c:valAx>
        <c:axId val="729087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799939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18</xdr:row>
      <xdr:rowOff>95250</xdr:rowOff>
    </xdr:from>
    <xdr:ext cx="5133975" cy="2771775"/>
    <xdr:graphicFrame>
      <xdr:nvGraphicFramePr>
        <xdr:cNvPr id="157654474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66675</xdr:colOff>
      <xdr:row>18</xdr:row>
      <xdr:rowOff>66675</xdr:rowOff>
    </xdr:from>
    <xdr:ext cx="4381500" cy="2743200"/>
    <xdr:pic>
      <xdr:nvPicPr>
        <xdr:cNvPr id="907597653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E1002" sheet="Todos os Gastos"/>
  </cacheSource>
  <cacheFields>
    <cacheField name="Valor" numFmtId="2">
      <sharedItems containsString="0" containsBlank="1" containsNumber="1">
        <n v="2063.23"/>
        <n v="6014.05"/>
        <n v="123.44"/>
        <n v="95.12"/>
        <n v="50.0"/>
        <n v="981.95"/>
        <n v="1407.65"/>
        <n v="132.4"/>
        <n v="2831.4"/>
        <n v="460.0"/>
        <n v="74.18"/>
        <n v="1771.95"/>
        <n v="64.89"/>
        <n v="520.0"/>
        <n v="60.0"/>
        <n v="58.0"/>
        <n v="138.69"/>
        <n v="40.0"/>
        <n v="81.8"/>
        <n v="136.15"/>
        <n v="800.0"/>
        <n v="57.89"/>
        <n v="1336.73"/>
        <n v="65.0"/>
        <n v="86.15"/>
        <n v="473.73"/>
        <n v="508.07"/>
        <n v="660.99"/>
        <n v="807.2"/>
        <n v="1368.12"/>
        <n v="2894.0"/>
        <n v="4540.55"/>
        <n v="35.0"/>
        <n v="87.84"/>
        <n v="450.0"/>
        <n v="75.0"/>
        <n v="36.02"/>
        <n v="150.0"/>
        <n v="5310.25"/>
        <n v="170.0"/>
        <n v="900.0"/>
        <n v="52.0"/>
        <n v="120.0"/>
        <n v="182.8"/>
        <n v="950.0"/>
        <n v="65.6"/>
        <n v="70.0"/>
        <n v="434.75"/>
        <n v="981.22"/>
        <n v="151.71"/>
        <n v="206.8"/>
        <n v="2472.89"/>
        <n v="6350.01"/>
        <n v="98.98"/>
        <n v="113.31"/>
        <n v="530.0"/>
        <n v="1500.0"/>
        <n v="195.0"/>
        <n v="95.05"/>
        <n v="7200.0"/>
        <n v="580.0"/>
        <n v="930.0"/>
        <n v="6800.0"/>
        <n v="5800.0"/>
        <n v="2000.0"/>
        <n v="90.0"/>
        <n v="6850.0"/>
        <n v="1800.0"/>
        <n v="119.8"/>
        <n v="6000.0"/>
        <n v="2200.0"/>
        <n v="5750.0"/>
        <n v="1880.0"/>
        <n v="2900.0"/>
        <n v="6250.0"/>
        <n v="281.1"/>
        <n v="105.37"/>
        <n v="983.13"/>
        <n v="135.89"/>
        <n v="7796.0"/>
        <n v="102.36"/>
        <n v="195.05"/>
        <n v="6004.07"/>
        <n v="141.8"/>
        <n v="7494.55"/>
        <n v="35.62"/>
        <m/>
      </sharedItems>
    </cacheField>
    <cacheField name="Pago" numFmtId="0">
      <sharedItems containsBlank="1">
        <s v="OK"/>
        <m/>
      </sharedItems>
    </cacheField>
    <cacheField name="Lote usado" numFmtId="0">
      <sharedItems containsBlank="1">
        <s v="Lote 2063,11 fev."/>
        <s v="Lote 10342 fev."/>
        <s v="Lote 4000 fev."/>
        <s v="Lote 4124,75 fev."/>
        <s v="Lote 1000 mar."/>
        <s v="Lote 900 mar."/>
        <s v="Lote 5400 fev."/>
        <s v="Lote 6630,64 fev."/>
        <s v="Lote 35 abr."/>
        <s v="Lote 7800 abr."/>
        <s v="Lote 5680 abr."/>
        <s v="Lote 3600 abr.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dos os Gastos" cacheId="0" dataCaption="" compact="0" compactData="0">
  <location ref="G1:H14" firstHeaderRow="0" firstDataRow="1" firstDataCol="0"/>
  <pivotFields>
    <pivotField name="Valor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Pago" compact="0" outline="0" multipleItemSelectionAllowed="1" showAll="0">
      <items>
        <item x="0"/>
        <item x="1"/>
        <item t="default"/>
      </items>
    </pivotField>
    <pivotField name="Lote usado" axis="axisRow" compact="0" outline="0" multipleItemSelectionAllowed="1" showAll="0" sortType="ascending">
      <items>
        <item h="1" x="12"/>
        <item x="4"/>
        <item x="1"/>
        <item x="0"/>
        <item x="8"/>
        <item x="11"/>
        <item x="2"/>
        <item x="3"/>
        <item x="6"/>
        <item x="10"/>
        <item x="7"/>
        <item x="9"/>
        <item x="5"/>
        <item t="default"/>
      </items>
    </pivotField>
  </pivotFields>
  <rowFields>
    <field x="2"/>
  </rowFields>
  <dataFields>
    <dataField name="SUM of Valor" fld="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8.86"/>
    <col customWidth="1" min="3" max="3" width="10.71"/>
    <col customWidth="1" min="4" max="4" width="8.29"/>
    <col customWidth="1" min="5" max="5" width="17.29"/>
    <col customWidth="1" min="6" max="6" width="20.14"/>
    <col customWidth="1" min="7" max="7" width="20.57"/>
    <col customWidth="1" min="8" max="8" width="23.71"/>
    <col customWidth="1" min="9" max="9" width="18.71"/>
    <col customWidth="1" min="10" max="10" width="8.43"/>
    <col customWidth="1" min="11" max="11" width="14.57"/>
    <col customWidth="1" min="12" max="12" width="14.29"/>
    <col customWidth="1" min="13" max="13" width="11.29"/>
    <col customWidth="1" min="14" max="18" width="8.71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I1" s="5"/>
      <c r="J1" s="5"/>
      <c r="K1" s="5"/>
      <c r="L1" s="5"/>
    </row>
    <row r="2" ht="14.25" customHeight="1">
      <c r="A2" s="1">
        <v>46062.0</v>
      </c>
      <c r="B2" s="2" t="s">
        <v>6</v>
      </c>
      <c r="C2" s="3">
        <v>2063.23</v>
      </c>
      <c r="D2" s="8" t="s">
        <v>7</v>
      </c>
      <c r="E2" s="8" t="s">
        <v>8</v>
      </c>
      <c r="F2" s="9"/>
      <c r="I2" s="12"/>
      <c r="J2" s="12"/>
    </row>
    <row r="3" ht="14.25" customHeight="1">
      <c r="A3" s="1">
        <v>46062.0</v>
      </c>
      <c r="B3" s="2" t="s">
        <v>6</v>
      </c>
      <c r="C3" s="3">
        <v>6014.05</v>
      </c>
      <c r="D3" s="8" t="s">
        <v>7</v>
      </c>
      <c r="E3" s="8" t="s">
        <v>10</v>
      </c>
      <c r="F3" s="9"/>
      <c r="I3" s="12"/>
      <c r="J3" s="12"/>
      <c r="O3" s="13"/>
      <c r="P3" s="14"/>
      <c r="Q3" s="13"/>
      <c r="R3" s="14"/>
    </row>
    <row r="4" ht="14.25" customHeight="1">
      <c r="A4" s="1">
        <v>46063.0</v>
      </c>
      <c r="B4" s="2" t="s">
        <v>11</v>
      </c>
      <c r="C4" s="3">
        <v>123.44</v>
      </c>
      <c r="D4" s="8" t="s">
        <v>7</v>
      </c>
      <c r="E4" s="2" t="s">
        <v>12</v>
      </c>
      <c r="F4" s="9"/>
      <c r="I4" s="12"/>
      <c r="J4" s="12"/>
      <c r="O4" s="13"/>
      <c r="P4" s="14"/>
      <c r="Q4" s="13"/>
      <c r="R4" s="14"/>
    </row>
    <row r="5" ht="14.25" customHeight="1">
      <c r="A5" s="1">
        <v>46064.0</v>
      </c>
      <c r="B5" s="15" t="s">
        <v>13</v>
      </c>
      <c r="C5" s="16">
        <v>95.12</v>
      </c>
      <c r="D5" s="8" t="s">
        <v>7</v>
      </c>
      <c r="E5" s="8" t="s">
        <v>14</v>
      </c>
      <c r="F5" s="9"/>
      <c r="I5" s="12"/>
      <c r="J5" s="12"/>
    </row>
    <row r="6" ht="14.25" customHeight="1">
      <c r="A6" s="1">
        <v>46064.0</v>
      </c>
      <c r="B6" s="15" t="s">
        <v>16</v>
      </c>
      <c r="C6" s="16">
        <v>50.0</v>
      </c>
      <c r="D6" s="8" t="s">
        <v>7</v>
      </c>
      <c r="E6" s="8" t="s">
        <v>14</v>
      </c>
      <c r="F6" s="9"/>
      <c r="I6" s="12"/>
      <c r="J6" s="12"/>
    </row>
    <row r="7" ht="14.25" customHeight="1">
      <c r="A7" s="1">
        <v>46065.0</v>
      </c>
      <c r="B7" s="15" t="s">
        <v>18</v>
      </c>
      <c r="C7" s="16">
        <v>981.95</v>
      </c>
      <c r="D7" s="8" t="s">
        <v>7</v>
      </c>
      <c r="E7" s="8" t="s">
        <v>10</v>
      </c>
      <c r="F7" s="9"/>
      <c r="I7" s="12"/>
      <c r="J7" s="12"/>
    </row>
    <row r="8" ht="14.25" customHeight="1">
      <c r="A8" s="1">
        <v>46065.0</v>
      </c>
      <c r="B8" s="15" t="s">
        <v>19</v>
      </c>
      <c r="C8" s="16">
        <v>1407.65</v>
      </c>
      <c r="D8" s="8" t="s">
        <v>7</v>
      </c>
      <c r="E8" s="8" t="s">
        <v>10</v>
      </c>
      <c r="F8" s="9"/>
      <c r="I8" s="12"/>
      <c r="J8" s="12"/>
    </row>
    <row r="9" ht="14.25" customHeight="1">
      <c r="A9" s="1">
        <v>46069.0</v>
      </c>
      <c r="B9" s="15" t="s">
        <v>20</v>
      </c>
      <c r="C9" s="3">
        <v>132.4</v>
      </c>
      <c r="D9" s="8" t="s">
        <v>7</v>
      </c>
      <c r="E9" s="8" t="s">
        <v>10</v>
      </c>
      <c r="F9" s="17"/>
      <c r="I9" s="12"/>
      <c r="J9" s="12"/>
    </row>
    <row r="10" ht="14.25" customHeight="1">
      <c r="A10" s="1">
        <v>46072.0</v>
      </c>
      <c r="B10" s="15" t="s">
        <v>22</v>
      </c>
      <c r="C10" s="3">
        <v>2831.4</v>
      </c>
      <c r="D10" s="8" t="s">
        <v>7</v>
      </c>
      <c r="E10" s="8" t="s">
        <v>14</v>
      </c>
      <c r="F10" s="9"/>
      <c r="I10" s="12"/>
      <c r="J10" s="12"/>
    </row>
    <row r="11" ht="14.25" customHeight="1">
      <c r="A11" s="1">
        <v>46072.0</v>
      </c>
      <c r="B11" s="15" t="s">
        <v>24</v>
      </c>
      <c r="C11" s="3">
        <v>460.0</v>
      </c>
      <c r="D11" s="8" t="s">
        <v>7</v>
      </c>
      <c r="E11" s="8" t="s">
        <v>10</v>
      </c>
      <c r="F11" s="17"/>
      <c r="I11" s="12"/>
      <c r="J11" s="12"/>
    </row>
    <row r="12" ht="14.25" customHeight="1">
      <c r="A12" s="1">
        <v>46073.0</v>
      </c>
      <c r="B12" s="15" t="s">
        <v>26</v>
      </c>
      <c r="C12" s="3">
        <v>74.18</v>
      </c>
      <c r="D12" s="8" t="s">
        <v>7</v>
      </c>
      <c r="E12" s="2" t="s">
        <v>12</v>
      </c>
      <c r="F12" s="17"/>
      <c r="I12" s="12"/>
      <c r="J12" s="12"/>
    </row>
    <row r="13" ht="14.25" customHeight="1">
      <c r="A13" s="1">
        <v>46083.0</v>
      </c>
      <c r="B13" s="15" t="s">
        <v>28</v>
      </c>
      <c r="C13" s="16">
        <v>1771.95</v>
      </c>
      <c r="D13" s="8" t="s">
        <v>7</v>
      </c>
      <c r="E13" s="2" t="s">
        <v>12</v>
      </c>
      <c r="F13" s="17"/>
      <c r="I13" s="12"/>
      <c r="J13" s="12"/>
    </row>
    <row r="14" ht="14.25" customHeight="1">
      <c r="A14" s="1">
        <v>46086.0</v>
      </c>
      <c r="B14" s="15" t="s">
        <v>30</v>
      </c>
      <c r="C14" s="16">
        <v>64.89</v>
      </c>
      <c r="D14" s="8" t="s">
        <v>7</v>
      </c>
      <c r="E14" s="2" t="s">
        <v>9</v>
      </c>
      <c r="F14" s="17"/>
      <c r="I14" s="12"/>
      <c r="J14" s="12"/>
    </row>
    <row r="15" ht="14.25" customHeight="1">
      <c r="A15" s="1">
        <v>46086.0</v>
      </c>
      <c r="B15" s="15" t="s">
        <v>32</v>
      </c>
      <c r="C15" s="16">
        <v>520.0</v>
      </c>
      <c r="D15" s="8" t="s">
        <v>7</v>
      </c>
      <c r="E15" s="2" t="s">
        <v>9</v>
      </c>
      <c r="F15" s="17"/>
      <c r="G15" s="10"/>
      <c r="H15" s="18"/>
      <c r="I15" s="12"/>
      <c r="J15" s="12"/>
    </row>
    <row r="16" ht="14.25" customHeight="1">
      <c r="A16" s="1">
        <v>46086.0</v>
      </c>
      <c r="B16" s="15" t="s">
        <v>33</v>
      </c>
      <c r="C16" s="16">
        <v>60.0</v>
      </c>
      <c r="D16" s="8" t="s">
        <v>7</v>
      </c>
      <c r="E16" s="2" t="s">
        <v>9</v>
      </c>
      <c r="F16" s="17"/>
      <c r="G16" s="10"/>
      <c r="H16" s="18"/>
      <c r="I16" s="12"/>
      <c r="J16" s="12"/>
    </row>
    <row r="17" ht="14.25" customHeight="1">
      <c r="A17" s="1">
        <v>46086.0</v>
      </c>
      <c r="B17" s="15" t="s">
        <v>34</v>
      </c>
      <c r="C17" s="16">
        <v>58.0</v>
      </c>
      <c r="D17" s="8" t="s">
        <v>7</v>
      </c>
      <c r="E17" s="2" t="s">
        <v>9</v>
      </c>
      <c r="F17" s="17"/>
      <c r="G17" s="10"/>
      <c r="H17" s="18"/>
      <c r="I17" s="12"/>
      <c r="J17" s="12"/>
    </row>
    <row r="18" ht="14.25" customHeight="1">
      <c r="A18" s="1">
        <v>46086.0</v>
      </c>
      <c r="B18" s="15" t="s">
        <v>35</v>
      </c>
      <c r="C18" s="16">
        <v>138.69</v>
      </c>
      <c r="D18" s="8" t="s">
        <v>7</v>
      </c>
      <c r="E18" s="2" t="s">
        <v>9</v>
      </c>
      <c r="F18" s="17"/>
      <c r="G18" s="10"/>
      <c r="H18" s="18"/>
      <c r="I18" s="12"/>
      <c r="J18" s="12"/>
    </row>
    <row r="19" ht="14.25" customHeight="1">
      <c r="A19" s="1">
        <v>46086.0</v>
      </c>
      <c r="B19" s="15" t="s">
        <v>36</v>
      </c>
      <c r="C19" s="16">
        <v>40.0</v>
      </c>
      <c r="D19" s="8" t="s">
        <v>7</v>
      </c>
      <c r="E19" s="2" t="s">
        <v>9</v>
      </c>
      <c r="F19" s="17"/>
      <c r="G19" s="10"/>
      <c r="H19" s="18"/>
      <c r="I19" s="12"/>
      <c r="J19" s="12"/>
    </row>
    <row r="20" ht="14.25" customHeight="1">
      <c r="A20" s="1">
        <v>46086.0</v>
      </c>
      <c r="B20" s="15" t="s">
        <v>37</v>
      </c>
      <c r="C20" s="16">
        <v>40.0</v>
      </c>
      <c r="D20" s="8" t="s">
        <v>7</v>
      </c>
      <c r="E20" s="2" t="s">
        <v>9</v>
      </c>
      <c r="F20" s="17"/>
      <c r="G20" s="10"/>
      <c r="H20" s="18"/>
      <c r="I20" s="12"/>
      <c r="J20" s="12"/>
    </row>
    <row r="21" ht="14.25" customHeight="1">
      <c r="A21" s="1">
        <v>46086.0</v>
      </c>
      <c r="B21" s="15" t="s">
        <v>38</v>
      </c>
      <c r="C21" s="16">
        <v>81.8</v>
      </c>
      <c r="D21" s="8" t="s">
        <v>7</v>
      </c>
      <c r="E21" s="2" t="s">
        <v>9</v>
      </c>
      <c r="F21" s="17"/>
      <c r="G21" s="10"/>
      <c r="H21" s="18"/>
      <c r="I21" s="12"/>
      <c r="J21" s="12"/>
    </row>
    <row r="22" ht="14.25" customHeight="1">
      <c r="A22" s="1">
        <v>46087.0</v>
      </c>
      <c r="B22" s="15" t="s">
        <v>39</v>
      </c>
      <c r="C22" s="16">
        <v>136.15</v>
      </c>
      <c r="D22" s="8" t="s">
        <v>7</v>
      </c>
      <c r="E22" s="15" t="s">
        <v>29</v>
      </c>
      <c r="F22" s="17"/>
      <c r="G22" s="10"/>
      <c r="H22" s="18"/>
      <c r="I22" s="12"/>
      <c r="J22" s="12"/>
    </row>
    <row r="23" ht="14.25" customHeight="1">
      <c r="A23" s="1">
        <v>46087.0</v>
      </c>
      <c r="B23" s="15" t="s">
        <v>40</v>
      </c>
      <c r="C23" s="16">
        <v>800.0</v>
      </c>
      <c r="D23" s="8" t="s">
        <v>7</v>
      </c>
      <c r="E23" s="2" t="s">
        <v>29</v>
      </c>
      <c r="F23" s="17"/>
      <c r="G23" s="10"/>
      <c r="H23" s="18"/>
      <c r="I23" s="12"/>
      <c r="J23" s="12"/>
    </row>
    <row r="24" ht="14.25" customHeight="1">
      <c r="A24" s="1">
        <v>46090.0</v>
      </c>
      <c r="B24" s="15" t="s">
        <v>41</v>
      </c>
      <c r="C24" s="16">
        <v>57.89</v>
      </c>
      <c r="D24" s="8" t="s">
        <v>7</v>
      </c>
      <c r="E24" s="2" t="s">
        <v>12</v>
      </c>
      <c r="F24" s="17"/>
      <c r="G24" s="12"/>
      <c r="H24" s="18"/>
      <c r="I24" s="12"/>
      <c r="J24" s="12"/>
    </row>
    <row r="25" ht="14.25" customHeight="1">
      <c r="A25" s="1">
        <v>46091.0</v>
      </c>
      <c r="B25" s="2" t="s">
        <v>11</v>
      </c>
      <c r="C25" s="16">
        <v>1336.73</v>
      </c>
      <c r="D25" s="8" t="s">
        <v>7</v>
      </c>
      <c r="E25" s="2" t="s">
        <v>12</v>
      </c>
      <c r="F25" s="19"/>
      <c r="G25" s="10"/>
      <c r="H25" s="18"/>
      <c r="I25" s="12"/>
      <c r="J25" s="12"/>
    </row>
    <row r="26" ht="14.25" customHeight="1">
      <c r="A26" s="1">
        <v>46091.0</v>
      </c>
      <c r="B26" s="2" t="s">
        <v>42</v>
      </c>
      <c r="C26" s="16">
        <v>65.0</v>
      </c>
      <c r="D26" s="8" t="s">
        <v>7</v>
      </c>
      <c r="E26" s="2" t="s">
        <v>12</v>
      </c>
      <c r="F26" s="19"/>
      <c r="G26" s="10"/>
      <c r="H26" s="18"/>
      <c r="I26" s="12"/>
      <c r="J26" s="12"/>
    </row>
    <row r="27" ht="14.25" customHeight="1">
      <c r="A27" s="1">
        <v>46092.0</v>
      </c>
      <c r="B27" s="15" t="s">
        <v>13</v>
      </c>
      <c r="C27" s="16">
        <v>86.15</v>
      </c>
      <c r="D27" s="8" t="s">
        <v>7</v>
      </c>
      <c r="E27" s="2" t="s">
        <v>12</v>
      </c>
      <c r="F27" s="19"/>
      <c r="G27" s="10"/>
      <c r="H27" s="18"/>
      <c r="I27" s="12"/>
      <c r="J27" s="12"/>
    </row>
    <row r="28" ht="14.25" customHeight="1">
      <c r="A28" s="1">
        <v>46092.0</v>
      </c>
      <c r="B28" s="15" t="s">
        <v>16</v>
      </c>
      <c r="C28" s="16">
        <v>50.0</v>
      </c>
      <c r="D28" s="8" t="s">
        <v>7</v>
      </c>
      <c r="E28" s="2" t="s">
        <v>12</v>
      </c>
      <c r="F28" s="19"/>
      <c r="G28" s="10"/>
      <c r="H28" s="18"/>
      <c r="I28" s="12"/>
      <c r="J28" s="12"/>
    </row>
    <row r="29" ht="14.25" customHeight="1">
      <c r="A29" s="1">
        <v>46094.0</v>
      </c>
      <c r="B29" s="15" t="s">
        <v>18</v>
      </c>
      <c r="C29" s="3">
        <v>473.73</v>
      </c>
      <c r="D29" s="8" t="s">
        <v>7</v>
      </c>
      <c r="E29" s="2" t="s">
        <v>12</v>
      </c>
      <c r="F29" s="19"/>
      <c r="G29" s="10"/>
      <c r="H29" s="18"/>
      <c r="I29" s="12"/>
      <c r="J29" s="12"/>
    </row>
    <row r="30" ht="14.25" customHeight="1">
      <c r="A30" s="1">
        <v>46094.0</v>
      </c>
      <c r="B30" s="15" t="s">
        <v>18</v>
      </c>
      <c r="C30" s="16">
        <v>508.07</v>
      </c>
      <c r="D30" s="8" t="s">
        <v>7</v>
      </c>
      <c r="E30" s="8" t="s">
        <v>14</v>
      </c>
      <c r="F30" s="19"/>
      <c r="G30" s="10"/>
      <c r="H30" s="18"/>
      <c r="I30" s="12"/>
      <c r="J30" s="12"/>
    </row>
    <row r="31" ht="14.25" customHeight="1">
      <c r="A31" s="1">
        <v>46094.0</v>
      </c>
      <c r="B31" s="15" t="s">
        <v>22</v>
      </c>
      <c r="C31" s="20">
        <v>660.99</v>
      </c>
      <c r="D31" s="8" t="s">
        <v>7</v>
      </c>
      <c r="E31" s="8" t="s">
        <v>14</v>
      </c>
      <c r="F31" s="19"/>
      <c r="G31" s="10"/>
      <c r="H31" s="18"/>
      <c r="I31" s="12"/>
      <c r="J31" s="12"/>
    </row>
    <row r="32" ht="14.25" customHeight="1">
      <c r="A32" s="1">
        <v>46094.0</v>
      </c>
      <c r="B32" s="15" t="s">
        <v>22</v>
      </c>
      <c r="C32" s="3">
        <v>807.2</v>
      </c>
      <c r="D32" s="8" t="s">
        <v>7</v>
      </c>
      <c r="E32" s="2" t="s">
        <v>21</v>
      </c>
      <c r="F32" s="19"/>
      <c r="G32" s="10"/>
      <c r="H32" s="18"/>
      <c r="I32" s="12"/>
      <c r="J32" s="12"/>
    </row>
    <row r="33" ht="14.25" customHeight="1">
      <c r="A33" s="1">
        <v>46094.0</v>
      </c>
      <c r="B33" s="15" t="s">
        <v>22</v>
      </c>
      <c r="C33" s="20">
        <v>1368.12</v>
      </c>
      <c r="D33" s="8" t="s">
        <v>7</v>
      </c>
      <c r="E33" s="8" t="s">
        <v>10</v>
      </c>
      <c r="F33" s="19"/>
      <c r="G33" s="10"/>
      <c r="H33" s="18"/>
      <c r="I33" s="12"/>
      <c r="J33" s="12"/>
    </row>
    <row r="34" ht="14.25" customHeight="1">
      <c r="A34" s="1">
        <v>46097.0</v>
      </c>
      <c r="B34" s="15" t="s">
        <v>20</v>
      </c>
      <c r="C34" s="16">
        <v>132.4</v>
      </c>
      <c r="D34" s="8" t="s">
        <v>7</v>
      </c>
      <c r="E34" s="2" t="s">
        <v>21</v>
      </c>
      <c r="F34" s="19"/>
      <c r="G34" s="10"/>
      <c r="H34" s="18"/>
      <c r="I34" s="12"/>
      <c r="J34" s="12"/>
    </row>
    <row r="35" ht="14.25" customHeight="1">
      <c r="A35" s="1">
        <v>46101.0</v>
      </c>
      <c r="B35" s="2" t="s">
        <v>6</v>
      </c>
      <c r="C35" s="16">
        <v>2894.0</v>
      </c>
      <c r="D35" s="8" t="s">
        <v>7</v>
      </c>
      <c r="E35" s="2" t="s">
        <v>25</v>
      </c>
      <c r="F35" s="19"/>
      <c r="G35" s="10"/>
      <c r="H35" s="18"/>
      <c r="I35" s="12"/>
      <c r="J35" s="12"/>
    </row>
    <row r="36" ht="14.25" customHeight="1">
      <c r="A36" s="1">
        <v>46101.0</v>
      </c>
      <c r="B36" s="2" t="s">
        <v>6</v>
      </c>
      <c r="C36" s="16">
        <v>4540.55</v>
      </c>
      <c r="D36" s="8" t="s">
        <v>7</v>
      </c>
      <c r="E36" s="2" t="s">
        <v>21</v>
      </c>
      <c r="F36" s="19"/>
      <c r="G36" s="10"/>
      <c r="H36" s="18"/>
      <c r="I36" s="12"/>
      <c r="J36" s="12"/>
    </row>
    <row r="37" ht="14.25" customHeight="1">
      <c r="A37" s="1">
        <v>46101.0</v>
      </c>
      <c r="B37" s="15" t="s">
        <v>43</v>
      </c>
      <c r="C37" s="16">
        <v>35.0</v>
      </c>
      <c r="D37" s="8" t="s">
        <v>7</v>
      </c>
      <c r="E37" s="2" t="s">
        <v>25</v>
      </c>
      <c r="F37" s="19"/>
      <c r="G37" s="10"/>
      <c r="H37" s="18"/>
      <c r="I37" s="12"/>
      <c r="J37" s="12"/>
    </row>
    <row r="38" ht="14.25" customHeight="1">
      <c r="A38" s="1">
        <v>46101.0</v>
      </c>
      <c r="B38" s="15" t="s">
        <v>26</v>
      </c>
      <c r="C38" s="16">
        <v>87.84</v>
      </c>
      <c r="D38" s="8" t="s">
        <v>7</v>
      </c>
      <c r="E38" s="2" t="s">
        <v>25</v>
      </c>
      <c r="F38" s="19"/>
      <c r="G38" s="10"/>
      <c r="H38" s="18"/>
      <c r="I38" s="12"/>
      <c r="J38" s="12"/>
    </row>
    <row r="39" ht="14.25" customHeight="1">
      <c r="A39" s="1">
        <v>46101.0</v>
      </c>
      <c r="B39" s="15" t="s">
        <v>44</v>
      </c>
      <c r="C39" s="16">
        <v>450.0</v>
      </c>
      <c r="D39" s="8" t="s">
        <v>7</v>
      </c>
      <c r="E39" s="2" t="s">
        <v>25</v>
      </c>
      <c r="F39" s="19"/>
      <c r="G39" s="10"/>
      <c r="H39" s="18"/>
      <c r="I39" s="12"/>
      <c r="J39" s="12"/>
    </row>
    <row r="40" ht="14.25" customHeight="1">
      <c r="A40" s="1">
        <v>46101.0</v>
      </c>
      <c r="B40" s="15" t="s">
        <v>45</v>
      </c>
      <c r="C40" s="16">
        <v>75.0</v>
      </c>
      <c r="D40" s="8" t="s">
        <v>7</v>
      </c>
      <c r="E40" s="2" t="s">
        <v>25</v>
      </c>
      <c r="F40" s="19"/>
      <c r="G40" s="10"/>
      <c r="H40" s="18"/>
      <c r="I40" s="12"/>
      <c r="J40" s="12"/>
    </row>
    <row r="41" ht="14.25" customHeight="1">
      <c r="A41" s="1">
        <v>46113.0</v>
      </c>
      <c r="B41" s="15" t="s">
        <v>46</v>
      </c>
      <c r="C41" s="21">
        <v>36.02</v>
      </c>
      <c r="D41" s="8" t="s">
        <v>7</v>
      </c>
      <c r="E41" s="2" t="s">
        <v>15</v>
      </c>
      <c r="F41" s="19"/>
      <c r="G41" s="10"/>
      <c r="H41" s="18"/>
      <c r="I41" s="12"/>
      <c r="J41" s="12"/>
    </row>
    <row r="42" ht="14.25" customHeight="1">
      <c r="A42" s="1">
        <v>46114.0</v>
      </c>
      <c r="B42" s="15" t="s">
        <v>47</v>
      </c>
      <c r="C42" s="16">
        <v>150.0</v>
      </c>
      <c r="D42" s="8" t="s">
        <v>7</v>
      </c>
      <c r="E42" s="2" t="s">
        <v>27</v>
      </c>
      <c r="F42" s="19"/>
      <c r="G42" s="10"/>
      <c r="H42" s="18"/>
      <c r="I42" s="12"/>
      <c r="J42" s="12"/>
    </row>
    <row r="43" ht="14.25" customHeight="1">
      <c r="A43" s="1">
        <v>46114.0</v>
      </c>
      <c r="B43" s="15" t="s">
        <v>28</v>
      </c>
      <c r="C43" s="16">
        <v>5310.25</v>
      </c>
      <c r="D43" s="8" t="s">
        <v>7</v>
      </c>
      <c r="E43" s="2" t="s">
        <v>27</v>
      </c>
      <c r="F43" s="19"/>
      <c r="G43" s="10"/>
      <c r="H43" s="18"/>
      <c r="I43" s="12"/>
      <c r="J43" s="12"/>
    </row>
    <row r="44" ht="14.25" customHeight="1">
      <c r="A44" s="1">
        <v>46114.0</v>
      </c>
      <c r="B44" s="15" t="s">
        <v>48</v>
      </c>
      <c r="C44" s="16">
        <v>170.0</v>
      </c>
      <c r="D44" s="15" t="s">
        <v>7</v>
      </c>
      <c r="E44" s="2" t="s">
        <v>27</v>
      </c>
      <c r="F44" s="19"/>
      <c r="G44" s="10"/>
      <c r="H44" s="18"/>
      <c r="I44" s="12"/>
      <c r="J44" s="12"/>
    </row>
    <row r="45" ht="14.25" customHeight="1">
      <c r="A45" s="1">
        <v>46114.0</v>
      </c>
      <c r="B45" s="15" t="s">
        <v>49</v>
      </c>
      <c r="C45" s="16">
        <v>900.0</v>
      </c>
      <c r="D45" s="8" t="s">
        <v>7</v>
      </c>
      <c r="E45" s="2" t="s">
        <v>27</v>
      </c>
      <c r="F45" s="19"/>
      <c r="G45" s="10"/>
      <c r="H45" s="18"/>
      <c r="I45" s="12"/>
      <c r="J45" s="12"/>
    </row>
    <row r="46" ht="14.25" customHeight="1">
      <c r="A46" s="1">
        <v>46114.0</v>
      </c>
      <c r="B46" s="15" t="s">
        <v>50</v>
      </c>
      <c r="C46" s="16">
        <v>170.0</v>
      </c>
      <c r="D46" s="8" t="s">
        <v>7</v>
      </c>
      <c r="E46" s="2" t="s">
        <v>27</v>
      </c>
      <c r="F46" s="19"/>
      <c r="G46" s="10"/>
      <c r="H46" s="18"/>
      <c r="I46" s="12"/>
      <c r="J46" s="12"/>
    </row>
    <row r="47" ht="14.25" customHeight="1">
      <c r="A47" s="1">
        <v>46114.0</v>
      </c>
      <c r="B47" s="15" t="s">
        <v>51</v>
      </c>
      <c r="C47" s="16">
        <v>52.0</v>
      </c>
      <c r="D47" s="15" t="s">
        <v>7</v>
      </c>
      <c r="E47" s="2" t="s">
        <v>27</v>
      </c>
      <c r="F47" s="19"/>
      <c r="G47" s="10"/>
      <c r="H47" s="18"/>
      <c r="I47" s="12"/>
      <c r="J47" s="12"/>
    </row>
    <row r="48" ht="14.25" customHeight="1">
      <c r="A48" s="1">
        <v>46114.0</v>
      </c>
      <c r="B48" s="15" t="s">
        <v>52</v>
      </c>
      <c r="C48" s="16">
        <v>120.0</v>
      </c>
      <c r="D48" s="8" t="s">
        <v>7</v>
      </c>
      <c r="E48" s="2" t="s">
        <v>27</v>
      </c>
      <c r="F48" s="19"/>
      <c r="G48" s="10"/>
      <c r="H48" s="18"/>
      <c r="I48" s="12"/>
      <c r="J48" s="12"/>
    </row>
    <row r="49" ht="14.25" customHeight="1">
      <c r="A49" s="1">
        <v>46114.0</v>
      </c>
      <c r="B49" s="15" t="s">
        <v>53</v>
      </c>
      <c r="C49" s="16">
        <v>35.0</v>
      </c>
      <c r="D49" s="15" t="s">
        <v>7</v>
      </c>
      <c r="E49" s="2" t="s">
        <v>27</v>
      </c>
      <c r="F49" s="19"/>
      <c r="G49" s="10"/>
      <c r="H49" s="18"/>
      <c r="I49" s="12"/>
      <c r="J49" s="12"/>
    </row>
    <row r="50" ht="14.25" customHeight="1">
      <c r="A50" s="22">
        <v>46118.0</v>
      </c>
      <c r="B50" s="15" t="s">
        <v>39</v>
      </c>
      <c r="C50" s="16">
        <v>182.8</v>
      </c>
      <c r="D50" s="15" t="s">
        <v>7</v>
      </c>
      <c r="E50" s="2" t="s">
        <v>25</v>
      </c>
      <c r="F50" s="19"/>
      <c r="G50" s="10"/>
      <c r="H50" s="18"/>
      <c r="I50" s="12"/>
      <c r="J50" s="12"/>
    </row>
    <row r="51" ht="14.25" customHeight="1">
      <c r="A51" s="22">
        <v>46118.0</v>
      </c>
      <c r="B51" s="15" t="s">
        <v>40</v>
      </c>
      <c r="C51" s="16">
        <v>950.0</v>
      </c>
      <c r="D51" s="8" t="s">
        <v>7</v>
      </c>
      <c r="E51" s="2" t="s">
        <v>27</v>
      </c>
      <c r="F51" s="19"/>
      <c r="G51" s="10"/>
      <c r="H51" s="18"/>
      <c r="I51" s="12"/>
      <c r="J51" s="12"/>
    </row>
    <row r="52" ht="14.25" customHeight="1">
      <c r="A52" s="1">
        <v>46120.0</v>
      </c>
      <c r="B52" s="15" t="s">
        <v>54</v>
      </c>
      <c r="C52" s="16">
        <v>65.6</v>
      </c>
      <c r="D52" s="15" t="s">
        <v>7</v>
      </c>
      <c r="E52" s="2" t="s">
        <v>25</v>
      </c>
      <c r="G52" s="16"/>
      <c r="H52" s="23"/>
    </row>
    <row r="53" ht="14.25" customHeight="1">
      <c r="A53" s="22">
        <v>46120.0</v>
      </c>
      <c r="B53" s="15" t="s">
        <v>55</v>
      </c>
      <c r="C53" s="16">
        <v>70.0</v>
      </c>
      <c r="D53" s="15" t="s">
        <v>7</v>
      </c>
      <c r="E53" s="2" t="s">
        <v>23</v>
      </c>
      <c r="G53" s="16"/>
      <c r="H53" s="23"/>
    </row>
    <row r="54" ht="14.25" customHeight="1">
      <c r="A54" s="1">
        <v>46122.0</v>
      </c>
      <c r="B54" s="2" t="s">
        <v>56</v>
      </c>
      <c r="C54" s="16">
        <v>434.75</v>
      </c>
      <c r="D54" s="15" t="s">
        <v>7</v>
      </c>
      <c r="E54" s="2" t="s">
        <v>23</v>
      </c>
      <c r="G54" s="16"/>
      <c r="H54" s="23"/>
    </row>
    <row r="55" ht="14.25" customHeight="1">
      <c r="A55" s="1">
        <v>46122.0</v>
      </c>
      <c r="B55" s="15" t="s">
        <v>57</v>
      </c>
      <c r="C55" s="16">
        <v>70.0</v>
      </c>
      <c r="D55" s="15" t="s">
        <v>7</v>
      </c>
      <c r="E55" s="2" t="s">
        <v>17</v>
      </c>
      <c r="G55" s="16"/>
      <c r="H55" s="23"/>
    </row>
    <row r="56" ht="14.25" customHeight="1">
      <c r="A56" s="1">
        <v>46122.0</v>
      </c>
      <c r="B56" s="2" t="s">
        <v>42</v>
      </c>
      <c r="C56" s="16">
        <v>65.0</v>
      </c>
      <c r="D56" s="15" t="s">
        <v>7</v>
      </c>
      <c r="E56" s="2" t="s">
        <v>17</v>
      </c>
      <c r="G56" s="16"/>
      <c r="H56" s="23"/>
    </row>
    <row r="57" ht="14.25" customHeight="1">
      <c r="A57" s="22">
        <v>46125.0</v>
      </c>
      <c r="B57" s="15" t="s">
        <v>18</v>
      </c>
      <c r="C57" s="16">
        <v>981.22</v>
      </c>
      <c r="D57" s="24" t="s">
        <v>7</v>
      </c>
      <c r="E57" s="2" t="s">
        <v>17</v>
      </c>
      <c r="G57" s="16"/>
      <c r="H57" s="23"/>
    </row>
    <row r="58" ht="14.25" customHeight="1">
      <c r="A58" s="25">
        <v>46126.0</v>
      </c>
      <c r="B58" s="15" t="s">
        <v>22</v>
      </c>
      <c r="C58" s="26">
        <v>151.71</v>
      </c>
      <c r="D58" s="24" t="s">
        <v>7</v>
      </c>
      <c r="E58" s="2" t="s">
        <v>23</v>
      </c>
      <c r="G58" s="16"/>
      <c r="H58" s="23"/>
    </row>
    <row r="59" ht="14.25" customHeight="1">
      <c r="A59" s="25">
        <v>46126.0</v>
      </c>
      <c r="B59" s="15" t="s">
        <v>22</v>
      </c>
      <c r="C59" s="27">
        <v>206.8</v>
      </c>
      <c r="D59" s="24" t="s">
        <v>7</v>
      </c>
      <c r="E59" s="2" t="s">
        <v>23</v>
      </c>
      <c r="G59" s="16"/>
      <c r="H59" s="23"/>
    </row>
    <row r="60" ht="14.25" customHeight="1">
      <c r="A60" s="25">
        <v>46126.0</v>
      </c>
      <c r="B60" s="15" t="s">
        <v>22</v>
      </c>
      <c r="C60" s="26">
        <v>2472.89</v>
      </c>
      <c r="D60" s="24" t="s">
        <v>7</v>
      </c>
      <c r="E60" s="2" t="s">
        <v>17</v>
      </c>
      <c r="G60" s="16"/>
      <c r="H60" s="23"/>
    </row>
    <row r="61" ht="14.25" customHeight="1">
      <c r="A61" s="22">
        <v>46127.0</v>
      </c>
      <c r="B61" s="15" t="s">
        <v>20</v>
      </c>
      <c r="C61" s="16">
        <v>132.4</v>
      </c>
      <c r="G61" s="16"/>
      <c r="H61" s="23"/>
    </row>
    <row r="62" ht="14.25" customHeight="1">
      <c r="A62" s="22">
        <v>46132.0</v>
      </c>
      <c r="B62" s="2" t="s">
        <v>6</v>
      </c>
      <c r="C62" s="27">
        <v>6350.01</v>
      </c>
      <c r="G62" s="16"/>
      <c r="H62" s="23"/>
    </row>
    <row r="63" ht="14.25" customHeight="1">
      <c r="A63" s="22">
        <v>46132.0</v>
      </c>
      <c r="B63" s="15" t="s">
        <v>13</v>
      </c>
      <c r="C63" s="16">
        <v>98.98</v>
      </c>
      <c r="G63" s="16"/>
      <c r="H63" s="23"/>
    </row>
    <row r="64" ht="14.25" customHeight="1">
      <c r="A64" s="22">
        <v>46132.0</v>
      </c>
      <c r="B64" s="15" t="s">
        <v>26</v>
      </c>
      <c r="C64" s="16">
        <v>113.31</v>
      </c>
      <c r="G64" s="16"/>
      <c r="H64" s="23"/>
    </row>
    <row r="65" ht="14.25" customHeight="1">
      <c r="A65" s="1">
        <v>46141.0</v>
      </c>
      <c r="B65" s="15" t="s">
        <v>58</v>
      </c>
      <c r="C65" s="16">
        <v>530.0</v>
      </c>
      <c r="G65" s="16"/>
      <c r="H65" s="23"/>
    </row>
    <row r="66" ht="14.25" customHeight="1">
      <c r="A66" s="1">
        <v>46146.0</v>
      </c>
      <c r="B66" s="15" t="s">
        <v>28</v>
      </c>
      <c r="C66" s="16">
        <v>1500.0</v>
      </c>
      <c r="G66" s="16"/>
      <c r="H66" s="23"/>
    </row>
    <row r="67" ht="14.25" customHeight="1">
      <c r="A67" s="22">
        <v>46148.0</v>
      </c>
      <c r="B67" s="15" t="s">
        <v>39</v>
      </c>
      <c r="C67" s="16">
        <v>195.0</v>
      </c>
      <c r="G67" s="16"/>
      <c r="H67" s="23"/>
    </row>
    <row r="68" ht="14.25" customHeight="1">
      <c r="A68" s="22">
        <v>46148.0</v>
      </c>
      <c r="B68" s="15" t="s">
        <v>40</v>
      </c>
      <c r="C68" s="16">
        <v>950.0</v>
      </c>
      <c r="G68" s="16"/>
      <c r="H68" s="23"/>
    </row>
    <row r="69" ht="14.25" customHeight="1">
      <c r="A69" s="22">
        <v>46150.0</v>
      </c>
      <c r="B69" s="15" t="s">
        <v>54</v>
      </c>
      <c r="C69" s="16">
        <v>120.0</v>
      </c>
      <c r="G69" s="16"/>
      <c r="H69" s="23"/>
    </row>
    <row r="70" ht="14.25" customHeight="1">
      <c r="A70" s="1">
        <v>46152.0</v>
      </c>
      <c r="B70" s="2" t="s">
        <v>42</v>
      </c>
      <c r="C70" s="16">
        <v>65.0</v>
      </c>
      <c r="G70" s="16"/>
      <c r="H70" s="23"/>
    </row>
    <row r="71" ht="14.25" customHeight="1">
      <c r="A71" s="22">
        <v>46153.0</v>
      </c>
      <c r="B71" s="15" t="s">
        <v>13</v>
      </c>
      <c r="C71" s="16">
        <v>95.05</v>
      </c>
      <c r="G71" s="16"/>
      <c r="H71" s="23"/>
    </row>
    <row r="72" ht="14.25" customHeight="1">
      <c r="A72" s="22">
        <v>46154.0</v>
      </c>
      <c r="B72" s="15" t="s">
        <v>18</v>
      </c>
      <c r="C72" s="16">
        <v>981.95</v>
      </c>
      <c r="G72" s="16"/>
      <c r="H72" s="23"/>
    </row>
    <row r="73" ht="14.25" customHeight="1">
      <c r="A73" s="22">
        <v>46154.0</v>
      </c>
      <c r="B73" s="15" t="s">
        <v>22</v>
      </c>
      <c r="C73" s="3">
        <v>2831.4</v>
      </c>
      <c r="G73" s="16"/>
      <c r="H73" s="23"/>
    </row>
    <row r="74" ht="14.25" customHeight="1">
      <c r="A74" s="22">
        <v>46154.0</v>
      </c>
      <c r="B74" s="15" t="s">
        <v>16</v>
      </c>
      <c r="C74" s="16">
        <v>50.0</v>
      </c>
      <c r="G74" s="16"/>
      <c r="H74" s="23"/>
    </row>
    <row r="75" ht="14.25" customHeight="1">
      <c r="A75" s="22">
        <v>46157.0</v>
      </c>
      <c r="B75" s="15" t="s">
        <v>20</v>
      </c>
      <c r="C75" s="16">
        <v>132.4</v>
      </c>
      <c r="G75" s="16"/>
      <c r="H75" s="23"/>
    </row>
    <row r="76" ht="14.25" customHeight="1">
      <c r="A76" s="22">
        <v>46162.0</v>
      </c>
      <c r="B76" s="2" t="s">
        <v>6</v>
      </c>
      <c r="C76" s="16">
        <v>7200.0</v>
      </c>
      <c r="G76" s="16"/>
      <c r="H76" s="23"/>
    </row>
    <row r="77" ht="14.25" customHeight="1">
      <c r="A77" s="22">
        <v>46162.0</v>
      </c>
      <c r="B77" s="15" t="s">
        <v>26</v>
      </c>
      <c r="C77" s="16">
        <v>113.31</v>
      </c>
      <c r="G77" s="16"/>
      <c r="H77" s="23"/>
    </row>
    <row r="78" ht="14.25" customHeight="1">
      <c r="A78" s="1">
        <v>46175.0</v>
      </c>
      <c r="B78" s="15" t="s">
        <v>28</v>
      </c>
      <c r="C78" s="16">
        <v>580.0</v>
      </c>
      <c r="G78" s="16"/>
      <c r="H78" s="23"/>
    </row>
    <row r="79" ht="14.25" customHeight="1">
      <c r="A79" s="22">
        <v>46178.0</v>
      </c>
      <c r="B79" s="15" t="s">
        <v>39</v>
      </c>
      <c r="C79" s="16">
        <v>195.0</v>
      </c>
      <c r="G79" s="16"/>
      <c r="H79" s="23"/>
    </row>
    <row r="80" ht="14.25" customHeight="1">
      <c r="A80" s="22">
        <v>46178.0</v>
      </c>
      <c r="B80" s="15" t="s">
        <v>40</v>
      </c>
      <c r="C80" s="16">
        <v>950.0</v>
      </c>
      <c r="G80" s="16"/>
      <c r="H80" s="23"/>
    </row>
    <row r="81" ht="14.25" customHeight="1">
      <c r="A81" s="1">
        <v>46181.0</v>
      </c>
      <c r="B81" s="15" t="s">
        <v>54</v>
      </c>
      <c r="C81" s="16">
        <v>120.0</v>
      </c>
      <c r="G81" s="16"/>
      <c r="H81" s="23"/>
    </row>
    <row r="82" ht="14.25" customHeight="1">
      <c r="A82" s="1">
        <v>46183.0</v>
      </c>
      <c r="B82" s="2" t="s">
        <v>42</v>
      </c>
      <c r="C82" s="16">
        <v>65.0</v>
      </c>
      <c r="G82" s="16"/>
      <c r="H82" s="23"/>
    </row>
    <row r="83" ht="14.25" customHeight="1">
      <c r="A83" s="1">
        <v>46183.0</v>
      </c>
      <c r="B83" s="15" t="s">
        <v>16</v>
      </c>
      <c r="C83" s="16">
        <v>50.0</v>
      </c>
      <c r="G83" s="16"/>
      <c r="H83" s="23"/>
    </row>
    <row r="84" ht="14.25" customHeight="1">
      <c r="A84" s="1">
        <v>46183.0</v>
      </c>
      <c r="B84" s="15" t="s">
        <v>58</v>
      </c>
      <c r="C84" s="16">
        <v>530.0</v>
      </c>
      <c r="G84" s="16"/>
      <c r="H84" s="23"/>
    </row>
    <row r="85" ht="14.25" customHeight="1">
      <c r="A85" s="1">
        <v>46184.0</v>
      </c>
      <c r="B85" s="15" t="s">
        <v>13</v>
      </c>
      <c r="C85" s="16">
        <v>95.12</v>
      </c>
      <c r="G85" s="16"/>
      <c r="H85" s="23"/>
    </row>
    <row r="86" ht="14.25" customHeight="1">
      <c r="A86" s="22">
        <v>46185.0</v>
      </c>
      <c r="B86" s="15" t="s">
        <v>18</v>
      </c>
      <c r="C86" s="16">
        <v>981.95</v>
      </c>
      <c r="G86" s="16"/>
      <c r="H86" s="23"/>
    </row>
    <row r="87" ht="14.25" customHeight="1">
      <c r="A87" s="22">
        <v>46185.0</v>
      </c>
      <c r="B87" s="15" t="s">
        <v>22</v>
      </c>
      <c r="C87" s="3">
        <v>2831.4</v>
      </c>
      <c r="G87" s="16"/>
      <c r="H87" s="23"/>
    </row>
    <row r="88" ht="14.25" customHeight="1">
      <c r="A88" s="22">
        <v>46188.0</v>
      </c>
      <c r="B88" s="15" t="s">
        <v>20</v>
      </c>
      <c r="C88" s="16">
        <v>132.4</v>
      </c>
      <c r="G88" s="16"/>
      <c r="H88" s="23"/>
    </row>
    <row r="89" ht="14.25" customHeight="1">
      <c r="A89" s="22">
        <v>46192.0</v>
      </c>
      <c r="B89" s="2" t="s">
        <v>6</v>
      </c>
      <c r="C89" s="16">
        <v>7200.0</v>
      </c>
      <c r="G89" s="16"/>
      <c r="H89" s="23"/>
    </row>
    <row r="90" ht="14.25" customHeight="1">
      <c r="A90" s="22">
        <v>46192.0</v>
      </c>
      <c r="B90" s="15" t="s">
        <v>26</v>
      </c>
      <c r="C90" s="16">
        <v>113.31</v>
      </c>
      <c r="G90" s="16"/>
      <c r="H90" s="23"/>
    </row>
    <row r="91" ht="14.25" customHeight="1">
      <c r="A91" s="1">
        <v>46205.0</v>
      </c>
      <c r="B91" s="15" t="s">
        <v>28</v>
      </c>
      <c r="C91" s="16">
        <v>930.0</v>
      </c>
      <c r="G91" s="16"/>
      <c r="H91" s="23"/>
    </row>
    <row r="92" ht="14.25" customHeight="1">
      <c r="A92" s="22">
        <v>46209.0</v>
      </c>
      <c r="B92" s="15" t="s">
        <v>39</v>
      </c>
      <c r="C92" s="16">
        <v>195.0</v>
      </c>
      <c r="G92" s="16"/>
      <c r="H92" s="23"/>
    </row>
    <row r="93" ht="14.25" customHeight="1">
      <c r="A93" s="22">
        <v>46209.0</v>
      </c>
      <c r="B93" s="15" t="s">
        <v>40</v>
      </c>
      <c r="C93" s="16">
        <v>950.0</v>
      </c>
      <c r="G93" s="16"/>
      <c r="H93" s="23"/>
    </row>
    <row r="94" ht="14.25" customHeight="1">
      <c r="A94" s="22">
        <v>46211.0</v>
      </c>
      <c r="B94" s="15" t="s">
        <v>54</v>
      </c>
      <c r="C94" s="16">
        <v>120.0</v>
      </c>
      <c r="G94" s="16"/>
      <c r="H94" s="23"/>
    </row>
    <row r="95" ht="14.25" customHeight="1">
      <c r="A95" s="1">
        <v>46213.0</v>
      </c>
      <c r="B95" s="2" t="s">
        <v>42</v>
      </c>
      <c r="C95" s="16">
        <v>65.0</v>
      </c>
      <c r="G95" s="16"/>
      <c r="H95" s="23"/>
    </row>
    <row r="96" ht="14.25" customHeight="1">
      <c r="A96" s="22">
        <v>46216.0</v>
      </c>
      <c r="B96" s="15" t="s">
        <v>18</v>
      </c>
      <c r="C96" s="16">
        <v>981.95</v>
      </c>
      <c r="G96" s="16"/>
      <c r="H96" s="23"/>
    </row>
    <row r="97" ht="14.25" customHeight="1">
      <c r="A97" s="22">
        <v>46216.0</v>
      </c>
      <c r="B97" s="15" t="s">
        <v>13</v>
      </c>
      <c r="C97" s="16">
        <v>95.12</v>
      </c>
      <c r="G97" s="16"/>
      <c r="H97" s="23"/>
    </row>
    <row r="98" ht="14.25" customHeight="1">
      <c r="A98" s="22">
        <v>46216.0</v>
      </c>
      <c r="B98" s="15" t="s">
        <v>22</v>
      </c>
      <c r="C98" s="3">
        <v>2831.4</v>
      </c>
      <c r="G98" s="16"/>
      <c r="H98" s="23"/>
    </row>
    <row r="99" ht="14.25" customHeight="1">
      <c r="A99" s="22">
        <v>46218.0</v>
      </c>
      <c r="B99" s="15" t="s">
        <v>20</v>
      </c>
      <c r="C99" s="16">
        <v>132.4</v>
      </c>
      <c r="G99" s="16"/>
      <c r="H99" s="23"/>
    </row>
    <row r="100" ht="14.25" customHeight="1">
      <c r="A100" s="22">
        <v>46218.0</v>
      </c>
      <c r="B100" s="15" t="s">
        <v>16</v>
      </c>
      <c r="C100" s="16">
        <v>50.0</v>
      </c>
      <c r="G100" s="16"/>
      <c r="H100" s="23"/>
    </row>
    <row r="101" ht="14.25" customHeight="1">
      <c r="A101" s="22">
        <v>46223.0</v>
      </c>
      <c r="B101" s="2" t="s">
        <v>6</v>
      </c>
      <c r="C101" s="16">
        <v>6800.0</v>
      </c>
      <c r="G101" s="16"/>
      <c r="H101" s="23"/>
    </row>
    <row r="102" ht="14.25" customHeight="1">
      <c r="A102" s="22">
        <v>46223.0</v>
      </c>
      <c r="B102" s="15" t="s">
        <v>26</v>
      </c>
      <c r="C102" s="16">
        <v>113.31</v>
      </c>
      <c r="G102" s="16"/>
      <c r="H102" s="23"/>
    </row>
    <row r="103" ht="14.25" customHeight="1">
      <c r="A103" s="1">
        <v>46237.0</v>
      </c>
      <c r="B103" s="15" t="s">
        <v>28</v>
      </c>
      <c r="C103" s="16">
        <v>1500.0</v>
      </c>
      <c r="G103" s="16"/>
      <c r="H103" s="23"/>
    </row>
    <row r="104" ht="14.25" customHeight="1">
      <c r="A104" s="22">
        <v>46239.0</v>
      </c>
      <c r="B104" s="15" t="s">
        <v>40</v>
      </c>
      <c r="C104" s="16">
        <v>950.0</v>
      </c>
      <c r="F104" s="19"/>
      <c r="G104" s="10"/>
      <c r="H104" s="18"/>
      <c r="I104" s="12"/>
      <c r="J104" s="12"/>
    </row>
    <row r="105" ht="14.25" customHeight="1">
      <c r="A105" s="22">
        <v>46240.0</v>
      </c>
      <c r="B105" s="15" t="s">
        <v>39</v>
      </c>
      <c r="C105" s="16">
        <v>195.0</v>
      </c>
      <c r="F105" s="19"/>
      <c r="G105" s="10"/>
      <c r="H105" s="18"/>
      <c r="I105" s="12"/>
      <c r="J105" s="12"/>
    </row>
    <row r="106" ht="14.25" customHeight="1">
      <c r="A106" s="22">
        <v>46240.0</v>
      </c>
      <c r="B106" s="15" t="s">
        <v>54</v>
      </c>
      <c r="C106" s="16">
        <v>120.0</v>
      </c>
      <c r="G106" s="16"/>
      <c r="H106" s="23"/>
    </row>
    <row r="107" ht="14.25" customHeight="1">
      <c r="A107" s="1">
        <v>46244.0</v>
      </c>
      <c r="B107" s="2" t="s">
        <v>42</v>
      </c>
      <c r="C107" s="16">
        <v>65.0</v>
      </c>
      <c r="G107" s="16"/>
      <c r="H107" s="23"/>
    </row>
    <row r="108" ht="14.25" customHeight="1">
      <c r="A108" s="22">
        <v>46245.0</v>
      </c>
      <c r="B108" s="15" t="s">
        <v>13</v>
      </c>
      <c r="C108" s="16">
        <v>95.12</v>
      </c>
      <c r="G108" s="16"/>
      <c r="H108" s="23"/>
    </row>
    <row r="109" ht="14.25" customHeight="1">
      <c r="A109" s="1">
        <v>46246.0</v>
      </c>
      <c r="B109" s="15" t="s">
        <v>18</v>
      </c>
      <c r="C109" s="16">
        <v>981.95</v>
      </c>
      <c r="G109" s="16"/>
      <c r="H109" s="23"/>
    </row>
    <row r="110" ht="14.25" customHeight="1">
      <c r="A110" s="1">
        <v>46246.0</v>
      </c>
      <c r="B110" s="15" t="s">
        <v>22</v>
      </c>
      <c r="C110" s="3">
        <v>2831.4</v>
      </c>
      <c r="G110" s="16"/>
      <c r="H110" s="23"/>
    </row>
    <row r="111" ht="14.25" customHeight="1">
      <c r="A111" s="1">
        <v>46246.0</v>
      </c>
      <c r="B111" s="15" t="s">
        <v>24</v>
      </c>
      <c r="C111" s="16">
        <v>460.0</v>
      </c>
      <c r="G111" s="16"/>
      <c r="H111" s="23"/>
    </row>
    <row r="112" ht="14.25" customHeight="1">
      <c r="A112" s="1">
        <v>46246.0</v>
      </c>
      <c r="B112" s="15" t="s">
        <v>16</v>
      </c>
      <c r="C112" s="16">
        <v>50.0</v>
      </c>
      <c r="G112" s="16"/>
      <c r="H112" s="23"/>
    </row>
    <row r="113" ht="14.25" customHeight="1">
      <c r="A113" s="1">
        <v>46246.0</v>
      </c>
      <c r="B113" s="15" t="s">
        <v>58</v>
      </c>
      <c r="C113" s="16">
        <v>530.0</v>
      </c>
      <c r="G113" s="16"/>
      <c r="H113" s="23"/>
    </row>
    <row r="114" ht="14.25" customHeight="1">
      <c r="A114" s="22">
        <v>46249.0</v>
      </c>
      <c r="B114" s="15" t="s">
        <v>20</v>
      </c>
      <c r="C114" s="16">
        <v>132.4</v>
      </c>
      <c r="G114" s="16"/>
      <c r="H114" s="23"/>
    </row>
    <row r="115" ht="14.25" customHeight="1">
      <c r="A115" s="22">
        <v>46254.0</v>
      </c>
      <c r="B115" s="2" t="s">
        <v>6</v>
      </c>
      <c r="C115" s="16">
        <v>5800.0</v>
      </c>
      <c r="G115" s="16"/>
      <c r="H115" s="23"/>
    </row>
    <row r="116" ht="14.25" customHeight="1">
      <c r="A116" s="22">
        <v>46254.0</v>
      </c>
      <c r="B116" s="15" t="s">
        <v>26</v>
      </c>
      <c r="C116" s="16">
        <v>113.31</v>
      </c>
      <c r="G116" s="16"/>
      <c r="H116" s="23"/>
    </row>
    <row r="117" ht="14.25" customHeight="1">
      <c r="A117" s="1">
        <v>46267.0</v>
      </c>
      <c r="B117" s="15" t="s">
        <v>28</v>
      </c>
      <c r="C117" s="16">
        <v>2000.0</v>
      </c>
      <c r="G117" s="16"/>
      <c r="H117" s="23"/>
    </row>
    <row r="118" ht="14.25" customHeight="1">
      <c r="A118" s="22">
        <v>46269.0</v>
      </c>
      <c r="B118" s="15" t="s">
        <v>40</v>
      </c>
      <c r="C118" s="16">
        <v>950.0</v>
      </c>
      <c r="G118" s="16"/>
      <c r="H118" s="23"/>
    </row>
    <row r="119" ht="14.25" customHeight="1">
      <c r="A119" s="22">
        <v>46271.0</v>
      </c>
      <c r="B119" s="15" t="s">
        <v>39</v>
      </c>
      <c r="C119" s="16">
        <v>195.0</v>
      </c>
      <c r="G119" s="16"/>
      <c r="H119" s="23"/>
    </row>
    <row r="120" ht="14.25" customHeight="1">
      <c r="A120" s="22">
        <v>46273.0</v>
      </c>
      <c r="B120" s="15" t="s">
        <v>54</v>
      </c>
      <c r="C120" s="16">
        <v>120.0</v>
      </c>
      <c r="G120" s="16"/>
      <c r="H120" s="23"/>
    </row>
    <row r="121" ht="14.25" customHeight="1">
      <c r="A121" s="22">
        <v>46273.0</v>
      </c>
      <c r="B121" s="15" t="s">
        <v>59</v>
      </c>
      <c r="C121" s="16">
        <v>90.0</v>
      </c>
      <c r="G121" s="16"/>
      <c r="H121" s="23"/>
    </row>
    <row r="122" ht="14.25" customHeight="1">
      <c r="A122" s="22">
        <v>46274.0</v>
      </c>
      <c r="B122" s="15" t="s">
        <v>16</v>
      </c>
      <c r="C122" s="16">
        <v>50.0</v>
      </c>
      <c r="G122" s="16"/>
      <c r="H122" s="23"/>
    </row>
    <row r="123" ht="14.25" customHeight="1">
      <c r="A123" s="1">
        <v>46275.0</v>
      </c>
      <c r="B123" s="2" t="s">
        <v>42</v>
      </c>
      <c r="C123" s="16">
        <v>65.0</v>
      </c>
      <c r="G123" s="16"/>
      <c r="H123" s="23"/>
    </row>
    <row r="124" ht="14.25" customHeight="1">
      <c r="A124" s="22">
        <v>46276.0</v>
      </c>
      <c r="B124" s="15" t="s">
        <v>18</v>
      </c>
      <c r="C124" s="16">
        <v>981.95</v>
      </c>
      <c r="G124" s="16"/>
      <c r="H124" s="23"/>
    </row>
    <row r="125" ht="14.25" customHeight="1">
      <c r="A125" s="22">
        <v>46276.0</v>
      </c>
      <c r="B125" s="15" t="s">
        <v>13</v>
      </c>
      <c r="C125" s="16">
        <v>95.12</v>
      </c>
      <c r="G125" s="16"/>
      <c r="H125" s="23"/>
    </row>
    <row r="126" ht="14.25" customHeight="1">
      <c r="A126" s="22">
        <v>46276.0</v>
      </c>
      <c r="B126" s="15" t="s">
        <v>22</v>
      </c>
      <c r="C126" s="3">
        <v>2831.4</v>
      </c>
      <c r="G126" s="16"/>
      <c r="H126" s="23"/>
    </row>
    <row r="127" ht="14.25" customHeight="1">
      <c r="A127" s="22">
        <v>46280.0</v>
      </c>
      <c r="B127" s="15" t="s">
        <v>20</v>
      </c>
      <c r="C127" s="16">
        <v>132.4</v>
      </c>
      <c r="G127" s="16"/>
      <c r="H127" s="23"/>
    </row>
    <row r="128" ht="14.25" customHeight="1">
      <c r="A128" s="22">
        <v>46285.0</v>
      </c>
      <c r="B128" s="2" t="s">
        <v>6</v>
      </c>
      <c r="C128" s="16">
        <v>6850.0</v>
      </c>
      <c r="G128" s="16"/>
      <c r="H128" s="23"/>
    </row>
    <row r="129" ht="14.25" customHeight="1">
      <c r="A129" s="22">
        <v>46286.0</v>
      </c>
      <c r="B129" s="15" t="s">
        <v>26</v>
      </c>
      <c r="C129" s="16">
        <v>113.31</v>
      </c>
      <c r="G129" s="16"/>
      <c r="H129" s="23"/>
    </row>
    <row r="130" ht="14.25" customHeight="1">
      <c r="A130" s="1">
        <v>46297.0</v>
      </c>
      <c r="B130" s="15" t="s">
        <v>28</v>
      </c>
      <c r="C130" s="16">
        <v>1800.0</v>
      </c>
      <c r="G130" s="16"/>
      <c r="H130" s="23"/>
    </row>
    <row r="131" ht="14.25" customHeight="1">
      <c r="A131" s="22">
        <v>46300.0</v>
      </c>
      <c r="B131" s="15" t="s">
        <v>40</v>
      </c>
      <c r="C131" s="16">
        <v>950.0</v>
      </c>
      <c r="G131" s="16"/>
      <c r="H131" s="23"/>
    </row>
    <row r="132" ht="14.25" customHeight="1">
      <c r="A132" s="22">
        <v>46301.0</v>
      </c>
      <c r="B132" s="15" t="s">
        <v>39</v>
      </c>
      <c r="C132" s="16">
        <v>195.0</v>
      </c>
      <c r="G132" s="16"/>
      <c r="H132" s="23"/>
    </row>
    <row r="133" ht="14.25" customHeight="1">
      <c r="A133" s="1">
        <v>46302.0</v>
      </c>
      <c r="B133" s="15" t="s">
        <v>58</v>
      </c>
      <c r="C133" s="16">
        <v>530.0</v>
      </c>
      <c r="G133" s="16"/>
      <c r="H133" s="23"/>
    </row>
    <row r="134" ht="14.25" customHeight="1">
      <c r="A134" s="1">
        <v>46303.0</v>
      </c>
      <c r="B134" s="15" t="s">
        <v>54</v>
      </c>
      <c r="C134" s="16">
        <v>120.0</v>
      </c>
      <c r="G134" s="16"/>
      <c r="H134" s="23"/>
    </row>
    <row r="135" ht="14.25" customHeight="1">
      <c r="A135" s="1">
        <v>46303.0</v>
      </c>
      <c r="B135" s="15" t="s">
        <v>59</v>
      </c>
      <c r="C135" s="16">
        <v>90.0</v>
      </c>
      <c r="G135" s="16"/>
      <c r="H135" s="23"/>
    </row>
    <row r="136" ht="14.25" customHeight="1">
      <c r="A136" s="1">
        <v>46303.0</v>
      </c>
      <c r="B136" s="15" t="s">
        <v>60</v>
      </c>
      <c r="C136" s="16">
        <v>119.8</v>
      </c>
      <c r="G136" s="16"/>
      <c r="H136" s="23"/>
    </row>
    <row r="137" ht="14.25" customHeight="1">
      <c r="A137" s="1">
        <v>46305.0</v>
      </c>
      <c r="B137" s="2" t="s">
        <v>42</v>
      </c>
      <c r="C137" s="16">
        <v>65.0</v>
      </c>
      <c r="G137" s="16"/>
      <c r="H137" s="23"/>
    </row>
    <row r="138" ht="14.25" customHeight="1">
      <c r="A138" s="22">
        <v>46308.0</v>
      </c>
      <c r="B138" s="15" t="s">
        <v>18</v>
      </c>
      <c r="C138" s="16">
        <v>981.95</v>
      </c>
      <c r="G138" s="16"/>
      <c r="H138" s="23"/>
    </row>
    <row r="139" ht="14.25" customHeight="1">
      <c r="A139" s="22">
        <v>46308.0</v>
      </c>
      <c r="B139" s="15" t="s">
        <v>13</v>
      </c>
      <c r="C139" s="16">
        <v>95.12</v>
      </c>
      <c r="G139" s="16"/>
      <c r="H139" s="23"/>
    </row>
    <row r="140" ht="14.25" customHeight="1">
      <c r="A140" s="22">
        <v>46308.0</v>
      </c>
      <c r="B140" s="15" t="s">
        <v>22</v>
      </c>
      <c r="C140" s="3">
        <v>2831.4</v>
      </c>
      <c r="G140" s="16"/>
      <c r="H140" s="23"/>
    </row>
    <row r="141" ht="14.25" customHeight="1">
      <c r="A141" s="22">
        <v>46308.0</v>
      </c>
      <c r="B141" s="15" t="s">
        <v>16</v>
      </c>
      <c r="C141" s="16">
        <v>50.0</v>
      </c>
      <c r="G141" s="16"/>
      <c r="H141" s="23"/>
    </row>
    <row r="142" ht="14.25" customHeight="1">
      <c r="A142" s="22">
        <v>46310.0</v>
      </c>
      <c r="B142" s="15" t="s">
        <v>20</v>
      </c>
      <c r="C142" s="16">
        <v>132.4</v>
      </c>
      <c r="G142" s="16"/>
      <c r="H142" s="23"/>
    </row>
    <row r="143" ht="14.25" customHeight="1">
      <c r="A143" s="1">
        <v>46315.0</v>
      </c>
      <c r="B143" s="2" t="s">
        <v>6</v>
      </c>
      <c r="C143" s="16">
        <v>6000.0</v>
      </c>
      <c r="G143" s="16"/>
      <c r="H143" s="23"/>
    </row>
    <row r="144" ht="14.25" customHeight="1">
      <c r="A144" s="1">
        <v>46315.0</v>
      </c>
      <c r="B144" s="15" t="s">
        <v>26</v>
      </c>
      <c r="C144" s="16">
        <v>113.31</v>
      </c>
      <c r="G144" s="16"/>
      <c r="H144" s="23"/>
    </row>
    <row r="145" ht="14.25" customHeight="1">
      <c r="A145" s="1">
        <v>46329.0</v>
      </c>
      <c r="B145" s="15" t="s">
        <v>28</v>
      </c>
      <c r="C145" s="16">
        <v>2200.0</v>
      </c>
      <c r="G145" s="16"/>
      <c r="H145" s="23"/>
    </row>
    <row r="146" ht="14.25" customHeight="1">
      <c r="A146" s="22">
        <v>46332.0</v>
      </c>
      <c r="B146" s="15" t="s">
        <v>39</v>
      </c>
      <c r="C146" s="16">
        <v>195.0</v>
      </c>
      <c r="G146" s="16"/>
      <c r="H146" s="23"/>
    </row>
    <row r="147" ht="14.25" customHeight="1">
      <c r="A147" s="22">
        <v>46332.0</v>
      </c>
      <c r="B147" s="15" t="s">
        <v>40</v>
      </c>
      <c r="C147" s="16">
        <v>950.0</v>
      </c>
      <c r="G147" s="16"/>
      <c r="H147" s="23"/>
    </row>
    <row r="148" ht="14.25" customHeight="1">
      <c r="A148" s="22">
        <v>46335.0</v>
      </c>
      <c r="B148" s="15" t="s">
        <v>54</v>
      </c>
      <c r="C148" s="16">
        <v>120.0</v>
      </c>
      <c r="G148" s="16"/>
      <c r="H148" s="23"/>
    </row>
    <row r="149" ht="14.25" customHeight="1">
      <c r="A149" s="22">
        <v>46335.0</v>
      </c>
      <c r="B149" s="15" t="s">
        <v>59</v>
      </c>
      <c r="C149" s="16">
        <v>90.0</v>
      </c>
      <c r="G149" s="16"/>
      <c r="H149" s="23"/>
    </row>
    <row r="150" ht="14.25" customHeight="1">
      <c r="A150" s="1">
        <v>46336.0</v>
      </c>
      <c r="B150" s="2" t="s">
        <v>42</v>
      </c>
      <c r="C150" s="16">
        <v>65.0</v>
      </c>
      <c r="G150" s="16"/>
      <c r="H150" s="23"/>
    </row>
    <row r="151" ht="14.25" customHeight="1">
      <c r="A151" s="22">
        <v>46337.0</v>
      </c>
      <c r="B151" s="15" t="s">
        <v>13</v>
      </c>
      <c r="C151" s="16">
        <v>95.12</v>
      </c>
      <c r="G151" s="16"/>
      <c r="H151" s="23"/>
    </row>
    <row r="152" ht="14.25" customHeight="1">
      <c r="A152" s="22">
        <v>46337.0</v>
      </c>
      <c r="B152" s="15" t="s">
        <v>16</v>
      </c>
      <c r="C152" s="16">
        <v>50.0</v>
      </c>
      <c r="G152" s="16"/>
      <c r="H152" s="23"/>
    </row>
    <row r="153" ht="14.25" customHeight="1">
      <c r="A153" s="22">
        <v>46338.0</v>
      </c>
      <c r="B153" s="15" t="s">
        <v>18</v>
      </c>
      <c r="C153" s="16">
        <v>981.95</v>
      </c>
      <c r="G153" s="16"/>
      <c r="H153" s="23"/>
    </row>
    <row r="154" ht="14.25" customHeight="1">
      <c r="A154" s="22">
        <v>46338.0</v>
      </c>
      <c r="B154" s="15" t="s">
        <v>22</v>
      </c>
      <c r="C154" s="3">
        <v>2831.4</v>
      </c>
      <c r="G154" s="16"/>
      <c r="H154" s="23"/>
    </row>
    <row r="155" ht="14.25" customHeight="1">
      <c r="A155" s="22">
        <v>46342.0</v>
      </c>
      <c r="B155" s="15" t="s">
        <v>20</v>
      </c>
      <c r="C155" s="16">
        <v>132.4</v>
      </c>
      <c r="G155" s="16"/>
      <c r="H155" s="23"/>
    </row>
    <row r="156" ht="14.25" customHeight="1">
      <c r="A156" s="22">
        <v>46346.0</v>
      </c>
      <c r="B156" s="2" t="s">
        <v>6</v>
      </c>
      <c r="C156" s="16">
        <v>5750.0</v>
      </c>
      <c r="G156" s="16"/>
      <c r="H156" s="23"/>
    </row>
    <row r="157" ht="14.25" customHeight="1">
      <c r="A157" s="22">
        <v>46346.0</v>
      </c>
      <c r="B157" s="15" t="s">
        <v>26</v>
      </c>
      <c r="C157" s="16">
        <v>113.31</v>
      </c>
      <c r="G157" s="16"/>
      <c r="H157" s="23"/>
    </row>
    <row r="158" ht="14.25" customHeight="1">
      <c r="A158" s="1">
        <v>46358.0</v>
      </c>
      <c r="B158" s="15" t="s">
        <v>28</v>
      </c>
      <c r="C158" s="16">
        <v>1880.0</v>
      </c>
      <c r="G158" s="16"/>
      <c r="H158" s="23"/>
    </row>
    <row r="159" ht="14.25" customHeight="1">
      <c r="A159" s="1">
        <v>46360.0</v>
      </c>
      <c r="B159" s="15" t="s">
        <v>40</v>
      </c>
      <c r="C159" s="16">
        <v>950.0</v>
      </c>
      <c r="G159" s="16"/>
      <c r="H159" s="23"/>
    </row>
    <row r="160" ht="14.25" customHeight="1">
      <c r="A160" s="22">
        <v>46363.0</v>
      </c>
      <c r="B160" s="15" t="s">
        <v>39</v>
      </c>
      <c r="C160" s="16">
        <v>195.0</v>
      </c>
      <c r="G160" s="16"/>
      <c r="H160" s="23"/>
    </row>
    <row r="161" ht="14.25" customHeight="1">
      <c r="A161" s="1">
        <v>46364.0</v>
      </c>
      <c r="B161" s="15" t="s">
        <v>54</v>
      </c>
      <c r="C161" s="16">
        <v>120.0</v>
      </c>
      <c r="G161" s="16"/>
      <c r="H161" s="23"/>
    </row>
    <row r="162" ht="14.25" customHeight="1">
      <c r="A162" s="22">
        <v>46365.0</v>
      </c>
      <c r="B162" s="15" t="s">
        <v>16</v>
      </c>
      <c r="C162" s="16">
        <v>50.0</v>
      </c>
      <c r="G162" s="16"/>
      <c r="H162" s="23"/>
    </row>
    <row r="163" ht="14.25" customHeight="1">
      <c r="A163" s="1">
        <v>46365.0</v>
      </c>
      <c r="B163" s="15" t="s">
        <v>58</v>
      </c>
      <c r="C163" s="16">
        <v>530.0</v>
      </c>
      <c r="G163" s="16"/>
      <c r="H163" s="23"/>
    </row>
    <row r="164" ht="14.25" customHeight="1">
      <c r="A164" s="1">
        <v>46366.0</v>
      </c>
      <c r="B164" s="2" t="s">
        <v>42</v>
      </c>
      <c r="C164" s="16">
        <v>65.0</v>
      </c>
      <c r="G164" s="16"/>
      <c r="H164" s="23"/>
    </row>
    <row r="165" ht="14.25" customHeight="1">
      <c r="A165" s="22">
        <v>46367.0</v>
      </c>
      <c r="B165" s="15" t="s">
        <v>18</v>
      </c>
      <c r="C165" s="16">
        <v>981.95</v>
      </c>
      <c r="G165" s="16"/>
      <c r="H165" s="23"/>
    </row>
    <row r="166" ht="14.25" customHeight="1">
      <c r="A166" s="22">
        <v>46367.0</v>
      </c>
      <c r="B166" s="15" t="s">
        <v>13</v>
      </c>
      <c r="C166" s="16">
        <v>95.12</v>
      </c>
      <c r="G166" s="16"/>
      <c r="H166" s="23"/>
    </row>
    <row r="167" ht="14.25" customHeight="1">
      <c r="A167" s="22">
        <v>46367.0</v>
      </c>
      <c r="B167" s="15" t="s">
        <v>22</v>
      </c>
      <c r="C167" s="3">
        <v>2831.4</v>
      </c>
      <c r="G167" s="16"/>
      <c r="H167" s="23"/>
    </row>
    <row r="168" ht="14.25" customHeight="1">
      <c r="A168" s="22">
        <v>46367.0</v>
      </c>
      <c r="B168" s="15" t="s">
        <v>61</v>
      </c>
      <c r="C168" s="16">
        <v>2900.0</v>
      </c>
      <c r="G168" s="16"/>
      <c r="H168" s="23"/>
    </row>
    <row r="169" ht="14.25" customHeight="1">
      <c r="A169" s="22">
        <v>46368.0</v>
      </c>
      <c r="B169" s="15" t="s">
        <v>20</v>
      </c>
      <c r="C169" s="16">
        <v>132.4</v>
      </c>
      <c r="G169" s="16"/>
      <c r="H169" s="23"/>
    </row>
    <row r="170" ht="14.25" customHeight="1">
      <c r="A170" s="22">
        <v>46376.0</v>
      </c>
      <c r="B170" s="2" t="s">
        <v>6</v>
      </c>
      <c r="C170" s="16">
        <v>6250.0</v>
      </c>
      <c r="G170" s="16"/>
      <c r="H170" s="23"/>
    </row>
    <row r="171" ht="14.25" customHeight="1">
      <c r="A171" s="22">
        <v>46377.0</v>
      </c>
      <c r="B171" s="15" t="s">
        <v>26</v>
      </c>
      <c r="C171" s="16">
        <v>113.31</v>
      </c>
      <c r="G171" s="16"/>
      <c r="H171" s="23"/>
    </row>
    <row r="172" ht="14.25" customHeight="1">
      <c r="A172" s="22">
        <v>46391.0</v>
      </c>
      <c r="B172" s="15" t="s">
        <v>28</v>
      </c>
      <c r="C172" s="16">
        <v>2000.0</v>
      </c>
      <c r="G172" s="16"/>
      <c r="H172" s="23"/>
    </row>
    <row r="173" ht="14.25" customHeight="1">
      <c r="A173" s="22">
        <v>46393.0</v>
      </c>
      <c r="B173" s="15" t="s">
        <v>39</v>
      </c>
      <c r="C173" s="16">
        <v>281.1</v>
      </c>
      <c r="G173" s="16"/>
      <c r="H173" s="23"/>
    </row>
    <row r="174" ht="14.25" customHeight="1">
      <c r="A174" s="22">
        <v>46393.0</v>
      </c>
      <c r="B174" s="15" t="s">
        <v>40</v>
      </c>
      <c r="C174" s="16">
        <v>950.0</v>
      </c>
      <c r="G174" s="16"/>
      <c r="H174" s="23"/>
    </row>
    <row r="175" ht="14.25" customHeight="1">
      <c r="A175" s="22">
        <v>46395.0</v>
      </c>
      <c r="B175" s="15" t="s">
        <v>54</v>
      </c>
      <c r="C175" s="16">
        <v>120.0</v>
      </c>
      <c r="G175" s="16"/>
      <c r="H175" s="23"/>
    </row>
    <row r="176" ht="14.25" customHeight="1">
      <c r="A176" s="1">
        <v>46397.0</v>
      </c>
      <c r="B176" s="2" t="s">
        <v>42</v>
      </c>
      <c r="C176" s="16">
        <v>65.0</v>
      </c>
      <c r="G176" s="16"/>
      <c r="H176" s="23"/>
    </row>
    <row r="177" ht="14.25" customHeight="1">
      <c r="A177" s="22">
        <v>46398.0</v>
      </c>
      <c r="B177" s="15" t="s">
        <v>13</v>
      </c>
      <c r="C177" s="16">
        <v>105.37</v>
      </c>
      <c r="G177" s="16"/>
      <c r="H177" s="23"/>
    </row>
    <row r="178" ht="14.25" customHeight="1">
      <c r="A178" s="22">
        <v>46399.0</v>
      </c>
      <c r="B178" s="15" t="s">
        <v>18</v>
      </c>
      <c r="C178" s="16">
        <v>983.13</v>
      </c>
      <c r="G178" s="16"/>
      <c r="H178" s="23"/>
    </row>
    <row r="179" ht="14.25" customHeight="1">
      <c r="A179" s="22">
        <v>46400.0</v>
      </c>
      <c r="B179" s="15" t="s">
        <v>16</v>
      </c>
      <c r="C179" s="16">
        <v>50.0</v>
      </c>
      <c r="G179" s="16"/>
      <c r="H179" s="23"/>
    </row>
    <row r="180" ht="14.25" customHeight="1">
      <c r="A180" s="22">
        <v>46403.0</v>
      </c>
      <c r="B180" s="15" t="s">
        <v>20</v>
      </c>
      <c r="C180" s="16">
        <v>135.89</v>
      </c>
      <c r="G180" s="16"/>
      <c r="H180" s="23"/>
    </row>
    <row r="181" ht="14.25" customHeight="1">
      <c r="A181" s="22">
        <v>46407.0</v>
      </c>
      <c r="B181" s="2" t="s">
        <v>6</v>
      </c>
      <c r="C181" s="16">
        <v>7796.0</v>
      </c>
      <c r="G181" s="16"/>
      <c r="H181" s="23"/>
    </row>
    <row r="182" ht="14.25" customHeight="1">
      <c r="A182" s="22">
        <v>46407.0</v>
      </c>
      <c r="B182" s="15" t="s">
        <v>26</v>
      </c>
      <c r="C182" s="16">
        <v>102.36</v>
      </c>
      <c r="G182" s="16"/>
      <c r="H182" s="23"/>
    </row>
    <row r="183" ht="14.25" customHeight="1">
      <c r="A183" s="22">
        <v>46420.0</v>
      </c>
      <c r="B183" s="15" t="s">
        <v>28</v>
      </c>
      <c r="C183" s="16">
        <v>1800.0</v>
      </c>
      <c r="G183" s="16"/>
      <c r="H183" s="23"/>
    </row>
    <row r="184" ht="14.25" customHeight="1">
      <c r="A184" s="22">
        <v>46422.0</v>
      </c>
      <c r="B184" s="15" t="s">
        <v>39</v>
      </c>
      <c r="C184" s="16">
        <v>195.05</v>
      </c>
      <c r="G184" s="16"/>
      <c r="H184" s="23"/>
    </row>
    <row r="185" ht="14.25" customHeight="1">
      <c r="A185" s="22">
        <v>46422.0</v>
      </c>
      <c r="B185" s="15" t="s">
        <v>40</v>
      </c>
      <c r="C185" s="16">
        <v>950.0</v>
      </c>
      <c r="G185" s="16"/>
      <c r="H185" s="23"/>
    </row>
    <row r="186" ht="14.25" customHeight="1">
      <c r="A186" s="22">
        <v>46426.0</v>
      </c>
      <c r="B186" s="15" t="s">
        <v>54</v>
      </c>
      <c r="C186" s="16">
        <v>120.0</v>
      </c>
      <c r="G186" s="16"/>
      <c r="H186" s="23"/>
    </row>
    <row r="187" ht="14.25" customHeight="1">
      <c r="A187" s="1">
        <v>46428.0</v>
      </c>
      <c r="B187" s="2" t="s">
        <v>42</v>
      </c>
      <c r="C187" s="16">
        <v>65.0</v>
      </c>
      <c r="G187" s="16"/>
      <c r="H187" s="23"/>
    </row>
    <row r="188" ht="14.25" customHeight="1">
      <c r="A188" s="22">
        <v>46428.0</v>
      </c>
      <c r="B188" s="15" t="s">
        <v>16</v>
      </c>
      <c r="C188" s="16">
        <v>50.0</v>
      </c>
      <c r="E188" s="2"/>
      <c r="G188" s="16"/>
      <c r="H188" s="23"/>
    </row>
    <row r="189" ht="14.25" customHeight="1">
      <c r="A189" s="22">
        <v>46428.0</v>
      </c>
      <c r="B189" s="15" t="s">
        <v>58</v>
      </c>
      <c r="C189" s="16">
        <v>530.0</v>
      </c>
      <c r="G189" s="16"/>
      <c r="H189" s="23"/>
    </row>
    <row r="190" ht="14.25" customHeight="1">
      <c r="A190" s="22">
        <v>46429.0</v>
      </c>
      <c r="B190" s="15" t="s">
        <v>13</v>
      </c>
      <c r="C190" s="16">
        <v>95.12</v>
      </c>
      <c r="G190" s="16"/>
      <c r="H190" s="23"/>
    </row>
    <row r="191" ht="14.25" customHeight="1">
      <c r="A191" s="22">
        <v>46430.0</v>
      </c>
      <c r="B191" s="15" t="s">
        <v>18</v>
      </c>
      <c r="C191" s="16">
        <v>981.95</v>
      </c>
      <c r="G191" s="16"/>
      <c r="H191" s="23"/>
    </row>
    <row r="192" ht="14.25" customHeight="1">
      <c r="A192" s="22">
        <v>46430.0</v>
      </c>
      <c r="B192" s="22" t="s">
        <v>19</v>
      </c>
      <c r="C192" s="16">
        <v>1407.65</v>
      </c>
      <c r="G192" s="16"/>
      <c r="H192" s="23"/>
    </row>
    <row r="193" ht="14.25" customHeight="1">
      <c r="A193" s="22">
        <v>46433.0</v>
      </c>
      <c r="B193" s="15" t="s">
        <v>20</v>
      </c>
      <c r="C193" s="16">
        <v>132.4</v>
      </c>
      <c r="G193" s="16"/>
      <c r="H193" s="23"/>
    </row>
    <row r="194" ht="14.25" customHeight="1">
      <c r="A194" s="22">
        <v>46437.0</v>
      </c>
      <c r="B194" s="2" t="s">
        <v>6</v>
      </c>
      <c r="C194" s="16">
        <v>6004.07</v>
      </c>
      <c r="G194" s="16"/>
      <c r="H194" s="23"/>
    </row>
    <row r="195" ht="14.25" customHeight="1">
      <c r="A195" s="22">
        <v>46437.0</v>
      </c>
      <c r="B195" s="15" t="s">
        <v>26</v>
      </c>
      <c r="C195" s="16">
        <v>113.31</v>
      </c>
      <c r="G195" s="16"/>
      <c r="H195" s="23"/>
    </row>
    <row r="196" ht="14.25" customHeight="1">
      <c r="A196" s="22">
        <v>46437.0</v>
      </c>
      <c r="B196" s="15" t="s">
        <v>22</v>
      </c>
      <c r="C196" s="16">
        <v>2831.4</v>
      </c>
      <c r="G196" s="16"/>
      <c r="H196" s="23"/>
    </row>
    <row r="197" ht="14.25" customHeight="1">
      <c r="A197" s="22">
        <v>46437.0</v>
      </c>
      <c r="B197" s="15" t="s">
        <v>24</v>
      </c>
      <c r="C197" s="16">
        <v>460.0</v>
      </c>
      <c r="G197" s="16"/>
      <c r="H197" s="23"/>
    </row>
    <row r="198" ht="14.25" customHeight="1">
      <c r="A198" s="1">
        <v>46448.0</v>
      </c>
      <c r="B198" s="15" t="s">
        <v>28</v>
      </c>
      <c r="C198" s="16">
        <v>1771.95</v>
      </c>
      <c r="G198" s="16"/>
      <c r="H198" s="23"/>
    </row>
    <row r="199" ht="14.25" customHeight="1">
      <c r="A199" s="1">
        <v>46451.0</v>
      </c>
      <c r="B199" s="15" t="s">
        <v>30</v>
      </c>
      <c r="C199" s="16">
        <v>64.89</v>
      </c>
      <c r="G199" s="16"/>
      <c r="H199" s="23"/>
    </row>
    <row r="200" ht="14.25" customHeight="1">
      <c r="A200" s="1">
        <v>46451.0</v>
      </c>
      <c r="B200" s="15" t="s">
        <v>62</v>
      </c>
      <c r="C200" s="16">
        <v>141.8</v>
      </c>
      <c r="G200" s="16"/>
      <c r="H200" s="23"/>
    </row>
    <row r="201" ht="14.25" customHeight="1">
      <c r="A201" s="1">
        <v>46452.0</v>
      </c>
      <c r="B201" s="15" t="s">
        <v>39</v>
      </c>
      <c r="C201" s="16">
        <v>136.15</v>
      </c>
      <c r="G201" s="16"/>
      <c r="H201" s="23"/>
    </row>
    <row r="202" ht="14.25" customHeight="1">
      <c r="A202" s="1">
        <v>46452.0</v>
      </c>
      <c r="B202" s="15" t="s">
        <v>40</v>
      </c>
      <c r="C202" s="16">
        <v>800.0</v>
      </c>
      <c r="G202" s="16"/>
      <c r="H202" s="23"/>
    </row>
    <row r="203" ht="14.25" customHeight="1">
      <c r="A203" s="1">
        <v>46455.0</v>
      </c>
      <c r="B203" s="15" t="s">
        <v>41</v>
      </c>
      <c r="C203" s="16">
        <v>57.89</v>
      </c>
      <c r="G203" s="16"/>
      <c r="H203" s="23"/>
    </row>
    <row r="204" ht="14.25" customHeight="1">
      <c r="A204" s="1">
        <v>46456.0</v>
      </c>
      <c r="B204" s="2" t="s">
        <v>11</v>
      </c>
      <c r="C204" s="16">
        <v>1336.73</v>
      </c>
      <c r="G204" s="16"/>
      <c r="H204" s="23"/>
    </row>
    <row r="205" ht="14.25" customHeight="1">
      <c r="A205" s="1">
        <v>46456.0</v>
      </c>
      <c r="B205" s="2" t="s">
        <v>42</v>
      </c>
      <c r="C205" s="16">
        <v>65.0</v>
      </c>
      <c r="G205" s="16"/>
      <c r="H205" s="23"/>
    </row>
    <row r="206" ht="14.25" customHeight="1">
      <c r="A206" s="1">
        <v>46457.0</v>
      </c>
      <c r="B206" s="15" t="s">
        <v>13</v>
      </c>
      <c r="C206" s="16">
        <v>86.15</v>
      </c>
      <c r="G206" s="16"/>
      <c r="H206" s="23"/>
    </row>
    <row r="207" ht="14.25" customHeight="1">
      <c r="A207" s="1">
        <v>46457.0</v>
      </c>
      <c r="B207" s="15" t="s">
        <v>16</v>
      </c>
      <c r="C207" s="16">
        <v>50.0</v>
      </c>
      <c r="G207" s="16"/>
      <c r="H207" s="23"/>
    </row>
    <row r="208" ht="14.25" customHeight="1">
      <c r="A208" s="22">
        <v>46458.0</v>
      </c>
      <c r="B208" s="15" t="s">
        <v>18</v>
      </c>
      <c r="C208" s="16">
        <v>981.22</v>
      </c>
      <c r="G208" s="16"/>
      <c r="H208" s="23"/>
    </row>
    <row r="209" ht="14.25" customHeight="1">
      <c r="A209" s="22">
        <v>46458.0</v>
      </c>
      <c r="B209" s="15" t="s">
        <v>22</v>
      </c>
      <c r="C209" s="3">
        <v>2831.4</v>
      </c>
      <c r="G209" s="16"/>
      <c r="H209" s="23"/>
    </row>
    <row r="210" ht="14.25" customHeight="1">
      <c r="A210" s="1">
        <v>46462.0</v>
      </c>
      <c r="B210" s="15" t="s">
        <v>20</v>
      </c>
      <c r="C210" s="16">
        <v>132.4</v>
      </c>
      <c r="G210" s="16"/>
      <c r="H210" s="23"/>
    </row>
    <row r="211" ht="14.25" customHeight="1">
      <c r="A211" s="1">
        <v>46466.0</v>
      </c>
      <c r="B211" s="2" t="s">
        <v>6</v>
      </c>
      <c r="C211" s="16">
        <v>7494.55</v>
      </c>
      <c r="G211" s="16"/>
      <c r="H211" s="23"/>
    </row>
    <row r="212" ht="14.25" customHeight="1">
      <c r="A212" s="1">
        <v>46466.0</v>
      </c>
      <c r="B212" s="15" t="s">
        <v>26</v>
      </c>
      <c r="C212" s="16">
        <v>87.84</v>
      </c>
      <c r="G212" s="16"/>
      <c r="H212" s="23"/>
    </row>
    <row r="213" ht="14.25" customHeight="1">
      <c r="A213" s="1">
        <v>46477.0</v>
      </c>
      <c r="B213" s="15" t="s">
        <v>46</v>
      </c>
      <c r="C213" s="16">
        <v>35.62</v>
      </c>
      <c r="G213" s="16"/>
      <c r="H213" s="23"/>
    </row>
    <row r="214" ht="14.25" customHeight="1">
      <c r="A214" s="22"/>
      <c r="B214" s="22"/>
      <c r="C214" s="16"/>
      <c r="G214" s="16"/>
      <c r="H214" s="23"/>
    </row>
    <row r="215" ht="14.25" customHeight="1">
      <c r="A215" s="22"/>
      <c r="B215" s="22"/>
      <c r="C215" s="16"/>
      <c r="G215" s="16"/>
      <c r="H215" s="23"/>
    </row>
    <row r="216" ht="14.25" customHeight="1">
      <c r="A216" s="22"/>
      <c r="B216" s="22"/>
      <c r="C216" s="16"/>
      <c r="G216" s="16"/>
      <c r="H216" s="23"/>
    </row>
    <row r="217" ht="14.25" customHeight="1">
      <c r="A217" s="22"/>
      <c r="B217" s="22"/>
      <c r="C217" s="16"/>
      <c r="G217" s="16"/>
      <c r="H217" s="23"/>
    </row>
    <row r="218" ht="14.25" customHeight="1">
      <c r="A218" s="22"/>
      <c r="B218" s="22"/>
      <c r="C218" s="16"/>
      <c r="G218" s="16"/>
      <c r="H218" s="23"/>
    </row>
    <row r="219" ht="14.25" customHeight="1">
      <c r="A219" s="22"/>
      <c r="B219" s="22"/>
      <c r="C219" s="16"/>
      <c r="G219" s="16"/>
      <c r="H219" s="23"/>
    </row>
    <row r="220" ht="14.25" customHeight="1">
      <c r="A220" s="22"/>
      <c r="B220" s="22"/>
      <c r="C220" s="16"/>
      <c r="G220" s="16"/>
      <c r="H220" s="23"/>
    </row>
    <row r="221" ht="14.25" customHeight="1">
      <c r="A221" s="22"/>
      <c r="B221" s="22"/>
      <c r="C221" s="16"/>
      <c r="G221" s="16"/>
      <c r="H221" s="23"/>
    </row>
    <row r="222" ht="14.25" customHeight="1">
      <c r="A222" s="22"/>
      <c r="B222" s="22"/>
      <c r="C222" s="16"/>
      <c r="G222" s="16"/>
      <c r="H222" s="23"/>
    </row>
    <row r="223" ht="14.25" customHeight="1">
      <c r="A223" s="22"/>
      <c r="B223" s="22"/>
      <c r="C223" s="16"/>
      <c r="G223" s="16"/>
      <c r="H223" s="23"/>
    </row>
    <row r="224" ht="14.25" customHeight="1">
      <c r="A224" s="22"/>
      <c r="B224" s="22"/>
      <c r="C224" s="16"/>
      <c r="G224" s="16"/>
      <c r="H224" s="23"/>
    </row>
    <row r="225" ht="14.25" customHeight="1">
      <c r="A225" s="22"/>
      <c r="B225" s="22"/>
      <c r="C225" s="16"/>
      <c r="G225" s="16"/>
      <c r="H225" s="23"/>
    </row>
    <row r="226" ht="14.25" customHeight="1">
      <c r="A226" s="22"/>
      <c r="B226" s="22"/>
      <c r="C226" s="16"/>
      <c r="G226" s="16"/>
      <c r="H226" s="23"/>
    </row>
    <row r="227" ht="14.25" customHeight="1">
      <c r="A227" s="22"/>
      <c r="B227" s="22"/>
      <c r="C227" s="16"/>
      <c r="G227" s="16"/>
      <c r="H227" s="23"/>
    </row>
    <row r="228" ht="14.25" customHeight="1">
      <c r="A228" s="22"/>
      <c r="B228" s="22"/>
      <c r="C228" s="16"/>
      <c r="G228" s="16"/>
      <c r="H228" s="23"/>
    </row>
    <row r="229" ht="14.25" customHeight="1">
      <c r="A229" s="22"/>
      <c r="B229" s="22"/>
      <c r="C229" s="16"/>
      <c r="G229" s="16"/>
      <c r="H229" s="23"/>
    </row>
    <row r="230" ht="14.25" customHeight="1">
      <c r="A230" s="22"/>
      <c r="B230" s="22"/>
      <c r="C230" s="16"/>
      <c r="G230" s="16"/>
      <c r="H230" s="23"/>
    </row>
    <row r="231" ht="14.25" customHeight="1">
      <c r="A231" s="22"/>
      <c r="B231" s="22"/>
      <c r="C231" s="16"/>
      <c r="G231" s="16"/>
      <c r="H231" s="23"/>
    </row>
    <row r="232" ht="14.25" customHeight="1">
      <c r="A232" s="22"/>
      <c r="B232" s="22"/>
      <c r="C232" s="16"/>
      <c r="G232" s="16"/>
      <c r="H232" s="23"/>
    </row>
    <row r="233" ht="14.25" customHeight="1">
      <c r="A233" s="22"/>
      <c r="B233" s="22"/>
      <c r="C233" s="16"/>
      <c r="G233" s="16"/>
      <c r="H233" s="23"/>
    </row>
    <row r="234" ht="14.25" customHeight="1">
      <c r="A234" s="22"/>
      <c r="B234" s="22"/>
      <c r="C234" s="16"/>
      <c r="G234" s="16"/>
      <c r="H234" s="23"/>
    </row>
    <row r="235" ht="14.25" customHeight="1">
      <c r="A235" s="22"/>
      <c r="B235" s="22"/>
      <c r="C235" s="16"/>
      <c r="G235" s="16"/>
      <c r="H235" s="23"/>
    </row>
    <row r="236" ht="14.25" customHeight="1">
      <c r="A236" s="22"/>
      <c r="B236" s="22"/>
      <c r="C236" s="16"/>
      <c r="G236" s="16"/>
      <c r="H236" s="23"/>
    </row>
    <row r="237" ht="14.25" customHeight="1">
      <c r="A237" s="22"/>
      <c r="B237" s="22"/>
      <c r="C237" s="16"/>
      <c r="G237" s="16"/>
      <c r="H237" s="23"/>
    </row>
    <row r="238" ht="14.25" customHeight="1">
      <c r="A238" s="22"/>
      <c r="B238" s="22"/>
      <c r="C238" s="16"/>
      <c r="G238" s="16"/>
      <c r="H238" s="23"/>
    </row>
    <row r="239" ht="14.25" customHeight="1">
      <c r="A239" s="22"/>
      <c r="B239" s="22"/>
      <c r="C239" s="16"/>
      <c r="G239" s="16"/>
      <c r="H239" s="23"/>
    </row>
    <row r="240" ht="14.25" customHeight="1">
      <c r="A240" s="22"/>
      <c r="B240" s="22"/>
      <c r="C240" s="16"/>
      <c r="G240" s="16"/>
      <c r="H240" s="23"/>
    </row>
    <row r="241" ht="14.25" customHeight="1">
      <c r="A241" s="22"/>
      <c r="B241" s="22"/>
      <c r="C241" s="16"/>
      <c r="G241" s="16"/>
      <c r="H241" s="23"/>
    </row>
    <row r="242" ht="14.25" customHeight="1">
      <c r="A242" s="22"/>
      <c r="B242" s="22"/>
      <c r="C242" s="16"/>
      <c r="G242" s="16"/>
      <c r="H242" s="23"/>
    </row>
    <row r="243" ht="14.25" customHeight="1">
      <c r="A243" s="22"/>
      <c r="B243" s="22"/>
      <c r="C243" s="16"/>
      <c r="G243" s="16"/>
      <c r="H243" s="23"/>
    </row>
    <row r="244" ht="14.25" customHeight="1">
      <c r="A244" s="22"/>
      <c r="B244" s="22"/>
      <c r="C244" s="16"/>
      <c r="G244" s="16"/>
      <c r="H244" s="23"/>
    </row>
    <row r="245" ht="14.25" customHeight="1">
      <c r="A245" s="22"/>
      <c r="B245" s="22"/>
      <c r="C245" s="16"/>
      <c r="G245" s="16"/>
      <c r="H245" s="23"/>
    </row>
    <row r="246" ht="14.25" customHeight="1">
      <c r="A246" s="22"/>
      <c r="B246" s="22"/>
      <c r="C246" s="16"/>
      <c r="G246" s="16"/>
      <c r="H246" s="23"/>
    </row>
    <row r="247" ht="14.25" customHeight="1">
      <c r="A247" s="22"/>
      <c r="B247" s="22"/>
      <c r="C247" s="16"/>
      <c r="G247" s="16"/>
      <c r="H247" s="23"/>
    </row>
    <row r="248" ht="14.25" customHeight="1">
      <c r="A248" s="22"/>
      <c r="B248" s="22"/>
      <c r="C248" s="16"/>
      <c r="G248" s="16"/>
      <c r="H248" s="23"/>
    </row>
    <row r="249" ht="14.25" customHeight="1">
      <c r="A249" s="22"/>
      <c r="B249" s="22"/>
      <c r="C249" s="16"/>
      <c r="G249" s="16"/>
      <c r="H249" s="23"/>
    </row>
    <row r="250" ht="14.25" customHeight="1">
      <c r="A250" s="22"/>
      <c r="B250" s="22"/>
      <c r="C250" s="16"/>
      <c r="G250" s="16"/>
      <c r="H250" s="23"/>
    </row>
    <row r="251" ht="14.25" customHeight="1">
      <c r="A251" s="22"/>
      <c r="B251" s="22"/>
      <c r="C251" s="16"/>
      <c r="G251" s="16"/>
      <c r="H251" s="23"/>
    </row>
    <row r="252" ht="14.25" customHeight="1">
      <c r="A252" s="22"/>
      <c r="B252" s="22"/>
      <c r="C252" s="16"/>
      <c r="G252" s="16"/>
      <c r="H252" s="23"/>
    </row>
    <row r="253" ht="14.25" customHeight="1">
      <c r="A253" s="22"/>
      <c r="B253" s="22"/>
      <c r="C253" s="16"/>
      <c r="G253" s="16"/>
      <c r="H253" s="23"/>
    </row>
    <row r="254" ht="14.25" customHeight="1">
      <c r="A254" s="22"/>
      <c r="B254" s="22"/>
      <c r="C254" s="16"/>
      <c r="G254" s="16"/>
      <c r="H254" s="23"/>
    </row>
    <row r="255" ht="14.25" customHeight="1">
      <c r="A255" s="22"/>
      <c r="B255" s="22"/>
      <c r="C255" s="16"/>
      <c r="G255" s="16"/>
      <c r="H255" s="23"/>
    </row>
    <row r="256" ht="14.25" customHeight="1">
      <c r="A256" s="22"/>
      <c r="B256" s="22"/>
      <c r="C256" s="16"/>
      <c r="G256" s="16"/>
      <c r="H256" s="23"/>
    </row>
    <row r="257" ht="14.25" customHeight="1">
      <c r="A257" s="22"/>
      <c r="B257" s="22"/>
      <c r="C257" s="16"/>
      <c r="G257" s="16"/>
      <c r="H257" s="23"/>
    </row>
    <row r="258" ht="14.25" customHeight="1">
      <c r="A258" s="22"/>
      <c r="B258" s="22"/>
      <c r="C258" s="16"/>
      <c r="G258" s="16"/>
      <c r="H258" s="23"/>
    </row>
    <row r="259" ht="14.25" customHeight="1">
      <c r="A259" s="22"/>
      <c r="B259" s="22"/>
      <c r="C259" s="16"/>
      <c r="G259" s="16"/>
      <c r="H259" s="23"/>
    </row>
    <row r="260" ht="14.25" customHeight="1">
      <c r="A260" s="22"/>
      <c r="B260" s="22"/>
      <c r="C260" s="16"/>
      <c r="G260" s="16"/>
      <c r="H260" s="23"/>
    </row>
    <row r="261" ht="14.25" customHeight="1">
      <c r="A261" s="22"/>
      <c r="B261" s="22"/>
      <c r="C261" s="16"/>
      <c r="G261" s="16"/>
      <c r="H261" s="23"/>
    </row>
    <row r="262" ht="14.25" customHeight="1">
      <c r="A262" s="22"/>
      <c r="B262" s="22"/>
      <c r="C262" s="16"/>
      <c r="G262" s="16"/>
      <c r="H262" s="23"/>
    </row>
    <row r="263" ht="14.25" customHeight="1">
      <c r="A263" s="22"/>
      <c r="B263" s="22"/>
      <c r="C263" s="16"/>
      <c r="G263" s="16"/>
      <c r="H263" s="23"/>
    </row>
    <row r="264" ht="14.25" customHeight="1">
      <c r="A264" s="22"/>
      <c r="B264" s="22"/>
      <c r="C264" s="16"/>
      <c r="G264" s="16"/>
      <c r="H264" s="23"/>
    </row>
    <row r="265" ht="14.25" customHeight="1">
      <c r="A265" s="22"/>
      <c r="B265" s="22"/>
      <c r="C265" s="16"/>
      <c r="G265" s="16"/>
      <c r="H265" s="23"/>
    </row>
    <row r="266" ht="14.25" customHeight="1">
      <c r="A266" s="22"/>
      <c r="B266" s="22"/>
      <c r="C266" s="16"/>
      <c r="G266" s="16"/>
      <c r="H266" s="23"/>
    </row>
    <row r="267" ht="14.25" customHeight="1">
      <c r="A267" s="22"/>
      <c r="B267" s="22"/>
      <c r="C267" s="16"/>
      <c r="G267" s="16"/>
      <c r="H267" s="23"/>
    </row>
    <row r="268" ht="14.25" customHeight="1">
      <c r="A268" s="22"/>
      <c r="B268" s="22"/>
      <c r="C268" s="16"/>
      <c r="G268" s="16"/>
      <c r="H268" s="23"/>
    </row>
    <row r="269" ht="14.25" customHeight="1">
      <c r="A269" s="22"/>
      <c r="B269" s="22"/>
      <c r="C269" s="16"/>
      <c r="G269" s="16"/>
      <c r="H269" s="23"/>
    </row>
    <row r="270" ht="14.25" customHeight="1">
      <c r="A270" s="22"/>
      <c r="B270" s="22"/>
      <c r="C270" s="16"/>
      <c r="G270" s="16"/>
      <c r="H270" s="23"/>
    </row>
    <row r="271" ht="14.25" customHeight="1">
      <c r="A271" s="22"/>
      <c r="B271" s="22"/>
      <c r="C271" s="16"/>
      <c r="G271" s="16"/>
      <c r="H271" s="23"/>
    </row>
    <row r="272" ht="14.25" customHeight="1">
      <c r="A272" s="22"/>
      <c r="B272" s="22"/>
      <c r="C272" s="16"/>
      <c r="G272" s="16"/>
      <c r="H272" s="23"/>
    </row>
    <row r="273" ht="14.25" customHeight="1">
      <c r="A273" s="22"/>
      <c r="B273" s="22"/>
      <c r="C273" s="16"/>
      <c r="G273" s="16"/>
      <c r="H273" s="23"/>
    </row>
    <row r="274" ht="14.25" customHeight="1">
      <c r="A274" s="22"/>
      <c r="B274" s="22"/>
      <c r="C274" s="16"/>
      <c r="G274" s="16"/>
      <c r="H274" s="23"/>
    </row>
    <row r="275" ht="14.25" customHeight="1">
      <c r="A275" s="22"/>
      <c r="B275" s="22"/>
      <c r="C275" s="16"/>
      <c r="G275" s="16"/>
      <c r="H275" s="23"/>
    </row>
    <row r="276" ht="14.25" customHeight="1">
      <c r="A276" s="22"/>
      <c r="B276" s="22"/>
      <c r="C276" s="16"/>
      <c r="G276" s="16"/>
      <c r="H276" s="23"/>
    </row>
    <row r="277" ht="14.25" customHeight="1">
      <c r="A277" s="22"/>
      <c r="B277" s="22"/>
      <c r="C277" s="16"/>
      <c r="G277" s="16"/>
      <c r="H277" s="23"/>
    </row>
    <row r="278" ht="14.25" customHeight="1">
      <c r="A278" s="22"/>
      <c r="B278" s="22"/>
      <c r="C278" s="16"/>
      <c r="G278" s="16"/>
      <c r="H278" s="23"/>
    </row>
    <row r="279" ht="14.25" customHeight="1">
      <c r="A279" s="22"/>
      <c r="B279" s="22"/>
      <c r="C279" s="16"/>
      <c r="G279" s="16"/>
      <c r="H279" s="23"/>
    </row>
    <row r="280" ht="14.25" customHeight="1">
      <c r="A280" s="22"/>
      <c r="B280" s="22"/>
      <c r="C280" s="16"/>
      <c r="G280" s="16"/>
      <c r="H280" s="23"/>
    </row>
    <row r="281" ht="14.25" customHeight="1">
      <c r="A281" s="22"/>
      <c r="B281" s="22"/>
      <c r="C281" s="16"/>
      <c r="G281" s="16"/>
      <c r="H281" s="23"/>
    </row>
    <row r="282" ht="14.25" customHeight="1">
      <c r="A282" s="22"/>
      <c r="B282" s="22"/>
      <c r="C282" s="16"/>
      <c r="G282" s="16"/>
      <c r="H282" s="23"/>
    </row>
    <row r="283" ht="14.25" customHeight="1">
      <c r="A283" s="22"/>
      <c r="B283" s="22"/>
      <c r="C283" s="16"/>
      <c r="G283" s="16"/>
      <c r="H283" s="23"/>
    </row>
    <row r="284" ht="14.25" customHeight="1">
      <c r="A284" s="22"/>
      <c r="B284" s="22"/>
      <c r="C284" s="16"/>
      <c r="G284" s="16"/>
      <c r="H284" s="23"/>
    </row>
    <row r="285" ht="14.25" customHeight="1">
      <c r="A285" s="22"/>
      <c r="B285" s="22"/>
      <c r="C285" s="16"/>
      <c r="G285" s="16"/>
      <c r="H285" s="23"/>
    </row>
    <row r="286" ht="14.25" customHeight="1">
      <c r="A286" s="22"/>
      <c r="B286" s="22"/>
      <c r="C286" s="16"/>
      <c r="G286" s="16"/>
      <c r="H286" s="23"/>
    </row>
    <row r="287" ht="14.25" customHeight="1">
      <c r="A287" s="22"/>
      <c r="B287" s="22"/>
      <c r="C287" s="16"/>
      <c r="G287" s="16"/>
      <c r="H287" s="23"/>
    </row>
    <row r="288" ht="14.25" customHeight="1">
      <c r="A288" s="22"/>
      <c r="B288" s="22"/>
      <c r="C288" s="16"/>
      <c r="G288" s="16"/>
      <c r="H288" s="23"/>
    </row>
    <row r="289" ht="14.25" customHeight="1">
      <c r="A289" s="22"/>
      <c r="B289" s="22"/>
      <c r="C289" s="16"/>
      <c r="G289" s="16"/>
      <c r="H289" s="23"/>
    </row>
    <row r="290" ht="14.25" customHeight="1">
      <c r="A290" s="22"/>
      <c r="B290" s="22"/>
      <c r="C290" s="16"/>
      <c r="G290" s="16"/>
      <c r="H290" s="23"/>
    </row>
    <row r="291" ht="14.25" customHeight="1">
      <c r="A291" s="22"/>
      <c r="B291" s="22"/>
      <c r="C291" s="16"/>
      <c r="G291" s="16"/>
      <c r="H291" s="23"/>
    </row>
    <row r="292" ht="14.25" customHeight="1">
      <c r="A292" s="22"/>
      <c r="B292" s="22"/>
      <c r="C292" s="16"/>
      <c r="G292" s="16"/>
      <c r="H292" s="23"/>
    </row>
    <row r="293" ht="14.25" customHeight="1">
      <c r="A293" s="22"/>
      <c r="B293" s="22"/>
      <c r="C293" s="16"/>
      <c r="G293" s="16"/>
      <c r="H293" s="23"/>
    </row>
    <row r="294" ht="14.25" customHeight="1">
      <c r="A294" s="22"/>
      <c r="B294" s="22"/>
      <c r="C294" s="16"/>
      <c r="G294" s="16"/>
      <c r="H294" s="23"/>
    </row>
    <row r="295" ht="14.25" customHeight="1">
      <c r="A295" s="22"/>
      <c r="B295" s="22"/>
      <c r="C295" s="16"/>
      <c r="G295" s="16"/>
      <c r="H295" s="23"/>
    </row>
    <row r="296" ht="14.25" customHeight="1">
      <c r="A296" s="22"/>
      <c r="B296" s="22"/>
      <c r="C296" s="16"/>
      <c r="G296" s="16"/>
      <c r="H296" s="23"/>
    </row>
    <row r="297" ht="14.25" customHeight="1">
      <c r="A297" s="22"/>
      <c r="B297" s="22"/>
      <c r="C297" s="16"/>
      <c r="G297" s="16"/>
      <c r="H297" s="23"/>
    </row>
    <row r="298" ht="14.25" customHeight="1">
      <c r="A298" s="22"/>
      <c r="B298" s="22"/>
      <c r="C298" s="16"/>
      <c r="G298" s="16"/>
      <c r="H298" s="23"/>
    </row>
    <row r="299" ht="14.25" customHeight="1">
      <c r="A299" s="22"/>
      <c r="B299" s="22"/>
      <c r="C299" s="16"/>
      <c r="G299" s="16"/>
      <c r="H299" s="23"/>
    </row>
    <row r="300" ht="14.25" customHeight="1">
      <c r="A300" s="22"/>
      <c r="B300" s="22"/>
      <c r="C300" s="16"/>
      <c r="G300" s="16"/>
      <c r="H300" s="23"/>
    </row>
    <row r="301" ht="14.25" customHeight="1">
      <c r="A301" s="22"/>
      <c r="B301" s="22"/>
      <c r="C301" s="16"/>
      <c r="G301" s="16"/>
      <c r="H301" s="23"/>
    </row>
    <row r="302" ht="14.25" customHeight="1">
      <c r="A302" s="22"/>
      <c r="B302" s="22"/>
      <c r="C302" s="16"/>
      <c r="G302" s="16"/>
      <c r="H302" s="23"/>
    </row>
    <row r="303" ht="14.25" customHeight="1">
      <c r="A303" s="22"/>
      <c r="B303" s="22"/>
      <c r="C303" s="16"/>
      <c r="G303" s="16"/>
      <c r="H303" s="23"/>
    </row>
    <row r="304" ht="14.25" customHeight="1">
      <c r="A304" s="22"/>
      <c r="B304" s="22"/>
      <c r="C304" s="16"/>
      <c r="G304" s="16"/>
      <c r="H304" s="23"/>
    </row>
    <row r="305" ht="14.25" customHeight="1">
      <c r="A305" s="22"/>
      <c r="B305" s="22"/>
      <c r="C305" s="16"/>
      <c r="G305" s="16"/>
      <c r="H305" s="23"/>
    </row>
    <row r="306" ht="14.25" customHeight="1">
      <c r="A306" s="22"/>
      <c r="B306" s="22"/>
      <c r="C306" s="16"/>
      <c r="G306" s="16"/>
      <c r="H306" s="23"/>
    </row>
    <row r="307" ht="14.25" customHeight="1">
      <c r="A307" s="22"/>
      <c r="B307" s="22"/>
      <c r="C307" s="16"/>
      <c r="G307" s="16"/>
      <c r="H307" s="23"/>
    </row>
    <row r="308" ht="14.25" customHeight="1">
      <c r="A308" s="22"/>
      <c r="B308" s="22"/>
      <c r="C308" s="16"/>
      <c r="G308" s="16"/>
      <c r="H308" s="23"/>
    </row>
    <row r="309" ht="14.25" customHeight="1">
      <c r="A309" s="22"/>
      <c r="B309" s="22"/>
      <c r="C309" s="16"/>
      <c r="G309" s="16"/>
      <c r="H309" s="23"/>
    </row>
    <row r="310" ht="14.25" customHeight="1">
      <c r="A310" s="22"/>
      <c r="B310" s="22"/>
      <c r="C310" s="16"/>
      <c r="G310" s="16"/>
      <c r="H310" s="23"/>
    </row>
    <row r="311" ht="14.25" customHeight="1">
      <c r="A311" s="22"/>
      <c r="B311" s="22"/>
      <c r="C311" s="16"/>
      <c r="G311" s="16"/>
      <c r="H311" s="23"/>
    </row>
    <row r="312" ht="14.25" customHeight="1">
      <c r="A312" s="22"/>
      <c r="B312" s="22"/>
      <c r="C312" s="16"/>
      <c r="G312" s="16"/>
      <c r="H312" s="23"/>
    </row>
    <row r="313" ht="14.25" customHeight="1">
      <c r="A313" s="22"/>
      <c r="B313" s="22"/>
      <c r="C313" s="16"/>
      <c r="G313" s="16"/>
      <c r="H313" s="23"/>
    </row>
    <row r="314" ht="14.25" customHeight="1">
      <c r="A314" s="28"/>
      <c r="B314" s="28"/>
      <c r="C314" s="29"/>
      <c r="G314" s="16"/>
      <c r="H314" s="23"/>
    </row>
    <row r="315" ht="14.25" customHeight="1">
      <c r="A315" s="28"/>
      <c r="B315" s="28"/>
      <c r="C315" s="29"/>
      <c r="G315" s="16"/>
      <c r="H315" s="23"/>
    </row>
    <row r="316" ht="14.25" customHeight="1">
      <c r="A316" s="28"/>
      <c r="B316" s="28"/>
      <c r="C316" s="29"/>
      <c r="G316" s="16"/>
      <c r="H316" s="23"/>
    </row>
    <row r="317" ht="14.25" customHeight="1">
      <c r="A317" s="28"/>
      <c r="B317" s="28"/>
      <c r="C317" s="29"/>
      <c r="G317" s="16"/>
      <c r="H317" s="23"/>
    </row>
    <row r="318" ht="14.25" customHeight="1">
      <c r="A318" s="28"/>
      <c r="B318" s="28"/>
      <c r="C318" s="29"/>
      <c r="G318" s="16"/>
      <c r="H318" s="23"/>
    </row>
    <row r="319" ht="14.25" customHeight="1">
      <c r="A319" s="28"/>
      <c r="B319" s="28"/>
      <c r="C319" s="29"/>
      <c r="G319" s="16"/>
      <c r="H319" s="23"/>
    </row>
    <row r="320" ht="14.25" customHeight="1">
      <c r="A320" s="28"/>
      <c r="B320" s="28"/>
      <c r="C320" s="29"/>
      <c r="G320" s="16"/>
      <c r="H320" s="23"/>
    </row>
    <row r="321" ht="14.25" customHeight="1">
      <c r="A321" s="28"/>
      <c r="B321" s="28"/>
      <c r="C321" s="29"/>
      <c r="G321" s="16"/>
      <c r="H321" s="23"/>
    </row>
    <row r="322" ht="14.25" customHeight="1">
      <c r="A322" s="28"/>
      <c r="B322" s="28"/>
      <c r="C322" s="29"/>
      <c r="G322" s="16"/>
      <c r="H322" s="23"/>
    </row>
    <row r="323" ht="14.25" customHeight="1">
      <c r="A323" s="28"/>
      <c r="B323" s="28"/>
      <c r="C323" s="29"/>
      <c r="G323" s="16"/>
      <c r="H323" s="23"/>
    </row>
    <row r="324" ht="14.25" customHeight="1">
      <c r="A324" s="28"/>
      <c r="B324" s="28"/>
      <c r="C324" s="29"/>
      <c r="G324" s="16"/>
      <c r="H324" s="23"/>
    </row>
    <row r="325" ht="14.25" customHeight="1">
      <c r="A325" s="28"/>
      <c r="B325" s="28"/>
      <c r="C325" s="29"/>
      <c r="G325" s="16"/>
      <c r="H325" s="23"/>
    </row>
    <row r="326" ht="14.25" customHeight="1">
      <c r="A326" s="28"/>
      <c r="B326" s="28"/>
      <c r="C326" s="29"/>
      <c r="G326" s="16"/>
      <c r="H326" s="23"/>
    </row>
    <row r="327" ht="14.25" customHeight="1">
      <c r="A327" s="28"/>
      <c r="B327" s="28"/>
      <c r="C327" s="29"/>
      <c r="G327" s="16"/>
      <c r="H327" s="23"/>
    </row>
    <row r="328" ht="14.25" customHeight="1">
      <c r="A328" s="28"/>
      <c r="B328" s="28"/>
      <c r="C328" s="29"/>
      <c r="G328" s="16"/>
      <c r="H328" s="23"/>
    </row>
    <row r="329" ht="14.25" customHeight="1">
      <c r="A329" s="28"/>
      <c r="B329" s="28"/>
      <c r="C329" s="29"/>
      <c r="G329" s="16"/>
      <c r="H329" s="23"/>
    </row>
    <row r="330" ht="14.25" customHeight="1">
      <c r="A330" s="28"/>
      <c r="B330" s="28"/>
      <c r="C330" s="29"/>
      <c r="G330" s="16"/>
      <c r="H330" s="23"/>
    </row>
    <row r="331" ht="14.25" customHeight="1">
      <c r="A331" s="28"/>
      <c r="B331" s="28"/>
      <c r="C331" s="29"/>
      <c r="G331" s="16"/>
      <c r="H331" s="23"/>
    </row>
    <row r="332" ht="14.25" customHeight="1">
      <c r="A332" s="28"/>
      <c r="B332" s="28"/>
      <c r="C332" s="29"/>
      <c r="G332" s="16"/>
      <c r="H332" s="23"/>
    </row>
    <row r="333" ht="14.25" customHeight="1">
      <c r="A333" s="28"/>
      <c r="B333" s="28"/>
      <c r="C333" s="29"/>
      <c r="G333" s="16"/>
      <c r="H333" s="23"/>
    </row>
    <row r="334" ht="14.25" customHeight="1">
      <c r="A334" s="28"/>
      <c r="B334" s="28"/>
      <c r="C334" s="29"/>
      <c r="G334" s="16"/>
      <c r="H334" s="23"/>
    </row>
    <row r="335" ht="14.25" customHeight="1">
      <c r="A335" s="28"/>
      <c r="B335" s="28"/>
      <c r="C335" s="29"/>
      <c r="G335" s="16"/>
      <c r="H335" s="23"/>
    </row>
    <row r="336" ht="14.25" customHeight="1">
      <c r="A336" s="28"/>
      <c r="B336" s="28"/>
      <c r="C336" s="29"/>
      <c r="G336" s="16"/>
      <c r="H336" s="23"/>
    </row>
    <row r="337" ht="14.25" customHeight="1">
      <c r="A337" s="28"/>
      <c r="B337" s="28"/>
      <c r="C337" s="29"/>
      <c r="G337" s="16"/>
      <c r="H337" s="23"/>
    </row>
    <row r="338" ht="14.25" customHeight="1">
      <c r="A338" s="28"/>
      <c r="B338" s="28"/>
      <c r="C338" s="29"/>
      <c r="G338" s="16"/>
      <c r="H338" s="23"/>
    </row>
    <row r="339" ht="14.25" customHeight="1">
      <c r="A339" s="28"/>
      <c r="B339" s="28"/>
      <c r="C339" s="29"/>
      <c r="G339" s="16"/>
      <c r="H339" s="23"/>
    </row>
    <row r="340" ht="14.25" customHeight="1">
      <c r="A340" s="28"/>
      <c r="B340" s="28"/>
      <c r="C340" s="29"/>
      <c r="G340" s="16"/>
      <c r="H340" s="23"/>
    </row>
    <row r="341" ht="14.25" customHeight="1">
      <c r="A341" s="28"/>
      <c r="B341" s="28"/>
      <c r="C341" s="29"/>
      <c r="G341" s="16"/>
      <c r="H341" s="23"/>
    </row>
    <row r="342" ht="14.25" customHeight="1">
      <c r="A342" s="28"/>
      <c r="B342" s="28"/>
      <c r="C342" s="29"/>
      <c r="G342" s="16"/>
      <c r="H342" s="23"/>
    </row>
    <row r="343" ht="14.25" customHeight="1">
      <c r="A343" s="28"/>
      <c r="B343" s="28"/>
      <c r="C343" s="29"/>
      <c r="G343" s="16"/>
      <c r="H343" s="23"/>
    </row>
    <row r="344" ht="14.25" customHeight="1">
      <c r="A344" s="28"/>
      <c r="B344" s="28"/>
      <c r="C344" s="29"/>
      <c r="G344" s="16"/>
      <c r="H344" s="23"/>
    </row>
    <row r="345" ht="14.25" customHeight="1">
      <c r="A345" s="28"/>
      <c r="B345" s="28"/>
      <c r="C345" s="29"/>
      <c r="G345" s="16"/>
      <c r="H345" s="23"/>
    </row>
    <row r="346" ht="14.25" customHeight="1">
      <c r="A346" s="28"/>
      <c r="B346" s="28"/>
      <c r="C346" s="29"/>
      <c r="G346" s="16"/>
      <c r="H346" s="23"/>
    </row>
    <row r="347" ht="14.25" customHeight="1">
      <c r="A347" s="28"/>
      <c r="B347" s="28"/>
      <c r="C347" s="29"/>
      <c r="G347" s="16"/>
      <c r="H347" s="23"/>
    </row>
    <row r="348" ht="14.25" customHeight="1">
      <c r="A348" s="28"/>
      <c r="B348" s="28"/>
      <c r="C348" s="29"/>
      <c r="G348" s="16"/>
      <c r="H348" s="23"/>
    </row>
    <row r="349" ht="14.25" customHeight="1">
      <c r="A349" s="28"/>
      <c r="B349" s="28"/>
      <c r="C349" s="29"/>
      <c r="G349" s="16"/>
      <c r="H349" s="23"/>
    </row>
    <row r="350" ht="14.25" customHeight="1">
      <c r="A350" s="28"/>
      <c r="B350" s="28"/>
      <c r="C350" s="29"/>
      <c r="G350" s="16"/>
      <c r="H350" s="23"/>
    </row>
    <row r="351" ht="14.25" customHeight="1">
      <c r="A351" s="28"/>
      <c r="B351" s="28"/>
      <c r="C351" s="29"/>
      <c r="G351" s="16"/>
      <c r="H351" s="23"/>
    </row>
    <row r="352" ht="14.25" customHeight="1">
      <c r="A352" s="28"/>
      <c r="B352" s="28"/>
      <c r="C352" s="29"/>
      <c r="G352" s="16"/>
      <c r="H352" s="23"/>
    </row>
    <row r="353" ht="14.25" customHeight="1">
      <c r="A353" s="28"/>
      <c r="B353" s="28"/>
      <c r="C353" s="29"/>
      <c r="G353" s="16"/>
      <c r="H353" s="23"/>
    </row>
    <row r="354" ht="14.25" customHeight="1">
      <c r="A354" s="28"/>
      <c r="B354" s="28"/>
      <c r="C354" s="29"/>
      <c r="G354" s="16"/>
      <c r="H354" s="23"/>
    </row>
    <row r="355" ht="14.25" customHeight="1">
      <c r="A355" s="28"/>
      <c r="B355" s="28"/>
      <c r="C355" s="29"/>
      <c r="G355" s="16"/>
      <c r="H355" s="23"/>
    </row>
    <row r="356" ht="14.25" customHeight="1">
      <c r="A356" s="28"/>
      <c r="B356" s="28"/>
      <c r="C356" s="29"/>
      <c r="G356" s="16"/>
      <c r="H356" s="23"/>
    </row>
    <row r="357" ht="14.25" customHeight="1">
      <c r="A357" s="28"/>
      <c r="B357" s="28"/>
      <c r="C357" s="29"/>
      <c r="G357" s="16"/>
      <c r="H357" s="23"/>
    </row>
    <row r="358" ht="14.25" customHeight="1">
      <c r="A358" s="28"/>
      <c r="B358" s="28"/>
      <c r="C358" s="29"/>
      <c r="G358" s="16"/>
      <c r="H358" s="23"/>
    </row>
    <row r="359" ht="14.25" customHeight="1">
      <c r="A359" s="28"/>
      <c r="B359" s="28"/>
      <c r="C359" s="29"/>
      <c r="G359" s="16"/>
      <c r="H359" s="23"/>
    </row>
    <row r="360" ht="14.25" customHeight="1">
      <c r="A360" s="28"/>
      <c r="B360" s="28"/>
      <c r="C360" s="29"/>
      <c r="G360" s="16"/>
      <c r="H360" s="23"/>
    </row>
    <row r="361" ht="14.25" customHeight="1">
      <c r="A361" s="28"/>
      <c r="B361" s="28"/>
      <c r="C361" s="29"/>
      <c r="G361" s="16"/>
      <c r="H361" s="23"/>
    </row>
    <row r="362" ht="14.25" customHeight="1">
      <c r="A362" s="28"/>
      <c r="B362" s="28"/>
      <c r="C362" s="29"/>
      <c r="G362" s="16"/>
      <c r="H362" s="23"/>
    </row>
    <row r="363" ht="14.25" customHeight="1">
      <c r="A363" s="28"/>
      <c r="B363" s="28"/>
      <c r="C363" s="29"/>
      <c r="G363" s="16"/>
      <c r="H363" s="23"/>
    </row>
    <row r="364" ht="14.25" customHeight="1">
      <c r="A364" s="28"/>
      <c r="B364" s="28"/>
      <c r="C364" s="29"/>
      <c r="G364" s="16"/>
      <c r="H364" s="23"/>
    </row>
    <row r="365" ht="14.25" customHeight="1">
      <c r="A365" s="28"/>
      <c r="B365" s="28"/>
      <c r="C365" s="29"/>
      <c r="G365" s="16"/>
      <c r="H365" s="23"/>
    </row>
    <row r="366" ht="14.25" customHeight="1">
      <c r="A366" s="28"/>
      <c r="B366" s="28"/>
      <c r="C366" s="29"/>
      <c r="G366" s="16"/>
      <c r="H366" s="23"/>
    </row>
    <row r="367" ht="14.25" customHeight="1">
      <c r="A367" s="28"/>
      <c r="B367" s="28"/>
      <c r="C367" s="29"/>
      <c r="G367" s="16"/>
      <c r="H367" s="23"/>
    </row>
    <row r="368" ht="14.25" customHeight="1">
      <c r="A368" s="28"/>
      <c r="B368" s="28"/>
      <c r="C368" s="29"/>
      <c r="G368" s="16"/>
      <c r="H368" s="23"/>
    </row>
    <row r="369" ht="14.25" customHeight="1">
      <c r="A369" s="28"/>
      <c r="B369" s="28"/>
      <c r="C369" s="29"/>
      <c r="G369" s="16"/>
      <c r="H369" s="23"/>
    </row>
    <row r="370" ht="14.25" customHeight="1">
      <c r="A370" s="28"/>
      <c r="B370" s="28"/>
      <c r="C370" s="29"/>
      <c r="G370" s="16"/>
      <c r="H370" s="23"/>
    </row>
    <row r="371" ht="14.25" customHeight="1">
      <c r="A371" s="28"/>
      <c r="B371" s="28"/>
      <c r="C371" s="29"/>
      <c r="G371" s="16"/>
      <c r="H371" s="23"/>
    </row>
    <row r="372" ht="14.25" customHeight="1">
      <c r="A372" s="28"/>
      <c r="B372" s="28"/>
      <c r="C372" s="29"/>
      <c r="G372" s="16"/>
      <c r="H372" s="23"/>
    </row>
    <row r="373" ht="14.25" customHeight="1">
      <c r="A373" s="28"/>
      <c r="B373" s="28"/>
      <c r="C373" s="29"/>
      <c r="G373" s="16"/>
      <c r="H373" s="23"/>
    </row>
    <row r="374" ht="14.25" customHeight="1">
      <c r="A374" s="28"/>
      <c r="B374" s="28"/>
      <c r="C374" s="29"/>
      <c r="G374" s="16"/>
      <c r="H374" s="23"/>
    </row>
    <row r="375" ht="14.25" customHeight="1">
      <c r="A375" s="28"/>
      <c r="B375" s="28"/>
      <c r="C375" s="29"/>
      <c r="G375" s="16"/>
      <c r="H375" s="23"/>
    </row>
    <row r="376" ht="14.25" customHeight="1">
      <c r="A376" s="28"/>
      <c r="B376" s="28"/>
      <c r="C376" s="29"/>
      <c r="G376" s="16"/>
      <c r="H376" s="23"/>
    </row>
    <row r="377" ht="14.25" customHeight="1">
      <c r="A377" s="28"/>
      <c r="B377" s="28"/>
      <c r="C377" s="29"/>
      <c r="G377" s="16"/>
      <c r="H377" s="23"/>
    </row>
    <row r="378" ht="14.25" customHeight="1">
      <c r="A378" s="28"/>
      <c r="B378" s="28"/>
      <c r="C378" s="29"/>
      <c r="G378" s="16"/>
      <c r="H378" s="23"/>
    </row>
    <row r="379" ht="14.25" customHeight="1">
      <c r="A379" s="28"/>
      <c r="B379" s="28"/>
      <c r="C379" s="29"/>
      <c r="G379" s="16"/>
      <c r="H379" s="23"/>
    </row>
    <row r="380" ht="14.25" customHeight="1">
      <c r="A380" s="28"/>
      <c r="B380" s="28"/>
      <c r="C380" s="29"/>
      <c r="G380" s="16"/>
      <c r="H380" s="23"/>
    </row>
    <row r="381" ht="14.25" customHeight="1">
      <c r="A381" s="28"/>
      <c r="B381" s="28"/>
      <c r="C381" s="29"/>
      <c r="G381" s="16"/>
      <c r="H381" s="23"/>
    </row>
    <row r="382" ht="14.25" customHeight="1">
      <c r="A382" s="28"/>
      <c r="B382" s="28"/>
      <c r="C382" s="29"/>
      <c r="G382" s="16"/>
      <c r="H382" s="23"/>
    </row>
    <row r="383" ht="14.25" customHeight="1">
      <c r="A383" s="28"/>
      <c r="B383" s="28"/>
      <c r="C383" s="29"/>
      <c r="G383" s="16"/>
      <c r="H383" s="23"/>
    </row>
    <row r="384" ht="14.25" customHeight="1">
      <c r="A384" s="28"/>
      <c r="B384" s="28"/>
      <c r="C384" s="29"/>
      <c r="G384" s="16"/>
      <c r="H384" s="23"/>
    </row>
    <row r="385" ht="14.25" customHeight="1">
      <c r="A385" s="28"/>
      <c r="B385" s="28"/>
      <c r="C385" s="29"/>
      <c r="G385" s="16"/>
      <c r="H385" s="23"/>
    </row>
    <row r="386" ht="14.25" customHeight="1">
      <c r="A386" s="28"/>
      <c r="B386" s="28"/>
      <c r="C386" s="29"/>
      <c r="G386" s="16"/>
      <c r="H386" s="23"/>
    </row>
    <row r="387" ht="14.25" customHeight="1">
      <c r="A387" s="28"/>
      <c r="B387" s="28"/>
      <c r="C387" s="29"/>
      <c r="G387" s="16"/>
      <c r="H387" s="23"/>
    </row>
    <row r="388" ht="14.25" customHeight="1">
      <c r="A388" s="28"/>
      <c r="B388" s="28"/>
      <c r="C388" s="29"/>
      <c r="G388" s="16"/>
      <c r="H388" s="23"/>
    </row>
    <row r="389" ht="14.25" customHeight="1">
      <c r="A389" s="28"/>
      <c r="B389" s="28"/>
      <c r="C389" s="29"/>
      <c r="G389" s="16"/>
      <c r="H389" s="23"/>
    </row>
    <row r="390" ht="14.25" customHeight="1">
      <c r="A390" s="22"/>
    </row>
    <row r="391" ht="14.25" customHeight="1">
      <c r="A391" s="22"/>
    </row>
    <row r="392" ht="14.25" customHeight="1">
      <c r="A392" s="22"/>
    </row>
    <row r="393" ht="14.25" customHeight="1">
      <c r="A393" s="22"/>
    </row>
    <row r="394" ht="14.25" customHeight="1">
      <c r="A394" s="22"/>
    </row>
    <row r="395" ht="14.25" customHeight="1">
      <c r="A395" s="22"/>
    </row>
    <row r="396" ht="14.25" customHeight="1">
      <c r="A396" s="22"/>
    </row>
    <row r="397" ht="14.25" customHeight="1">
      <c r="A397" s="22"/>
    </row>
    <row r="398" ht="14.25" customHeight="1">
      <c r="A398" s="22"/>
    </row>
    <row r="399" ht="14.25" customHeight="1">
      <c r="A399" s="22"/>
    </row>
    <row r="400" ht="14.25" customHeight="1">
      <c r="A400" s="22"/>
    </row>
    <row r="401" ht="14.25" customHeight="1">
      <c r="A401" s="22"/>
    </row>
    <row r="402" ht="14.25" customHeight="1">
      <c r="A402" s="22"/>
    </row>
    <row r="403" ht="14.25" customHeight="1">
      <c r="A403" s="22"/>
    </row>
    <row r="404" ht="14.25" customHeight="1">
      <c r="A404" s="22"/>
    </row>
    <row r="405" ht="14.25" customHeight="1">
      <c r="A405" s="22"/>
    </row>
    <row r="406" ht="14.25" customHeight="1">
      <c r="A406" s="22"/>
    </row>
    <row r="407" ht="14.25" customHeight="1">
      <c r="A407" s="22"/>
    </row>
    <row r="408" ht="14.25" customHeight="1">
      <c r="A408" s="22"/>
    </row>
    <row r="409" ht="14.25" customHeight="1">
      <c r="A409" s="22"/>
    </row>
    <row r="410" ht="14.25" customHeight="1">
      <c r="A410" s="22"/>
    </row>
    <row r="411" ht="14.25" customHeight="1">
      <c r="A411" s="22"/>
    </row>
    <row r="412" ht="14.25" customHeight="1">
      <c r="A412" s="22"/>
    </row>
    <row r="413" ht="14.25" customHeight="1">
      <c r="A413" s="22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E$213">
    <sortState ref="A1:E213">
      <sortCondition ref="A1:A213"/>
      <sortCondition ref="B1:B213"/>
      <sortCondition ref="C1:C213"/>
      <sortCondition ref="D1:D213"/>
      <sortCondition ref="E1:E213"/>
    </sortState>
  </autoFilter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9.43"/>
    <col customWidth="1" min="3" max="3" width="17.86"/>
    <col customWidth="1" min="4" max="4" width="17.71"/>
    <col customWidth="1" min="5" max="6" width="8.71"/>
  </cols>
  <sheetData>
    <row r="1" ht="14.25" customHeight="1">
      <c r="A1" s="30" t="s">
        <v>63</v>
      </c>
      <c r="B1" s="31" t="s">
        <v>64</v>
      </c>
      <c r="C1" s="32" t="s">
        <v>65</v>
      </c>
      <c r="D1" s="32" t="s">
        <v>66</v>
      </c>
    </row>
    <row r="2" ht="14.25" customHeight="1">
      <c r="A2" s="2" t="s">
        <v>12</v>
      </c>
      <c r="B2" s="1">
        <v>46057.0</v>
      </c>
      <c r="C2" s="3">
        <v>4000.0</v>
      </c>
      <c r="D2" s="30" t="s">
        <v>67</v>
      </c>
    </row>
    <row r="3" ht="14.25" customHeight="1">
      <c r="A3" s="2" t="s">
        <v>25</v>
      </c>
      <c r="B3" s="1">
        <v>46057.0</v>
      </c>
      <c r="C3" s="3">
        <v>6630.64</v>
      </c>
      <c r="D3" s="30" t="s">
        <v>67</v>
      </c>
    </row>
    <row r="4" ht="14.25" customHeight="1">
      <c r="A4" s="2" t="s">
        <v>10</v>
      </c>
      <c r="B4" s="22">
        <v>46058.0</v>
      </c>
      <c r="C4" s="3">
        <v>10342.0</v>
      </c>
      <c r="D4" s="30" t="s">
        <v>67</v>
      </c>
    </row>
    <row r="5" ht="14.25" customHeight="1">
      <c r="A5" s="2" t="s">
        <v>14</v>
      </c>
      <c r="B5" s="22">
        <v>46058.0</v>
      </c>
      <c r="C5" s="3">
        <v>4124.75</v>
      </c>
      <c r="D5" s="30" t="s">
        <v>67</v>
      </c>
    </row>
    <row r="6" ht="14.25" customHeight="1">
      <c r="A6" s="2" t="s">
        <v>21</v>
      </c>
      <c r="B6" s="22">
        <v>46058.0</v>
      </c>
      <c r="C6" s="3">
        <v>5400.0</v>
      </c>
      <c r="D6" s="30" t="s">
        <v>67</v>
      </c>
    </row>
    <row r="7" ht="14.25" customHeight="1">
      <c r="A7" s="2" t="s">
        <v>8</v>
      </c>
      <c r="B7" s="22">
        <v>46059.0</v>
      </c>
      <c r="C7" s="3">
        <v>2063.11</v>
      </c>
      <c r="D7" s="30" t="s">
        <v>67</v>
      </c>
    </row>
    <row r="8" ht="14.25" customHeight="1">
      <c r="A8" s="2" t="s">
        <v>68</v>
      </c>
      <c r="B8" s="33">
        <v>46084.0</v>
      </c>
      <c r="C8" s="21">
        <v>3000.0</v>
      </c>
      <c r="D8" s="34" t="s">
        <v>69</v>
      </c>
    </row>
    <row r="9" ht="14.25" customHeight="1">
      <c r="A9" s="2" t="s">
        <v>70</v>
      </c>
      <c r="B9" s="33">
        <v>46085.0</v>
      </c>
      <c r="C9" s="21">
        <v>3000.0</v>
      </c>
      <c r="D9" s="34" t="s">
        <v>69</v>
      </c>
    </row>
    <row r="10" ht="14.25" customHeight="1">
      <c r="A10" s="2" t="s">
        <v>9</v>
      </c>
      <c r="B10" s="33">
        <v>46086.0</v>
      </c>
      <c r="C10" s="21">
        <v>1003.38</v>
      </c>
      <c r="D10" s="35" t="s">
        <v>71</v>
      </c>
    </row>
    <row r="11" ht="14.25" customHeight="1">
      <c r="A11" s="2" t="s">
        <v>72</v>
      </c>
      <c r="B11" s="33">
        <v>46087.0</v>
      </c>
      <c r="C11" s="21">
        <v>8587.0</v>
      </c>
      <c r="D11" s="35" t="s">
        <v>73</v>
      </c>
    </row>
    <row r="12" ht="14.25" customHeight="1">
      <c r="A12" s="2" t="s">
        <v>29</v>
      </c>
      <c r="B12" s="33">
        <v>46087.0</v>
      </c>
      <c r="C12" s="21">
        <v>936.15</v>
      </c>
      <c r="D12" s="35" t="s">
        <v>71</v>
      </c>
    </row>
    <row r="13" ht="14.25" customHeight="1">
      <c r="A13" s="2" t="s">
        <v>15</v>
      </c>
      <c r="B13" s="33">
        <v>46113.0</v>
      </c>
      <c r="C13" s="21">
        <v>36.02</v>
      </c>
      <c r="D13" s="36" t="s">
        <v>71</v>
      </c>
    </row>
    <row r="14" ht="14.25" customHeight="1">
      <c r="A14" s="2" t="s">
        <v>27</v>
      </c>
      <c r="B14" s="33">
        <v>46114.0</v>
      </c>
      <c r="C14" s="37">
        <v>7857.25</v>
      </c>
      <c r="D14" s="36" t="s">
        <v>71</v>
      </c>
    </row>
    <row r="15" ht="14.25" customHeight="1">
      <c r="A15" s="2" t="s">
        <v>17</v>
      </c>
      <c r="B15" s="33">
        <v>46118.0</v>
      </c>
      <c r="C15" s="37">
        <v>3589.11</v>
      </c>
      <c r="D15" s="38" t="s">
        <v>71</v>
      </c>
    </row>
    <row r="16" ht="14.25" customHeight="1">
      <c r="A16" s="2" t="s">
        <v>23</v>
      </c>
      <c r="B16" s="33">
        <v>46118.0</v>
      </c>
      <c r="C16" s="21">
        <v>5680.0</v>
      </c>
      <c r="D16" s="36"/>
    </row>
    <row r="17" ht="14.25" customHeight="1">
      <c r="A17" s="2" t="s">
        <v>74</v>
      </c>
      <c r="B17" s="22">
        <v>46145.0</v>
      </c>
      <c r="C17" s="16">
        <v>7000.0</v>
      </c>
      <c r="D17" s="36"/>
    </row>
    <row r="18" ht="14.25" customHeight="1">
      <c r="A18" s="2" t="s">
        <v>75</v>
      </c>
      <c r="B18" s="22">
        <v>46148.0</v>
      </c>
      <c r="C18" s="16">
        <v>3600.0</v>
      </c>
      <c r="D18" s="36"/>
    </row>
    <row r="19" ht="14.25" customHeight="1">
      <c r="A19" s="2" t="s">
        <v>76</v>
      </c>
      <c r="B19" s="22">
        <v>46148.0</v>
      </c>
      <c r="C19" s="16">
        <v>5680.0</v>
      </c>
      <c r="D19" s="36"/>
    </row>
    <row r="20" ht="14.25" customHeight="1">
      <c r="A20" s="2" t="s">
        <v>77</v>
      </c>
      <c r="B20" s="22">
        <v>46175.0</v>
      </c>
      <c r="C20" s="16">
        <v>7000.0</v>
      </c>
      <c r="D20" s="36"/>
    </row>
    <row r="21" ht="14.25" customHeight="1">
      <c r="A21" s="39" t="s">
        <v>78</v>
      </c>
      <c r="B21" s="22">
        <v>46178.0</v>
      </c>
      <c r="C21" s="27">
        <v>1800.0</v>
      </c>
      <c r="D21" s="36"/>
    </row>
    <row r="22" ht="14.25" customHeight="1">
      <c r="A22" s="2" t="s">
        <v>79</v>
      </c>
      <c r="B22" s="22">
        <v>46178.0</v>
      </c>
      <c r="C22" s="16">
        <v>5680.0</v>
      </c>
      <c r="D22" s="36"/>
    </row>
    <row r="23" ht="14.25" customHeight="1">
      <c r="A23" s="2" t="s">
        <v>80</v>
      </c>
      <c r="B23" s="22">
        <v>46205.0</v>
      </c>
      <c r="C23" s="16">
        <v>7000.0</v>
      </c>
      <c r="D23" s="36"/>
    </row>
    <row r="24" ht="14.25" customHeight="1">
      <c r="A24" s="2" t="s">
        <v>81</v>
      </c>
      <c r="B24" s="22">
        <v>46208.0</v>
      </c>
      <c r="C24" s="16">
        <v>5680.0</v>
      </c>
      <c r="D24" s="36"/>
    </row>
    <row r="25" ht="14.25" customHeight="1">
      <c r="A25" s="2" t="s">
        <v>82</v>
      </c>
      <c r="B25" s="22">
        <v>46235.0</v>
      </c>
      <c r="C25" s="16">
        <v>7000.0</v>
      </c>
      <c r="D25" s="36"/>
    </row>
    <row r="26" ht="14.25" customHeight="1">
      <c r="A26" s="2" t="s">
        <v>83</v>
      </c>
      <c r="B26" s="22">
        <v>46238.0</v>
      </c>
      <c r="C26" s="16">
        <v>5680.0</v>
      </c>
      <c r="D26" s="36"/>
    </row>
    <row r="27" ht="14.25" customHeight="1">
      <c r="A27" s="2" t="s">
        <v>84</v>
      </c>
      <c r="B27" s="22">
        <v>46266.0</v>
      </c>
      <c r="C27" s="16">
        <v>7000.0</v>
      </c>
      <c r="D27" s="36"/>
    </row>
    <row r="28" ht="14.25" customHeight="1">
      <c r="A28" s="2" t="s">
        <v>85</v>
      </c>
      <c r="B28" s="22">
        <v>46269.0</v>
      </c>
      <c r="C28" s="16">
        <v>5680.0</v>
      </c>
      <c r="D28" s="36"/>
    </row>
    <row r="29" ht="14.25" customHeight="1">
      <c r="A29" s="2" t="s">
        <v>86</v>
      </c>
      <c r="B29" s="22">
        <v>46297.0</v>
      </c>
      <c r="C29" s="16">
        <v>7000.0</v>
      </c>
      <c r="D29" s="36"/>
    </row>
    <row r="30" ht="14.25" customHeight="1">
      <c r="A30" s="2" t="s">
        <v>87</v>
      </c>
      <c r="B30" s="22">
        <v>46300.0</v>
      </c>
      <c r="C30" s="16">
        <v>5680.0</v>
      </c>
      <c r="D30" s="36"/>
    </row>
    <row r="31" ht="14.25" customHeight="1">
      <c r="A31" s="2" t="s">
        <v>88</v>
      </c>
      <c r="B31" s="22">
        <v>46328.0</v>
      </c>
      <c r="C31" s="16">
        <v>7000.0</v>
      </c>
      <c r="D31" s="36"/>
    </row>
    <row r="32" ht="14.25" customHeight="1">
      <c r="A32" s="2" t="s">
        <v>89</v>
      </c>
      <c r="B32" s="22">
        <v>46331.0</v>
      </c>
      <c r="C32" s="16">
        <v>5680.0</v>
      </c>
      <c r="D32" s="36"/>
    </row>
    <row r="33" ht="14.25" customHeight="1">
      <c r="A33" s="2" t="s">
        <v>90</v>
      </c>
      <c r="B33" s="22">
        <v>46359.0</v>
      </c>
      <c r="C33" s="16">
        <v>7000.0</v>
      </c>
      <c r="D33" s="36"/>
    </row>
    <row r="34" ht="14.25" customHeight="1">
      <c r="A34" s="2" t="s">
        <v>91</v>
      </c>
      <c r="B34" s="22">
        <v>46362.0</v>
      </c>
      <c r="C34" s="16">
        <v>5680.0</v>
      </c>
      <c r="D34" s="36"/>
    </row>
    <row r="35" ht="14.25" customHeight="1">
      <c r="A35" s="2" t="s">
        <v>92</v>
      </c>
      <c r="B35" s="22">
        <v>46390.0</v>
      </c>
      <c r="C35" s="16">
        <v>7000.0</v>
      </c>
      <c r="D35" s="36"/>
    </row>
    <row r="36" ht="14.25" customHeight="1">
      <c r="A36" s="2" t="s">
        <v>93</v>
      </c>
      <c r="B36" s="22">
        <v>46393.0</v>
      </c>
      <c r="C36" s="16">
        <v>5680.0</v>
      </c>
      <c r="D36" s="36"/>
    </row>
    <row r="37" ht="14.25" customHeight="1">
      <c r="A37" s="2" t="s">
        <v>94</v>
      </c>
      <c r="B37" s="22">
        <v>46421.0</v>
      </c>
      <c r="C37" s="16">
        <v>7000.0</v>
      </c>
      <c r="D37" s="36"/>
    </row>
    <row r="38" ht="14.25" customHeight="1">
      <c r="A38" s="2" t="s">
        <v>95</v>
      </c>
      <c r="B38" s="22">
        <v>46424.0</v>
      </c>
      <c r="C38" s="16">
        <v>5680.0</v>
      </c>
      <c r="D38" s="36"/>
    </row>
    <row r="39" ht="14.25" customHeight="1">
      <c r="A39" s="2" t="s">
        <v>96</v>
      </c>
      <c r="B39" s="22">
        <v>46449.0</v>
      </c>
      <c r="C39" s="16">
        <v>7000.0</v>
      </c>
      <c r="D39" s="36"/>
    </row>
    <row r="40" ht="14.25" customHeight="1">
      <c r="A40" s="2" t="s">
        <v>97</v>
      </c>
      <c r="B40" s="22">
        <v>46452.0</v>
      </c>
      <c r="C40" s="16">
        <v>5680.0</v>
      </c>
      <c r="D40" s="36"/>
    </row>
    <row r="41" ht="14.25" customHeight="1">
      <c r="A41" s="2"/>
      <c r="B41" s="22"/>
      <c r="C41" s="16"/>
      <c r="D41" s="36"/>
    </row>
    <row r="42" ht="14.25" customHeight="1">
      <c r="A42" s="2"/>
      <c r="B42" s="22"/>
      <c r="C42" s="16"/>
      <c r="D42" s="36"/>
    </row>
    <row r="43" ht="14.25" customHeight="1">
      <c r="A43" s="2"/>
      <c r="B43" s="22"/>
      <c r="C43" s="16"/>
      <c r="D43" s="36"/>
    </row>
    <row r="44" ht="14.25" customHeight="1">
      <c r="A44" s="2"/>
      <c r="B44" s="22"/>
      <c r="C44" s="16"/>
      <c r="D44" s="36"/>
    </row>
    <row r="45" ht="14.25" customHeight="1">
      <c r="A45" s="2"/>
      <c r="B45" s="22"/>
      <c r="C45" s="16"/>
      <c r="D45" s="36"/>
    </row>
    <row r="46" ht="14.25" customHeight="1">
      <c r="A46" s="2"/>
      <c r="B46" s="22"/>
      <c r="C46" s="16"/>
      <c r="D46" s="36"/>
    </row>
    <row r="47" ht="14.25" customHeight="1">
      <c r="A47" s="2"/>
      <c r="B47" s="22"/>
      <c r="C47" s="16"/>
      <c r="D47" s="36"/>
    </row>
    <row r="48" ht="14.25" customHeight="1">
      <c r="A48" s="2"/>
      <c r="B48" s="22"/>
      <c r="C48" s="16"/>
      <c r="D48" s="36"/>
    </row>
    <row r="49" ht="14.25" customHeight="1">
      <c r="A49" s="2"/>
      <c r="B49" s="22"/>
      <c r="C49" s="16"/>
      <c r="D49" s="36"/>
    </row>
    <row r="50" ht="14.25" customHeight="1">
      <c r="A50" s="2"/>
      <c r="B50" s="22"/>
      <c r="C50" s="16"/>
      <c r="D50" s="36"/>
    </row>
    <row r="51" ht="14.25" customHeight="1">
      <c r="A51" s="2"/>
      <c r="B51" s="22"/>
      <c r="C51" s="16"/>
      <c r="D51" s="36"/>
    </row>
    <row r="52" ht="14.25" customHeight="1">
      <c r="A52" s="2"/>
      <c r="B52" s="22"/>
      <c r="C52" s="16"/>
      <c r="D52" s="36"/>
    </row>
    <row r="53" ht="14.25" customHeight="1">
      <c r="A53" s="2"/>
      <c r="B53" s="22"/>
      <c r="C53" s="16"/>
      <c r="D53" s="36"/>
    </row>
    <row r="54" ht="14.25" customHeight="1">
      <c r="A54" s="2"/>
      <c r="B54" s="22"/>
      <c r="C54" s="16"/>
      <c r="D54" s="36"/>
    </row>
    <row r="55" ht="14.25" customHeight="1">
      <c r="A55" s="2"/>
      <c r="B55" s="22"/>
      <c r="C55" s="16"/>
      <c r="D55" s="36"/>
    </row>
    <row r="56" ht="14.25" customHeight="1">
      <c r="A56" s="2"/>
      <c r="B56" s="22"/>
      <c r="C56" s="16"/>
      <c r="D56" s="36"/>
    </row>
    <row r="57" ht="14.25" customHeight="1">
      <c r="A57" s="2"/>
      <c r="B57" s="22"/>
      <c r="C57" s="16"/>
      <c r="D57" s="36"/>
    </row>
    <row r="58" ht="14.25" customHeight="1">
      <c r="A58" s="2"/>
      <c r="B58" s="22"/>
      <c r="C58" s="16"/>
      <c r="D58" s="36"/>
    </row>
    <row r="59" ht="14.25" customHeight="1">
      <c r="A59" s="2"/>
      <c r="B59" s="22"/>
      <c r="C59" s="16"/>
      <c r="D59" s="36"/>
    </row>
    <row r="60" ht="14.25" customHeight="1">
      <c r="A60" s="2"/>
      <c r="B60" s="22"/>
      <c r="C60" s="16"/>
      <c r="D60" s="36"/>
    </row>
    <row r="61" ht="14.25" customHeight="1">
      <c r="A61" s="2"/>
      <c r="B61" s="22"/>
      <c r="C61" s="16"/>
      <c r="D61" s="36"/>
    </row>
    <row r="62" ht="14.25" customHeight="1">
      <c r="A62" s="2"/>
      <c r="B62" s="22"/>
      <c r="C62" s="16"/>
      <c r="D62" s="36"/>
    </row>
    <row r="63" ht="14.25" customHeight="1">
      <c r="A63" s="2"/>
      <c r="B63" s="22"/>
      <c r="C63" s="16"/>
      <c r="D63" s="36"/>
    </row>
    <row r="64" ht="14.25" customHeight="1">
      <c r="A64" s="2"/>
      <c r="B64" s="22"/>
      <c r="C64" s="16"/>
      <c r="D64" s="36"/>
    </row>
    <row r="65" ht="14.25" customHeight="1">
      <c r="A65" s="2"/>
      <c r="B65" s="22"/>
      <c r="C65" s="16"/>
      <c r="D65" s="36"/>
    </row>
    <row r="66" ht="14.25" customHeight="1">
      <c r="A66" s="2"/>
      <c r="B66" s="22"/>
      <c r="C66" s="16"/>
      <c r="D66" s="36"/>
    </row>
    <row r="67" ht="14.25" customHeight="1">
      <c r="A67" s="2"/>
      <c r="B67" s="22"/>
      <c r="C67" s="16"/>
      <c r="D67" s="36"/>
    </row>
    <row r="68" ht="14.25" customHeight="1">
      <c r="A68" s="2"/>
      <c r="B68" s="22"/>
      <c r="C68" s="16"/>
      <c r="D68" s="36"/>
    </row>
    <row r="69" ht="14.25" customHeight="1">
      <c r="A69" s="2"/>
      <c r="B69" s="22"/>
      <c r="C69" s="16"/>
      <c r="D69" s="36"/>
    </row>
    <row r="70" ht="14.25" customHeight="1">
      <c r="A70" s="2"/>
      <c r="B70" s="22"/>
      <c r="C70" s="16"/>
      <c r="D70" s="36"/>
    </row>
    <row r="71" ht="14.25" customHeight="1">
      <c r="A71" s="2"/>
      <c r="B71" s="22"/>
      <c r="C71" s="16"/>
      <c r="D71" s="36"/>
    </row>
    <row r="72" ht="14.25" customHeight="1">
      <c r="A72" s="2"/>
      <c r="B72" s="22"/>
      <c r="C72" s="16"/>
      <c r="D72" s="36"/>
    </row>
    <row r="73" ht="14.25" customHeight="1">
      <c r="A73" s="2"/>
      <c r="B73" s="22"/>
      <c r="C73" s="16"/>
      <c r="D73" s="36"/>
    </row>
    <row r="74" ht="14.25" customHeight="1">
      <c r="A74" s="2"/>
      <c r="B74" s="22"/>
      <c r="C74" s="16"/>
      <c r="D74" s="36"/>
    </row>
    <row r="75" ht="14.25" customHeight="1">
      <c r="A75" s="2"/>
      <c r="B75" s="22"/>
      <c r="C75" s="16"/>
      <c r="D75" s="36"/>
    </row>
    <row r="76" ht="14.25" customHeight="1">
      <c r="A76" s="2"/>
      <c r="B76" s="22"/>
      <c r="C76" s="16"/>
      <c r="D76" s="36"/>
    </row>
    <row r="77" ht="14.25" customHeight="1">
      <c r="A77" s="2"/>
      <c r="B77" s="22"/>
      <c r="C77" s="16"/>
      <c r="D77" s="36"/>
    </row>
    <row r="78" ht="14.25" customHeight="1">
      <c r="A78" s="2"/>
      <c r="B78" s="22"/>
      <c r="C78" s="16"/>
      <c r="D78" s="36"/>
    </row>
    <row r="79" ht="14.25" customHeight="1">
      <c r="A79" s="2"/>
      <c r="B79" s="22"/>
      <c r="C79" s="16"/>
      <c r="D79" s="36"/>
    </row>
    <row r="80" ht="14.25" customHeight="1">
      <c r="A80" s="2"/>
      <c r="B80" s="22"/>
      <c r="C80" s="16"/>
      <c r="D80" s="36"/>
    </row>
    <row r="81" ht="14.25" customHeight="1">
      <c r="A81" s="2"/>
      <c r="B81" s="22"/>
      <c r="C81" s="16"/>
      <c r="D81" s="36"/>
    </row>
    <row r="82" ht="14.25" customHeight="1">
      <c r="A82" s="2"/>
      <c r="B82" s="22"/>
      <c r="C82" s="16"/>
      <c r="D82" s="36"/>
    </row>
    <row r="83" ht="14.25" customHeight="1">
      <c r="A83" s="2"/>
      <c r="B83" s="22"/>
      <c r="C83" s="16"/>
      <c r="D83" s="36"/>
    </row>
    <row r="84" ht="14.25" customHeight="1">
      <c r="A84" s="2"/>
      <c r="B84" s="22"/>
      <c r="C84" s="16"/>
      <c r="D84" s="36"/>
    </row>
    <row r="85" ht="14.25" customHeight="1">
      <c r="A85" s="2"/>
      <c r="B85" s="22"/>
      <c r="C85" s="16"/>
      <c r="D85" s="36"/>
    </row>
    <row r="86" ht="14.25" customHeight="1">
      <c r="A86" s="2"/>
      <c r="B86" s="22"/>
      <c r="C86" s="16"/>
      <c r="D86" s="36"/>
    </row>
    <row r="87" ht="14.25" customHeight="1">
      <c r="A87" s="2"/>
      <c r="B87" s="22"/>
      <c r="C87" s="16"/>
      <c r="D87" s="36"/>
    </row>
    <row r="88" ht="14.25" customHeight="1">
      <c r="A88" s="2"/>
      <c r="B88" s="22"/>
      <c r="C88" s="16"/>
      <c r="D88" s="36"/>
    </row>
    <row r="89" ht="14.25" customHeight="1">
      <c r="A89" s="2"/>
      <c r="B89" s="22"/>
      <c r="C89" s="16"/>
      <c r="D89" s="36"/>
    </row>
    <row r="90" ht="14.25" customHeight="1">
      <c r="A90" s="2"/>
      <c r="B90" s="22"/>
      <c r="C90" s="16"/>
      <c r="D90" s="36"/>
    </row>
    <row r="91" ht="14.25" customHeight="1">
      <c r="A91" s="2"/>
      <c r="B91" s="22"/>
      <c r="C91" s="16"/>
      <c r="D91" s="36"/>
    </row>
    <row r="92" ht="14.25" customHeight="1">
      <c r="A92" s="2"/>
      <c r="B92" s="22"/>
      <c r="C92" s="16"/>
      <c r="D92" s="36"/>
    </row>
    <row r="93" ht="14.25" customHeight="1">
      <c r="A93" s="2"/>
      <c r="B93" s="22"/>
      <c r="C93" s="16"/>
      <c r="D93" s="36"/>
    </row>
    <row r="94" ht="14.25" customHeight="1">
      <c r="A94" s="2"/>
      <c r="B94" s="22"/>
      <c r="C94" s="16"/>
      <c r="D94" s="36"/>
    </row>
    <row r="95" ht="14.25" customHeight="1">
      <c r="A95" s="2"/>
      <c r="B95" s="22"/>
      <c r="C95" s="16"/>
      <c r="D95" s="36"/>
    </row>
    <row r="96" ht="14.25" customHeight="1">
      <c r="A96" s="2"/>
      <c r="B96" s="22"/>
      <c r="C96" s="16"/>
      <c r="D96" s="36"/>
    </row>
    <row r="97" ht="14.25" customHeight="1">
      <c r="A97" s="2"/>
      <c r="B97" s="22"/>
      <c r="C97" s="16"/>
      <c r="D97" s="36"/>
    </row>
    <row r="98" ht="14.25" customHeight="1">
      <c r="A98" s="2"/>
      <c r="B98" s="22"/>
      <c r="C98" s="16"/>
      <c r="D98" s="36"/>
    </row>
    <row r="99" ht="14.25" customHeight="1">
      <c r="A99" s="2"/>
      <c r="B99" s="22"/>
      <c r="C99" s="16"/>
      <c r="D99" s="36"/>
    </row>
    <row r="100" ht="14.25" customHeight="1">
      <c r="A100" s="2"/>
      <c r="B100" s="22"/>
      <c r="C100" s="16"/>
      <c r="D100" s="36"/>
    </row>
    <row r="101" ht="14.25" customHeight="1">
      <c r="A101" s="2"/>
      <c r="B101" s="22"/>
      <c r="C101" s="16"/>
      <c r="D101" s="36"/>
    </row>
    <row r="102" ht="14.25" customHeight="1">
      <c r="A102" s="2"/>
      <c r="B102" s="22"/>
      <c r="C102" s="16"/>
      <c r="D102" s="36"/>
    </row>
    <row r="103" ht="14.25" customHeight="1">
      <c r="A103" s="2"/>
      <c r="B103" s="22"/>
      <c r="C103" s="16"/>
      <c r="D103" s="36"/>
    </row>
    <row r="104" ht="14.25" customHeight="1">
      <c r="A104" s="2"/>
      <c r="B104" s="22"/>
      <c r="C104" s="16"/>
      <c r="D104" s="36"/>
    </row>
    <row r="105" ht="14.25" customHeight="1">
      <c r="A105" s="2"/>
      <c r="B105" s="22"/>
      <c r="C105" s="16"/>
      <c r="D105" s="36"/>
    </row>
    <row r="106" ht="14.25" customHeight="1">
      <c r="A106" s="2"/>
      <c r="B106" s="22"/>
      <c r="C106" s="16"/>
      <c r="D106" s="36"/>
    </row>
    <row r="107" ht="14.25" customHeight="1">
      <c r="A107" s="2"/>
      <c r="B107" s="22"/>
      <c r="C107" s="16"/>
      <c r="D107" s="36"/>
    </row>
    <row r="108" ht="14.25" customHeight="1">
      <c r="A108" s="2"/>
      <c r="B108" s="22"/>
      <c r="C108" s="16"/>
      <c r="D108" s="36"/>
    </row>
    <row r="109" ht="14.25" customHeight="1">
      <c r="A109" s="2"/>
      <c r="B109" s="22"/>
      <c r="C109" s="16"/>
      <c r="D109" s="36"/>
    </row>
    <row r="110" ht="14.25" customHeight="1">
      <c r="A110" s="2"/>
      <c r="B110" s="22"/>
      <c r="C110" s="16"/>
      <c r="D110" s="36"/>
    </row>
    <row r="111" ht="14.25" customHeight="1">
      <c r="A111" s="2"/>
      <c r="B111" s="22"/>
      <c r="C111" s="16"/>
      <c r="D111" s="36"/>
    </row>
    <row r="112" ht="14.25" customHeight="1">
      <c r="A112" s="2"/>
      <c r="B112" s="22"/>
      <c r="C112" s="16"/>
      <c r="D112" s="36"/>
    </row>
    <row r="113" ht="14.25" customHeight="1">
      <c r="A113" s="2"/>
      <c r="B113" s="22"/>
      <c r="C113" s="16"/>
      <c r="D113" s="36"/>
    </row>
    <row r="114" ht="14.25" customHeight="1">
      <c r="A114" s="2"/>
      <c r="B114" s="22"/>
      <c r="C114" s="16"/>
      <c r="D114" s="36"/>
    </row>
    <row r="115" ht="14.25" customHeight="1">
      <c r="A115" s="2"/>
      <c r="B115" s="22"/>
      <c r="C115" s="16"/>
      <c r="D115" s="36"/>
    </row>
    <row r="116" ht="14.25" customHeight="1">
      <c r="A116" s="2"/>
      <c r="B116" s="22"/>
      <c r="C116" s="16"/>
      <c r="D116" s="36"/>
    </row>
    <row r="117" ht="14.25" customHeight="1">
      <c r="A117" s="2"/>
      <c r="B117" s="22"/>
      <c r="C117" s="16"/>
      <c r="D117" s="36"/>
    </row>
    <row r="118" ht="14.25" customHeight="1">
      <c r="A118" s="2"/>
      <c r="B118" s="22"/>
      <c r="C118" s="16"/>
      <c r="D118" s="36"/>
    </row>
    <row r="119" ht="14.25" customHeight="1">
      <c r="A119" s="2"/>
      <c r="B119" s="22"/>
      <c r="C119" s="16"/>
      <c r="D119" s="36"/>
    </row>
    <row r="120" ht="14.25" customHeight="1">
      <c r="A120" s="2"/>
      <c r="B120" s="22"/>
      <c r="C120" s="16"/>
      <c r="D120" s="36"/>
    </row>
    <row r="121" ht="14.25" customHeight="1">
      <c r="A121" s="2"/>
      <c r="B121" s="22"/>
      <c r="C121" s="16"/>
      <c r="D121" s="36"/>
    </row>
    <row r="122" ht="14.25" customHeight="1">
      <c r="A122" s="2"/>
      <c r="B122" s="22"/>
      <c r="C122" s="16"/>
      <c r="D122" s="36"/>
    </row>
    <row r="123" ht="14.25" customHeight="1">
      <c r="A123" s="2"/>
      <c r="B123" s="22"/>
      <c r="C123" s="16"/>
      <c r="D123" s="36"/>
    </row>
    <row r="124" ht="14.25" customHeight="1">
      <c r="A124" s="2"/>
      <c r="B124" s="22"/>
      <c r="C124" s="16"/>
      <c r="D124" s="36"/>
    </row>
    <row r="125" ht="14.25" customHeight="1">
      <c r="A125" s="2"/>
      <c r="B125" s="22"/>
      <c r="C125" s="16"/>
      <c r="D125" s="36"/>
    </row>
    <row r="126" ht="14.25" customHeight="1">
      <c r="A126" s="2"/>
      <c r="B126" s="22"/>
      <c r="C126" s="16"/>
      <c r="D126" s="36"/>
    </row>
    <row r="127" ht="14.25" customHeight="1">
      <c r="A127" s="2"/>
      <c r="B127" s="22"/>
      <c r="C127" s="16"/>
      <c r="D127" s="36"/>
    </row>
    <row r="128" ht="14.25" customHeight="1">
      <c r="A128" s="2"/>
      <c r="B128" s="22"/>
      <c r="C128" s="16"/>
      <c r="D128" s="36"/>
    </row>
    <row r="129" ht="14.25" customHeight="1">
      <c r="A129" s="2"/>
      <c r="B129" s="22"/>
      <c r="C129" s="16"/>
      <c r="D129" s="36"/>
    </row>
    <row r="130" ht="14.25" customHeight="1">
      <c r="A130" s="2"/>
      <c r="B130" s="22"/>
      <c r="C130" s="16"/>
      <c r="D130" s="36"/>
    </row>
    <row r="131" ht="14.25" customHeight="1">
      <c r="A131" s="2"/>
      <c r="B131" s="22"/>
      <c r="C131" s="16"/>
      <c r="D131" s="36"/>
    </row>
    <row r="132" ht="14.25" customHeight="1">
      <c r="A132" s="2"/>
      <c r="B132" s="22"/>
      <c r="C132" s="16"/>
      <c r="D132" s="36"/>
    </row>
    <row r="133" ht="14.25" customHeight="1">
      <c r="A133" s="2"/>
      <c r="B133" s="22"/>
      <c r="C133" s="16"/>
      <c r="D133" s="36"/>
    </row>
    <row r="134" ht="14.25" customHeight="1">
      <c r="A134" s="2"/>
      <c r="B134" s="22"/>
      <c r="C134" s="16"/>
      <c r="D134" s="36"/>
    </row>
    <row r="135" ht="14.25" customHeight="1">
      <c r="A135" s="2"/>
      <c r="B135" s="22"/>
      <c r="C135" s="16"/>
      <c r="D135" s="36"/>
    </row>
    <row r="136" ht="14.25" customHeight="1">
      <c r="A136" s="2"/>
      <c r="B136" s="22"/>
      <c r="C136" s="16"/>
      <c r="D136" s="36"/>
    </row>
    <row r="137" ht="14.25" customHeight="1">
      <c r="A137" s="2"/>
      <c r="B137" s="22"/>
      <c r="C137" s="16"/>
      <c r="D137" s="36"/>
    </row>
    <row r="138" ht="14.25" customHeight="1">
      <c r="A138" s="2"/>
      <c r="B138" s="22"/>
      <c r="C138" s="16"/>
      <c r="D138" s="36"/>
    </row>
    <row r="139" ht="14.25" customHeight="1">
      <c r="A139" s="2"/>
      <c r="B139" s="22"/>
      <c r="C139" s="16"/>
      <c r="D139" s="36"/>
    </row>
    <row r="140" ht="14.25" customHeight="1">
      <c r="A140" s="2"/>
      <c r="B140" s="22"/>
      <c r="C140" s="16"/>
      <c r="D140" s="36"/>
    </row>
    <row r="141" ht="14.25" customHeight="1">
      <c r="A141" s="2"/>
      <c r="B141" s="22"/>
      <c r="C141" s="16"/>
      <c r="D141" s="36"/>
    </row>
    <row r="142" ht="14.25" customHeight="1">
      <c r="A142" s="2"/>
      <c r="B142" s="22"/>
      <c r="C142" s="16"/>
      <c r="D142" s="36"/>
    </row>
    <row r="143" ht="14.25" customHeight="1">
      <c r="A143" s="2"/>
      <c r="B143" s="22"/>
      <c r="C143" s="16"/>
      <c r="D143" s="36"/>
    </row>
    <row r="144" ht="14.25" customHeight="1">
      <c r="A144" s="2"/>
      <c r="B144" s="22"/>
      <c r="C144" s="16"/>
      <c r="D144" s="36"/>
    </row>
    <row r="145" ht="14.25" customHeight="1">
      <c r="A145" s="2"/>
      <c r="B145" s="22"/>
      <c r="C145" s="16"/>
      <c r="D145" s="36"/>
    </row>
    <row r="146" ht="14.25" customHeight="1">
      <c r="A146" s="2"/>
      <c r="B146" s="22"/>
      <c r="C146" s="16"/>
      <c r="D146" s="36"/>
    </row>
    <row r="147" ht="14.25" customHeight="1">
      <c r="A147" s="2"/>
      <c r="B147" s="22"/>
      <c r="C147" s="16"/>
      <c r="D147" s="36"/>
    </row>
    <row r="148" ht="14.25" customHeight="1">
      <c r="A148" s="2"/>
      <c r="B148" s="22"/>
      <c r="C148" s="16"/>
      <c r="D148" s="36"/>
    </row>
    <row r="149" ht="14.25" customHeight="1">
      <c r="A149" s="2"/>
      <c r="B149" s="22"/>
      <c r="C149" s="16"/>
      <c r="D149" s="36"/>
    </row>
    <row r="150" ht="14.25" customHeight="1">
      <c r="A150" s="2"/>
      <c r="B150" s="22"/>
      <c r="C150" s="16"/>
      <c r="D150" s="36"/>
    </row>
    <row r="151" ht="14.25" customHeight="1">
      <c r="A151" s="2"/>
      <c r="B151" s="22"/>
      <c r="C151" s="16"/>
      <c r="D151" s="36"/>
    </row>
    <row r="152" ht="14.25" customHeight="1">
      <c r="A152" s="2"/>
      <c r="B152" s="22"/>
      <c r="C152" s="16"/>
      <c r="D152" s="36"/>
    </row>
    <row r="153" ht="14.25" customHeight="1">
      <c r="A153" s="2"/>
      <c r="B153" s="22"/>
      <c r="C153" s="16"/>
      <c r="D153" s="36"/>
    </row>
    <row r="154" ht="14.25" customHeight="1">
      <c r="A154" s="2"/>
      <c r="B154" s="22"/>
      <c r="C154" s="16"/>
      <c r="D154" s="36"/>
    </row>
    <row r="155" ht="14.25" customHeight="1">
      <c r="A155" s="2"/>
      <c r="B155" s="22"/>
      <c r="C155" s="16"/>
      <c r="D155" s="36"/>
    </row>
    <row r="156" ht="14.25" customHeight="1">
      <c r="A156" s="2"/>
      <c r="B156" s="22"/>
      <c r="C156" s="16"/>
      <c r="D156" s="36"/>
    </row>
    <row r="157" ht="14.25" customHeight="1">
      <c r="A157" s="2"/>
      <c r="B157" s="22"/>
      <c r="C157" s="16"/>
      <c r="D157" s="36"/>
    </row>
    <row r="158" ht="14.25" customHeight="1">
      <c r="A158" s="2"/>
      <c r="B158" s="22"/>
      <c r="C158" s="16"/>
      <c r="D158" s="36"/>
    </row>
    <row r="159" ht="14.25" customHeight="1">
      <c r="A159" s="2"/>
      <c r="B159" s="22"/>
      <c r="C159" s="16"/>
      <c r="D159" s="36"/>
    </row>
    <row r="160" ht="14.25" customHeight="1">
      <c r="A160" s="2"/>
      <c r="B160" s="22"/>
      <c r="C160" s="16"/>
      <c r="D160" s="36"/>
    </row>
    <row r="161" ht="14.25" customHeight="1">
      <c r="A161" s="2"/>
      <c r="B161" s="22"/>
      <c r="C161" s="16"/>
      <c r="D161" s="36"/>
    </row>
    <row r="162" ht="14.25" customHeight="1">
      <c r="A162" s="2"/>
      <c r="B162" s="22"/>
      <c r="C162" s="16"/>
      <c r="D162" s="36"/>
    </row>
    <row r="163" ht="14.25" customHeight="1">
      <c r="A163" s="2"/>
      <c r="B163" s="22"/>
      <c r="C163" s="16"/>
      <c r="D163" s="36"/>
    </row>
    <row r="164" ht="14.25" customHeight="1">
      <c r="A164" s="2"/>
      <c r="B164" s="22"/>
      <c r="C164" s="16"/>
      <c r="D164" s="36"/>
    </row>
    <row r="165" ht="14.25" customHeight="1">
      <c r="A165" s="2"/>
      <c r="B165" s="22"/>
      <c r="C165" s="16"/>
      <c r="D165" s="36"/>
    </row>
    <row r="166" ht="14.25" customHeight="1">
      <c r="A166" s="2"/>
      <c r="B166" s="22"/>
      <c r="C166" s="16"/>
      <c r="D166" s="36"/>
    </row>
    <row r="167" ht="14.25" customHeight="1">
      <c r="A167" s="2"/>
      <c r="B167" s="22"/>
      <c r="C167" s="16"/>
      <c r="D167" s="36"/>
    </row>
    <row r="168" ht="14.25" customHeight="1">
      <c r="A168" s="2"/>
      <c r="B168" s="22"/>
      <c r="C168" s="16"/>
      <c r="D168" s="36"/>
    </row>
    <row r="169" ht="14.25" customHeight="1">
      <c r="A169" s="2"/>
      <c r="B169" s="22"/>
      <c r="C169" s="16"/>
      <c r="D169" s="36"/>
    </row>
    <row r="170" ht="14.25" customHeight="1">
      <c r="A170" s="2"/>
      <c r="B170" s="22"/>
      <c r="C170" s="16"/>
      <c r="D170" s="36"/>
    </row>
    <row r="171" ht="14.25" customHeight="1">
      <c r="A171" s="2"/>
      <c r="B171" s="22"/>
      <c r="C171" s="16"/>
      <c r="D171" s="36"/>
    </row>
    <row r="172" ht="14.25" customHeight="1">
      <c r="A172" s="2"/>
      <c r="B172" s="22"/>
      <c r="C172" s="16"/>
      <c r="D172" s="36"/>
    </row>
    <row r="173" ht="14.25" customHeight="1">
      <c r="A173" s="2"/>
      <c r="B173" s="22"/>
      <c r="C173" s="16"/>
      <c r="D173" s="36"/>
    </row>
    <row r="174" ht="14.25" customHeight="1">
      <c r="A174" s="2"/>
      <c r="B174" s="22"/>
      <c r="C174" s="16"/>
      <c r="D174" s="36"/>
    </row>
    <row r="175" ht="14.25" customHeight="1">
      <c r="A175" s="2"/>
      <c r="B175" s="22"/>
      <c r="C175" s="16"/>
      <c r="D175" s="36"/>
    </row>
    <row r="176" ht="14.25" customHeight="1">
      <c r="A176" s="2"/>
      <c r="B176" s="22"/>
      <c r="C176" s="16"/>
      <c r="D176" s="36"/>
    </row>
    <row r="177" ht="14.25" customHeight="1">
      <c r="A177" s="2"/>
      <c r="B177" s="22"/>
      <c r="C177" s="16"/>
      <c r="D177" s="36"/>
    </row>
    <row r="178" ht="14.25" customHeight="1">
      <c r="A178" s="2"/>
      <c r="B178" s="22"/>
      <c r="C178" s="16"/>
      <c r="D178" s="36"/>
    </row>
    <row r="179" ht="14.25" customHeight="1">
      <c r="A179" s="2"/>
      <c r="B179" s="22"/>
      <c r="C179" s="16"/>
      <c r="D179" s="36"/>
    </row>
    <row r="180" ht="14.25" customHeight="1">
      <c r="A180" s="2"/>
      <c r="B180" s="22"/>
      <c r="C180" s="16"/>
      <c r="D180" s="36"/>
    </row>
    <row r="181" ht="14.25" customHeight="1">
      <c r="A181" s="2"/>
      <c r="B181" s="22"/>
      <c r="C181" s="16"/>
      <c r="D181" s="36"/>
    </row>
    <row r="182" ht="14.25" customHeight="1">
      <c r="A182" s="2"/>
      <c r="B182" s="22"/>
      <c r="C182" s="16"/>
      <c r="D182" s="36"/>
    </row>
    <row r="183" ht="14.25" customHeight="1">
      <c r="A183" s="2"/>
      <c r="B183" s="22"/>
      <c r="C183" s="16"/>
      <c r="D183" s="36"/>
    </row>
    <row r="184" ht="14.25" customHeight="1">
      <c r="A184" s="2"/>
      <c r="B184" s="22"/>
      <c r="C184" s="16"/>
      <c r="D184" s="36"/>
    </row>
    <row r="185" ht="14.25" customHeight="1">
      <c r="A185" s="2"/>
      <c r="B185" s="22"/>
      <c r="C185" s="16"/>
      <c r="D185" s="36"/>
    </row>
    <row r="186" ht="14.25" customHeight="1">
      <c r="A186" s="2"/>
      <c r="B186" s="22"/>
      <c r="C186" s="16"/>
      <c r="D186" s="36"/>
    </row>
    <row r="187" ht="14.25" customHeight="1">
      <c r="A187" s="2"/>
      <c r="B187" s="22"/>
      <c r="C187" s="16"/>
      <c r="D187" s="36"/>
    </row>
    <row r="188" ht="14.25" customHeight="1">
      <c r="A188" s="2"/>
      <c r="B188" s="22"/>
      <c r="C188" s="16"/>
      <c r="D188" s="36"/>
    </row>
    <row r="189" ht="14.25" customHeight="1">
      <c r="A189" s="2"/>
      <c r="B189" s="22"/>
      <c r="C189" s="16"/>
      <c r="D189" s="36"/>
    </row>
    <row r="190" ht="14.25" customHeight="1">
      <c r="A190" s="2"/>
      <c r="B190" s="22"/>
      <c r="C190" s="16"/>
      <c r="D190" s="36"/>
    </row>
    <row r="191" ht="14.25" customHeight="1">
      <c r="A191" s="2"/>
      <c r="B191" s="22"/>
      <c r="C191" s="16"/>
      <c r="D191" s="36"/>
    </row>
    <row r="192" ht="14.25" customHeight="1">
      <c r="A192" s="2"/>
      <c r="B192" s="22"/>
      <c r="C192" s="16"/>
      <c r="D192" s="36"/>
    </row>
    <row r="193" ht="14.25" customHeight="1">
      <c r="A193" s="2"/>
      <c r="B193" s="22"/>
      <c r="C193" s="16"/>
      <c r="D193" s="36"/>
    </row>
    <row r="194" ht="14.25" customHeight="1">
      <c r="A194" s="2"/>
      <c r="B194" s="22"/>
      <c r="C194" s="16"/>
      <c r="D194" s="36"/>
    </row>
    <row r="195" ht="14.25" customHeight="1">
      <c r="A195" s="2"/>
      <c r="B195" s="22"/>
      <c r="C195" s="16"/>
      <c r="D195" s="36"/>
    </row>
    <row r="196" ht="14.25" customHeight="1">
      <c r="A196" s="2"/>
      <c r="B196" s="22"/>
      <c r="C196" s="16"/>
      <c r="D196" s="36"/>
    </row>
    <row r="197" ht="14.25" customHeight="1">
      <c r="A197" s="2"/>
      <c r="B197" s="22"/>
      <c r="C197" s="16"/>
      <c r="D197" s="36"/>
    </row>
    <row r="198" ht="14.25" customHeight="1">
      <c r="A198" s="2"/>
      <c r="B198" s="22"/>
      <c r="C198" s="16"/>
      <c r="D198" s="36"/>
    </row>
    <row r="199" ht="14.25" customHeight="1">
      <c r="A199" s="2"/>
      <c r="B199" s="22"/>
      <c r="C199" s="16"/>
      <c r="D199" s="36"/>
    </row>
    <row r="200" ht="14.25" customHeight="1">
      <c r="A200" s="2"/>
      <c r="B200" s="22"/>
      <c r="C200" s="16"/>
      <c r="D200" s="36"/>
    </row>
    <row r="201" ht="14.25" customHeight="1">
      <c r="A201" s="2"/>
      <c r="B201" s="22"/>
      <c r="C201" s="16"/>
      <c r="D201" s="36"/>
    </row>
    <row r="202" ht="14.25" customHeight="1">
      <c r="A202" s="2"/>
      <c r="B202" s="22"/>
      <c r="C202" s="16"/>
      <c r="D202" s="36"/>
    </row>
    <row r="203" ht="14.25" customHeight="1">
      <c r="A203" s="2"/>
      <c r="B203" s="22"/>
      <c r="C203" s="16"/>
      <c r="D203" s="36"/>
    </row>
    <row r="204" ht="14.25" customHeight="1">
      <c r="A204" s="2"/>
      <c r="B204" s="22"/>
      <c r="C204" s="16"/>
      <c r="D204" s="36"/>
    </row>
    <row r="205" ht="14.25" customHeight="1">
      <c r="A205" s="2"/>
      <c r="B205" s="22"/>
      <c r="C205" s="16"/>
      <c r="D205" s="36"/>
    </row>
    <row r="206" ht="14.25" customHeight="1">
      <c r="A206" s="2"/>
      <c r="B206" s="22"/>
      <c r="C206" s="16"/>
      <c r="D206" s="36"/>
    </row>
    <row r="207" ht="14.25" customHeight="1">
      <c r="A207" s="2"/>
      <c r="B207" s="22"/>
      <c r="C207" s="16"/>
      <c r="D207" s="36"/>
    </row>
    <row r="208" ht="14.25" customHeight="1">
      <c r="A208" s="2"/>
      <c r="B208" s="22"/>
      <c r="C208" s="16"/>
      <c r="D208" s="36"/>
    </row>
    <row r="209" ht="14.25" customHeight="1">
      <c r="A209" s="2"/>
      <c r="B209" s="22"/>
      <c r="C209" s="16"/>
      <c r="D209" s="36"/>
    </row>
    <row r="210" ht="14.25" customHeight="1">
      <c r="A210" s="2"/>
      <c r="B210" s="22"/>
      <c r="C210" s="16"/>
      <c r="D210" s="36"/>
    </row>
    <row r="211" ht="14.25" customHeight="1">
      <c r="A211" s="2"/>
      <c r="B211" s="22"/>
      <c r="C211" s="16"/>
      <c r="D211" s="36"/>
    </row>
    <row r="212" ht="14.25" customHeight="1">
      <c r="A212" s="2"/>
      <c r="B212" s="22"/>
      <c r="C212" s="16"/>
      <c r="D212" s="36"/>
    </row>
    <row r="213" ht="14.25" customHeight="1">
      <c r="A213" s="2"/>
      <c r="B213" s="22"/>
      <c r="C213" s="16"/>
      <c r="D213" s="36"/>
    </row>
    <row r="214" ht="14.25" customHeight="1">
      <c r="A214" s="2"/>
      <c r="B214" s="22"/>
      <c r="C214" s="16"/>
      <c r="D214" s="36"/>
    </row>
    <row r="215" ht="14.25" customHeight="1">
      <c r="A215" s="2"/>
      <c r="B215" s="22"/>
      <c r="C215" s="16"/>
      <c r="D215" s="36"/>
    </row>
    <row r="216" ht="14.25" customHeight="1">
      <c r="A216" s="2"/>
      <c r="B216" s="22"/>
      <c r="C216" s="16"/>
      <c r="D216" s="36"/>
    </row>
    <row r="217" ht="14.25" customHeight="1">
      <c r="A217" s="2"/>
      <c r="B217" s="22"/>
      <c r="C217" s="16"/>
      <c r="D217" s="36"/>
    </row>
    <row r="218" ht="14.25" customHeight="1">
      <c r="A218" s="2"/>
      <c r="B218" s="22"/>
      <c r="C218" s="16"/>
      <c r="D218" s="36"/>
    </row>
    <row r="219" ht="14.25" customHeight="1">
      <c r="A219" s="2"/>
      <c r="B219" s="22"/>
      <c r="C219" s="16"/>
      <c r="D219" s="36"/>
    </row>
    <row r="220" ht="14.25" customHeight="1">
      <c r="A220" s="2"/>
      <c r="B220" s="22"/>
      <c r="C220" s="16"/>
      <c r="D220" s="36"/>
    </row>
    <row r="221" ht="14.25" customHeight="1">
      <c r="A221" s="2"/>
      <c r="B221" s="22"/>
      <c r="C221" s="16"/>
      <c r="D221" s="36"/>
    </row>
    <row r="222" ht="14.25" customHeight="1">
      <c r="A222" s="2"/>
      <c r="B222" s="22"/>
      <c r="C222" s="16"/>
      <c r="D222" s="36"/>
    </row>
    <row r="223" ht="14.25" customHeight="1">
      <c r="A223" s="2"/>
      <c r="B223" s="22"/>
      <c r="C223" s="16"/>
      <c r="D223" s="36"/>
    </row>
    <row r="224" ht="14.25" customHeight="1">
      <c r="A224" s="2"/>
      <c r="B224" s="22"/>
      <c r="C224" s="16"/>
      <c r="D224" s="36"/>
    </row>
    <row r="225" ht="14.25" customHeight="1">
      <c r="A225" s="2"/>
      <c r="B225" s="22"/>
      <c r="C225" s="16"/>
      <c r="D225" s="36"/>
    </row>
    <row r="226" ht="14.25" customHeight="1">
      <c r="A226" s="2"/>
      <c r="B226" s="22"/>
      <c r="C226" s="16"/>
      <c r="D226" s="36"/>
    </row>
    <row r="227" ht="14.25" customHeight="1">
      <c r="A227" s="2"/>
      <c r="B227" s="22"/>
      <c r="C227" s="16"/>
      <c r="D227" s="36"/>
    </row>
    <row r="228" ht="14.25" customHeight="1">
      <c r="A228" s="2"/>
      <c r="B228" s="22"/>
      <c r="C228" s="16"/>
      <c r="D228" s="36"/>
    </row>
    <row r="229" ht="14.25" customHeight="1">
      <c r="A229" s="2"/>
      <c r="B229" s="22"/>
      <c r="C229" s="16"/>
      <c r="D229" s="36"/>
    </row>
    <row r="230" ht="14.25" customHeight="1">
      <c r="A230" s="2"/>
      <c r="B230" s="22"/>
      <c r="C230" s="16"/>
      <c r="D230" s="36"/>
    </row>
    <row r="231" ht="14.25" customHeight="1">
      <c r="A231" s="2"/>
      <c r="B231" s="22"/>
      <c r="C231" s="16"/>
      <c r="D231" s="36"/>
    </row>
    <row r="232" ht="14.25" customHeight="1">
      <c r="A232" s="2"/>
      <c r="B232" s="22"/>
      <c r="C232" s="16"/>
      <c r="D232" s="36"/>
    </row>
    <row r="233" ht="14.25" customHeight="1">
      <c r="A233" s="2"/>
      <c r="B233" s="22"/>
      <c r="C233" s="16"/>
      <c r="D233" s="36"/>
    </row>
    <row r="234" ht="14.25" customHeight="1">
      <c r="A234" s="2"/>
      <c r="B234" s="22"/>
      <c r="C234" s="16"/>
      <c r="D234" s="36"/>
    </row>
    <row r="235" ht="14.25" customHeight="1">
      <c r="A235" s="2"/>
      <c r="B235" s="22"/>
      <c r="C235" s="16"/>
      <c r="D235" s="36"/>
    </row>
    <row r="236" ht="14.25" customHeight="1">
      <c r="A236" s="2"/>
      <c r="B236" s="22"/>
      <c r="C236" s="16"/>
      <c r="D236" s="36"/>
    </row>
    <row r="237" ht="14.25" customHeight="1">
      <c r="A237" s="2"/>
      <c r="B237" s="22"/>
      <c r="C237" s="16"/>
      <c r="D237" s="36"/>
    </row>
    <row r="238" ht="14.25" customHeight="1">
      <c r="A238" s="2"/>
      <c r="B238" s="22"/>
      <c r="C238" s="16"/>
      <c r="D238" s="36"/>
    </row>
    <row r="239" ht="14.25" customHeight="1">
      <c r="B239" s="22"/>
      <c r="D239" s="34"/>
    </row>
    <row r="240" ht="14.25" customHeight="1">
      <c r="B240" s="22"/>
      <c r="D240" s="3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0">
    <sortState ref="A1:D40">
      <sortCondition ref="B1:B40"/>
      <sortCondition ref="A1:A40"/>
    </sortState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16.29"/>
    <col customWidth="1" min="3" max="3" width="19.71"/>
    <col customWidth="1" min="4" max="4" width="16.71"/>
    <col customWidth="1" min="5" max="5" width="14.43"/>
    <col customWidth="1" min="6" max="6" width="21.57"/>
    <col customWidth="1" min="7" max="7" width="20.43"/>
    <col customWidth="1" min="8" max="8" width="8.57"/>
    <col customWidth="1" min="9" max="9" width="3.0"/>
    <col customWidth="1" min="10" max="10" width="30.71"/>
    <col customWidth="1" min="11" max="11" width="17.71"/>
    <col customWidth="1" min="12" max="12" width="16.0"/>
    <col customWidth="1" hidden="1" min="13" max="13" width="15.0"/>
    <col customWidth="1" min="14" max="26" width="8.57"/>
  </cols>
  <sheetData>
    <row r="1" ht="19.5" customHeight="1">
      <c r="A1" s="40" t="s">
        <v>98</v>
      </c>
      <c r="B1" s="41"/>
      <c r="C1" s="41"/>
      <c r="D1" s="41"/>
      <c r="E1" s="41"/>
      <c r="F1" s="41"/>
      <c r="G1" s="42"/>
      <c r="H1" s="43"/>
      <c r="I1" s="43"/>
      <c r="J1" s="43"/>
      <c r="K1" s="43"/>
      <c r="M1" s="15" t="s">
        <v>99</v>
      </c>
    </row>
    <row r="2" ht="15.75" customHeight="1">
      <c r="J2" s="44" t="s">
        <v>100</v>
      </c>
      <c r="K2" s="44"/>
      <c r="M2" s="45">
        <f>EOMONTH(MAX(MAX('Todos os Gastos'!$A:$A),MAX('Inventário de Lotes'!$B:$B)),-1)+1</f>
        <v>46447</v>
      </c>
    </row>
    <row r="3" ht="15.0" customHeight="1">
      <c r="A3" s="46" t="s">
        <v>101</v>
      </c>
      <c r="B3" s="46" t="s">
        <v>102</v>
      </c>
      <c r="C3" s="46" t="s">
        <v>103</v>
      </c>
      <c r="D3" s="46" t="s">
        <v>104</v>
      </c>
      <c r="E3" s="46" t="s">
        <v>105</v>
      </c>
      <c r="F3" s="46" t="s">
        <v>106</v>
      </c>
      <c r="G3" s="46" t="s">
        <v>107</v>
      </c>
      <c r="J3" s="47" t="s">
        <v>108</v>
      </c>
      <c r="K3" s="48">
        <f>SUM(B4:B123)</f>
        <v>210173.87</v>
      </c>
      <c r="M3" s="15" t="s">
        <v>109</v>
      </c>
    </row>
    <row r="4" ht="15.0" customHeight="1">
      <c r="A4" s="49">
        <v>46054.0</v>
      </c>
      <c r="B4" s="50">
        <f>IF($A4="","",SUMIFS('Todos os Gastos'!$C:$C,'Todos os Gastos'!$A:$A,"&gt;="&amp;$A4,'Todos os Gastos'!$A:$A,"&lt;"&amp;EDATE($A4,1)))</f>
        <v>14233.42</v>
      </c>
      <c r="C4" s="50">
        <f>IF($A4="","",SUMIFS('Inventário de Lotes'!$C:$C,'Inventário de Lotes'!$B:$B,"&gt;="&amp;$A4,'Inventário de Lotes'!$B:$B,"&lt;"&amp;EDATE($A4,1)))</f>
        <v>32560.5</v>
      </c>
      <c r="D4" s="50">
        <f t="shared" ref="D4:D123" si="1">IF($A4="","",C4-B4)</f>
        <v>18327.08</v>
      </c>
      <c r="E4" s="51">
        <f>IF($A4="","",COUNTIFS('Todos os Gastos'!$A:$A,"&gt;="&amp;$A4,'Todos os Gastos'!$A:$A,"&lt;"&amp;EDATE($A4,1)))</f>
        <v>11</v>
      </c>
      <c r="F4" s="51">
        <f>IF($A4="","",COUNTIFS('Inventário de Lotes'!$B:$B,"&gt;="&amp;$A4,'Inventário de Lotes'!$B:$B,"&lt;"&amp;EDATE($A4,1)))</f>
        <v>6</v>
      </c>
      <c r="G4" s="50">
        <f t="shared" ref="G4:G123" si="2">IF($A4="","",SUM($D$4:D4))</f>
        <v>18327.08</v>
      </c>
      <c r="J4" s="47" t="s">
        <v>110</v>
      </c>
      <c r="K4" s="48">
        <f>SUM(C4:C123)</f>
        <v>211129.41</v>
      </c>
      <c r="M4" s="49">
        <v>46054.0</v>
      </c>
    </row>
    <row r="5" ht="15.0" customHeight="1">
      <c r="A5" s="52">
        <f t="shared" ref="A5:A123" si="3">IF(A4&lt;$M$2,EDATE(A4,1),"")</f>
        <v>46082</v>
      </c>
      <c r="B5" s="53">
        <f>IF($A5="","",SUMIFS('Todos os Gastos'!$C:$C,'Todos os Gastos'!$A:$A,"&gt;="&amp;$A5,'Todos os Gastos'!$A:$A,"&lt;"&amp;EDATE($A5,1)))</f>
        <v>17340.15</v>
      </c>
      <c r="C5" s="53">
        <f>IF($A5="","",SUMIFS('Inventário de Lotes'!$C:$C,'Inventário de Lotes'!$B:$B,"&gt;="&amp;$A5,'Inventário de Lotes'!$B:$B,"&lt;"&amp;EDATE($A5,1)))</f>
        <v>16526.53</v>
      </c>
      <c r="D5" s="53">
        <f t="shared" si="1"/>
        <v>-813.62</v>
      </c>
      <c r="E5" s="54">
        <f>IF($A5="","",COUNTIFS('Todos os Gastos'!$A:$A,"&gt;="&amp;$A5,'Todos os Gastos'!$A:$A,"&lt;"&amp;EDATE($A5,1)))</f>
        <v>28</v>
      </c>
      <c r="F5" s="54">
        <f>IF($A5="","",COUNTIFS('Inventário de Lotes'!$B:$B,"&gt;="&amp;$A5,'Inventário de Lotes'!$B:$B,"&lt;"&amp;EDATE($A5,1)))</f>
        <v>5</v>
      </c>
      <c r="G5" s="53">
        <f t="shared" si="2"/>
        <v>17513.46</v>
      </c>
      <c r="J5" s="47" t="s">
        <v>111</v>
      </c>
      <c r="K5" s="48">
        <f>SUMIFS(D4:D123,A4:A123,"&lt;="&amp;EOMONTH(TODAY(),0)+1-1,A4:A123,"&lt;&gt;")</f>
        <v>14857.1</v>
      </c>
    </row>
    <row r="6" ht="15.0" customHeight="1">
      <c r="A6" s="49">
        <f t="shared" si="3"/>
        <v>46113</v>
      </c>
      <c r="B6" s="50">
        <f>IF($A6="","",SUMIFS('Todos os Gastos'!$C:$C,'Todos os Gastos'!$A:$A,"&gt;="&amp;$A6,'Todos os Gastos'!$A:$A,"&lt;"&amp;EDATE($A6,1)))</f>
        <v>19818.74</v>
      </c>
      <c r="C6" s="50">
        <f>IF($A6="","",SUMIFS('Inventário de Lotes'!$C:$C,'Inventário de Lotes'!$B:$B,"&gt;="&amp;$A6,'Inventário de Lotes'!$B:$B,"&lt;"&amp;EDATE($A6,1)))</f>
        <v>17162.38</v>
      </c>
      <c r="D6" s="50">
        <f t="shared" si="1"/>
        <v>-2656.36</v>
      </c>
      <c r="E6" s="51">
        <f>IF($A6="","",COUNTIFS('Todos os Gastos'!$A:$A,"&gt;="&amp;$A6,'Todos os Gastos'!$A:$A,"&lt;"&amp;EDATE($A6,1)))</f>
        <v>25</v>
      </c>
      <c r="F6" s="51">
        <f>IF($A6="","",COUNTIFS('Inventário de Lotes'!$B:$B,"&gt;="&amp;$A6,'Inventário de Lotes'!$B:$B,"&lt;"&amp;EDATE($A6,1)))</f>
        <v>4</v>
      </c>
      <c r="G6" s="50">
        <f t="shared" si="2"/>
        <v>14857.1</v>
      </c>
      <c r="J6" s="47" t="s">
        <v>112</v>
      </c>
      <c r="K6" s="48">
        <f>G17</f>
        <v>955.54</v>
      </c>
    </row>
    <row r="7" ht="15.0" customHeight="1">
      <c r="A7" s="52">
        <f t="shared" si="3"/>
        <v>46143</v>
      </c>
      <c r="B7" s="53">
        <f>IF($A7="","",SUMIFS('Todos os Gastos'!$C:$C,'Todos os Gastos'!$A:$A,"&gt;="&amp;$A7,'Todos os Gastos'!$A:$A,"&lt;"&amp;EDATE($A7,1)))</f>
        <v>14234.11</v>
      </c>
      <c r="C7" s="53">
        <f>IF($A7="","",SUMIFS('Inventário de Lotes'!$C:$C,'Inventário de Lotes'!$B:$B,"&gt;="&amp;$A7,'Inventário de Lotes'!$B:$B,"&lt;"&amp;EDATE($A7,1)))</f>
        <v>16280</v>
      </c>
      <c r="D7" s="53">
        <f t="shared" si="1"/>
        <v>2045.89</v>
      </c>
      <c r="E7" s="54">
        <f>IF($A7="","",COUNTIFS('Todos os Gastos'!$A:$A,"&gt;="&amp;$A7,'Todos os Gastos'!$A:$A,"&lt;"&amp;EDATE($A7,1)))</f>
        <v>12</v>
      </c>
      <c r="F7" s="54">
        <f>IF($A7="","",COUNTIFS('Inventário de Lotes'!$B:$B,"&gt;="&amp;$A7,'Inventário de Lotes'!$B:$B,"&lt;"&amp;EDATE($A7,1)))</f>
        <v>3</v>
      </c>
      <c r="G7" s="53">
        <f t="shared" si="2"/>
        <v>16902.99</v>
      </c>
      <c r="J7" s="47" t="s">
        <v>113</v>
      </c>
      <c r="K7" s="48">
        <f>SUMIFS(D4:D123,A4:A123,"&gt;="&amp;EOMONTH(TODAY(),-1)+1,A4:A123,"&lt;"&amp;EDATE(EOMONTH(TODAY(),-1)+1,1))</f>
        <v>-2656.36</v>
      </c>
    </row>
    <row r="8" ht="15.0" customHeight="1">
      <c r="A8" s="49">
        <f t="shared" si="3"/>
        <v>46174</v>
      </c>
      <c r="B8" s="50">
        <f>IF($A8="","",SUMIFS('Todos os Gastos'!$C:$C,'Todos os Gastos'!$A:$A,"&gt;="&amp;$A8,'Todos os Gastos'!$A:$A,"&lt;"&amp;EDATE($A8,1)))</f>
        <v>13844.18</v>
      </c>
      <c r="C8" s="50">
        <f>IF($A8="","",SUMIFS('Inventário de Lotes'!$C:$C,'Inventário de Lotes'!$B:$B,"&gt;="&amp;$A8,'Inventário de Lotes'!$B:$B,"&lt;"&amp;EDATE($A8,1)))</f>
        <v>14480</v>
      </c>
      <c r="D8" s="50">
        <f t="shared" si="1"/>
        <v>635.82</v>
      </c>
      <c r="E8" s="51">
        <f>IF($A8="","",COUNTIFS('Todos os Gastos'!$A:$A,"&gt;="&amp;$A8,'Todos os Gastos'!$A:$A,"&lt;"&amp;EDATE($A8,1)))</f>
        <v>13</v>
      </c>
      <c r="F8" s="51">
        <f>IF($A8="","",COUNTIFS('Inventário de Lotes'!$B:$B,"&gt;="&amp;$A8,'Inventário de Lotes'!$B:$B,"&lt;"&amp;EDATE($A8,1)))</f>
        <v>3</v>
      </c>
      <c r="G8" s="50">
        <f t="shared" si="2"/>
        <v>17538.81</v>
      </c>
      <c r="J8" s="47" t="s">
        <v>114</v>
      </c>
      <c r="K8" s="48">
        <f>AVERAGEIF(D4:D123,"&lt;&gt;",D4:D123)</f>
        <v>68.25285714</v>
      </c>
    </row>
    <row r="9" ht="15.0" customHeight="1">
      <c r="A9" s="52">
        <f t="shared" si="3"/>
        <v>46204</v>
      </c>
      <c r="B9" s="53">
        <f>IF($A9="","",SUMIFS('Todos os Gastos'!$C:$C,'Todos os Gastos'!$A:$A,"&gt;="&amp;$A9,'Todos os Gastos'!$A:$A,"&lt;"&amp;EDATE($A9,1)))</f>
        <v>13264.18</v>
      </c>
      <c r="C9" s="53">
        <f>IF($A9="","",SUMIFS('Inventário de Lotes'!$C:$C,'Inventário de Lotes'!$B:$B,"&gt;="&amp;$A9,'Inventário de Lotes'!$B:$B,"&lt;"&amp;EDATE($A9,1)))</f>
        <v>12680</v>
      </c>
      <c r="D9" s="53">
        <f t="shared" si="1"/>
        <v>-584.18</v>
      </c>
      <c r="E9" s="54">
        <f>IF($A9="","",COUNTIFS('Todos os Gastos'!$A:$A,"&gt;="&amp;$A9,'Todos os Gastos'!$A:$A,"&lt;"&amp;EDATE($A9,1)))</f>
        <v>12</v>
      </c>
      <c r="F9" s="54">
        <f>IF($A9="","",COUNTIFS('Inventário de Lotes'!$B:$B,"&gt;="&amp;$A9,'Inventário de Lotes'!$B:$B,"&lt;"&amp;EDATE($A9,1)))</f>
        <v>2</v>
      </c>
      <c r="G9" s="53">
        <f t="shared" si="2"/>
        <v>16954.63</v>
      </c>
      <c r="J9" s="47" t="s">
        <v>115</v>
      </c>
      <c r="K9" s="48">
        <f>MAX(B4:B123)</f>
        <v>19818.74</v>
      </c>
    </row>
    <row r="10" ht="15.0" customHeight="1">
      <c r="A10" s="49">
        <f t="shared" si="3"/>
        <v>46235</v>
      </c>
      <c r="B10" s="50">
        <f>IF($A10="","",SUMIFS('Todos os Gastos'!$C:$C,'Todos os Gastos'!$A:$A,"&gt;="&amp;$A10,'Todos os Gastos'!$A:$A,"&lt;"&amp;EDATE($A10,1)))</f>
        <v>13824.18</v>
      </c>
      <c r="C10" s="50">
        <f>IF($A10="","",SUMIFS('Inventário de Lotes'!$C:$C,'Inventário de Lotes'!$B:$B,"&gt;="&amp;$A10,'Inventário de Lotes'!$B:$B,"&lt;"&amp;EDATE($A10,1)))</f>
        <v>12680</v>
      </c>
      <c r="D10" s="50">
        <f t="shared" si="1"/>
        <v>-1144.18</v>
      </c>
      <c r="E10" s="51">
        <f>IF($A10="","",COUNTIFS('Todos os Gastos'!$A:$A,"&gt;="&amp;$A10,'Todos os Gastos'!$A:$A,"&lt;"&amp;EDATE($A10,1)))</f>
        <v>14</v>
      </c>
      <c r="F10" s="51">
        <f>IF($A10="","",COUNTIFS('Inventário de Lotes'!$B:$B,"&gt;="&amp;$A10,'Inventário de Lotes'!$B:$B,"&lt;"&amp;EDATE($A10,1)))</f>
        <v>2</v>
      </c>
      <c r="G10" s="50">
        <f t="shared" si="2"/>
        <v>15810.45</v>
      </c>
      <c r="J10" s="47" t="s">
        <v>116</v>
      </c>
      <c r="K10" s="48">
        <f>MAX(C4:C123)</f>
        <v>32560.5</v>
      </c>
    </row>
    <row r="11" ht="15.0" customHeight="1">
      <c r="A11" s="52">
        <f t="shared" si="3"/>
        <v>46266</v>
      </c>
      <c r="B11" s="53">
        <f>IF($A11="","",SUMIFS('Todos os Gastos'!$C:$C,'Todos os Gastos'!$A:$A,"&gt;="&amp;$A11,'Todos os Gastos'!$A:$A,"&lt;"&amp;EDATE($A11,1)))</f>
        <v>14474.18</v>
      </c>
      <c r="C11" s="53">
        <f>IF($A11="","",SUMIFS('Inventário de Lotes'!$C:$C,'Inventário de Lotes'!$B:$B,"&gt;="&amp;$A11,'Inventário de Lotes'!$B:$B,"&lt;"&amp;EDATE($A11,1)))</f>
        <v>12680</v>
      </c>
      <c r="D11" s="53">
        <f t="shared" si="1"/>
        <v>-1794.18</v>
      </c>
      <c r="E11" s="54">
        <f>IF($A11="","",COUNTIFS('Todos os Gastos'!$A:$A,"&gt;="&amp;$A11,'Todos os Gastos'!$A:$A,"&lt;"&amp;EDATE($A11,1)))</f>
        <v>13</v>
      </c>
      <c r="F11" s="54">
        <f>IF($A11="","",COUNTIFS('Inventário de Lotes'!$B:$B,"&gt;="&amp;$A11,'Inventário de Lotes'!$B:$B,"&lt;"&amp;EDATE($A11,1)))</f>
        <v>2</v>
      </c>
      <c r="G11" s="53">
        <f t="shared" si="2"/>
        <v>14016.27</v>
      </c>
      <c r="J11" s="47" t="s">
        <v>117</v>
      </c>
      <c r="K11" s="55" t="str">
        <f>TEXT(A4,"mmm/yy")&amp;" a "&amp;TEXT($M$2,"mmm/yy")</f>
        <v>fev./26 a mar./27</v>
      </c>
    </row>
    <row r="12" ht="15.0" customHeight="1">
      <c r="A12" s="49">
        <f t="shared" si="3"/>
        <v>46296</v>
      </c>
      <c r="B12" s="50">
        <f>IF($A12="","",SUMIFS('Todos os Gastos'!$C:$C,'Todos os Gastos'!$A:$A,"&gt;="&amp;$A12,'Todos os Gastos'!$A:$A,"&lt;"&amp;EDATE($A12,1)))</f>
        <v>14073.98</v>
      </c>
      <c r="C12" s="50">
        <f>IF($A12="","",SUMIFS('Inventário de Lotes'!$C:$C,'Inventário de Lotes'!$B:$B,"&gt;="&amp;$A12,'Inventário de Lotes'!$B:$B,"&lt;"&amp;EDATE($A12,1)))</f>
        <v>12680</v>
      </c>
      <c r="D12" s="50">
        <f t="shared" si="1"/>
        <v>-1393.98</v>
      </c>
      <c r="E12" s="51">
        <f>IF($A12="","",COUNTIFS('Todos os Gastos'!$A:$A,"&gt;="&amp;$A12,'Todos os Gastos'!$A:$A,"&lt;"&amp;EDATE($A12,1)))</f>
        <v>15</v>
      </c>
      <c r="F12" s="51">
        <f>IF($A12="","",COUNTIFS('Inventário de Lotes'!$B:$B,"&gt;="&amp;$A12,'Inventário de Lotes'!$B:$B,"&lt;"&amp;EDATE($A12,1)))</f>
        <v>2</v>
      </c>
      <c r="G12" s="50">
        <f t="shared" si="2"/>
        <v>12622.29</v>
      </c>
      <c r="J12" s="47" t="s">
        <v>118</v>
      </c>
      <c r="K12" s="55" t="str">
        <f>TEXT(TODAY(),"mmm/yy")</f>
        <v>abr./26</v>
      </c>
    </row>
    <row r="13" ht="15.0" customHeight="1">
      <c r="A13" s="52">
        <f t="shared" si="3"/>
        <v>46327</v>
      </c>
      <c r="B13" s="53">
        <f>IF($A13="","",SUMIFS('Todos os Gastos'!$C:$C,'Todos os Gastos'!$A:$A,"&gt;="&amp;$A13,'Todos os Gastos'!$A:$A,"&lt;"&amp;EDATE($A13,1)))</f>
        <v>13574.18</v>
      </c>
      <c r="C13" s="53">
        <f>IF($A13="","",SUMIFS('Inventário de Lotes'!$C:$C,'Inventário de Lotes'!$B:$B,"&gt;="&amp;$A13,'Inventário de Lotes'!$B:$B,"&lt;"&amp;EDATE($A13,1)))</f>
        <v>12680</v>
      </c>
      <c r="D13" s="53">
        <f t="shared" si="1"/>
        <v>-894.18</v>
      </c>
      <c r="E13" s="54">
        <f>IF($A13="","",COUNTIFS('Todos os Gastos'!$A:$A,"&gt;="&amp;$A13,'Todos os Gastos'!$A:$A,"&lt;"&amp;EDATE($A13,1)))</f>
        <v>13</v>
      </c>
      <c r="F13" s="54">
        <f>IF($A13="","",COUNTIFS('Inventário de Lotes'!$B:$B,"&gt;="&amp;$A13,'Inventário de Lotes'!$B:$B,"&lt;"&amp;EDATE($A13,1)))</f>
        <v>2</v>
      </c>
      <c r="G13" s="53">
        <f t="shared" si="2"/>
        <v>11728.11</v>
      </c>
    </row>
    <row r="14" ht="15.0" customHeight="1">
      <c r="A14" s="49">
        <f t="shared" si="3"/>
        <v>46357</v>
      </c>
      <c r="B14" s="50">
        <f>IF($A14="","",SUMIFS('Todos os Gastos'!$C:$C,'Todos os Gastos'!$A:$A,"&gt;="&amp;$A14,'Todos os Gastos'!$A:$A,"&lt;"&amp;EDATE($A14,1)))</f>
        <v>17094.18</v>
      </c>
      <c r="C14" s="50">
        <f>IF($A14="","",SUMIFS('Inventário de Lotes'!$C:$C,'Inventário de Lotes'!$B:$B,"&gt;="&amp;$A14,'Inventário de Lotes'!$B:$B,"&lt;"&amp;EDATE($A14,1)))</f>
        <v>12680</v>
      </c>
      <c r="D14" s="50">
        <f t="shared" si="1"/>
        <v>-4414.18</v>
      </c>
      <c r="E14" s="51">
        <f>IF($A14="","",COUNTIFS('Todos os Gastos'!$A:$A,"&gt;="&amp;$A14,'Todos os Gastos'!$A:$A,"&lt;"&amp;EDATE($A14,1)))</f>
        <v>14</v>
      </c>
      <c r="F14" s="51">
        <f>IF($A14="","",COUNTIFS('Inventário de Lotes'!$B:$B,"&gt;="&amp;$A14,'Inventário de Lotes'!$B:$B,"&lt;"&amp;EDATE($A14,1)))</f>
        <v>2</v>
      </c>
      <c r="G14" s="50">
        <f t="shared" si="2"/>
        <v>7313.93</v>
      </c>
      <c r="J14" s="56"/>
    </row>
    <row r="15" ht="15.0" customHeight="1">
      <c r="A15" s="52">
        <f t="shared" si="3"/>
        <v>46388</v>
      </c>
      <c r="B15" s="53">
        <f>IF($A15="","",SUMIFS('Todos os Gastos'!$C:$C,'Todos os Gastos'!$A:$A,"&gt;="&amp;$A15,'Todos os Gastos'!$A:$A,"&lt;"&amp;EDATE($A15,1)))</f>
        <v>12588.85</v>
      </c>
      <c r="C15" s="53">
        <f>IF($A15="","",SUMIFS('Inventário de Lotes'!$C:$C,'Inventário de Lotes'!$B:$B,"&gt;="&amp;$A15,'Inventário de Lotes'!$B:$B,"&lt;"&amp;EDATE($A15,1)))</f>
        <v>12680</v>
      </c>
      <c r="D15" s="53">
        <f t="shared" si="1"/>
        <v>91.15</v>
      </c>
      <c r="E15" s="54">
        <f>IF($A15="","",COUNTIFS('Todos os Gastos'!$A:$A,"&gt;="&amp;$A15,'Todos os Gastos'!$A:$A,"&lt;"&amp;EDATE($A15,1)))</f>
        <v>11</v>
      </c>
      <c r="F15" s="54">
        <f>IF($A15="","",COUNTIFS('Inventário de Lotes'!$B:$B,"&gt;="&amp;$A15,'Inventário de Lotes'!$B:$B,"&lt;"&amp;EDATE($A15,1)))</f>
        <v>2</v>
      </c>
      <c r="G15" s="53">
        <f t="shared" si="2"/>
        <v>7405.08</v>
      </c>
    </row>
    <row r="16" ht="15.0" customHeight="1">
      <c r="A16" s="49">
        <f t="shared" si="3"/>
        <v>46419</v>
      </c>
      <c r="B16" s="50">
        <f>IF($A16="","",SUMIFS('Todos os Gastos'!$C:$C,'Todos os Gastos'!$A:$A,"&gt;="&amp;$A16,'Todos os Gastos'!$A:$A,"&lt;"&amp;EDATE($A16,1)))</f>
        <v>15735.95</v>
      </c>
      <c r="C16" s="50">
        <f>IF($A16="","",SUMIFS('Inventário de Lotes'!$C:$C,'Inventário de Lotes'!$B:$B,"&gt;="&amp;$A16,'Inventário de Lotes'!$B:$B,"&lt;"&amp;EDATE($A16,1)))</f>
        <v>12680</v>
      </c>
      <c r="D16" s="50">
        <f t="shared" si="1"/>
        <v>-3055.95</v>
      </c>
      <c r="E16" s="51">
        <f>IF($A16="","",COUNTIFS('Todos os Gastos'!$A:$A,"&gt;="&amp;$A16,'Todos os Gastos'!$A:$A,"&lt;"&amp;EDATE($A16,1)))</f>
        <v>15</v>
      </c>
      <c r="F16" s="51">
        <f>IF($A16="","",COUNTIFS('Inventário de Lotes'!$B:$B,"&gt;="&amp;$A16,'Inventário de Lotes'!$B:$B,"&lt;"&amp;EDATE($A16,1)))</f>
        <v>2</v>
      </c>
      <c r="G16" s="50">
        <f t="shared" si="2"/>
        <v>4349.13</v>
      </c>
    </row>
    <row r="17" ht="15.0" customHeight="1">
      <c r="A17" s="52">
        <f t="shared" si="3"/>
        <v>46447</v>
      </c>
      <c r="B17" s="53">
        <f>IF($A17="","",SUMIFS('Todos os Gastos'!$C:$C,'Todos os Gastos'!$A:$A,"&gt;="&amp;$A17,'Todos os Gastos'!$A:$A,"&lt;"&amp;EDATE($A17,1)))</f>
        <v>16073.59</v>
      </c>
      <c r="C17" s="53">
        <f>IF($A17="","",SUMIFS('Inventário de Lotes'!$C:$C,'Inventário de Lotes'!$B:$B,"&gt;="&amp;$A17,'Inventário de Lotes'!$B:$B,"&lt;"&amp;EDATE($A17,1)))</f>
        <v>12680</v>
      </c>
      <c r="D17" s="53">
        <f t="shared" si="1"/>
        <v>-3393.59</v>
      </c>
      <c r="E17" s="54">
        <f>IF($A17="","",COUNTIFS('Todos os Gastos'!$A:$A,"&gt;="&amp;$A17,'Todos os Gastos'!$A:$A,"&lt;"&amp;EDATE($A17,1)))</f>
        <v>16</v>
      </c>
      <c r="F17" s="54">
        <f>IF($A17="","",COUNTIFS('Inventário de Lotes'!$B:$B,"&gt;="&amp;$A17,'Inventário de Lotes'!$B:$B,"&lt;"&amp;EDATE($A17,1)))</f>
        <v>2</v>
      </c>
      <c r="G17" s="53">
        <f t="shared" si="2"/>
        <v>955.54</v>
      </c>
    </row>
    <row r="18" ht="15.0" customHeight="1">
      <c r="A18" s="49" t="str">
        <f t="shared" si="3"/>
        <v/>
      </c>
      <c r="B18" s="50" t="str">
        <f>IF($A18="","",SUMIFS('Todos os Gastos'!$C:$C,'Todos os Gastos'!$A:$A,"&gt;="&amp;$A18,'Todos os Gastos'!$A:$A,"&lt;"&amp;EDATE($A18,1)))</f>
        <v/>
      </c>
      <c r="C18" s="50" t="str">
        <f>IF($A18="","",SUMIFS('Inventário de Lotes'!$C:$C,'Inventário de Lotes'!$B:$B,"&gt;="&amp;$A18,'Inventário de Lotes'!$B:$B,"&lt;"&amp;EDATE($A18,1)))</f>
        <v/>
      </c>
      <c r="D18" s="50" t="str">
        <f t="shared" si="1"/>
        <v/>
      </c>
      <c r="E18" s="51" t="str">
        <f>IF($A18="","",COUNTIFS('Todos os Gastos'!$A:$A,"&gt;="&amp;$A18,'Todos os Gastos'!$A:$A,"&lt;"&amp;EDATE($A18,1)))</f>
        <v/>
      </c>
      <c r="F18" s="51" t="str">
        <f>IF($A18="","",COUNTIFS('Inventário de Lotes'!$B:$B,"&gt;="&amp;$A18,'Inventário de Lotes'!$B:$B,"&lt;"&amp;EDATE($A18,1)))</f>
        <v/>
      </c>
      <c r="G18" s="50" t="str">
        <f t="shared" si="2"/>
        <v/>
      </c>
    </row>
    <row r="19" ht="15.0" customHeight="1">
      <c r="A19" s="52" t="str">
        <f t="shared" si="3"/>
        <v/>
      </c>
      <c r="B19" s="53" t="str">
        <f>IF($A19="","",SUMIFS('Todos os Gastos'!$C:$C,'Todos os Gastos'!$A:$A,"&gt;="&amp;$A19,'Todos os Gastos'!$A:$A,"&lt;"&amp;EDATE($A19,1)))</f>
        <v/>
      </c>
      <c r="C19" s="53" t="str">
        <f>IF($A19="","",SUMIFS('Inventário de Lotes'!$C:$C,'Inventário de Lotes'!$B:$B,"&gt;="&amp;$A19,'Inventário de Lotes'!$B:$B,"&lt;"&amp;EDATE($A19,1)))</f>
        <v/>
      </c>
      <c r="D19" s="53" t="str">
        <f t="shared" si="1"/>
        <v/>
      </c>
      <c r="E19" s="54" t="str">
        <f>IF($A19="","",COUNTIFS('Todos os Gastos'!$A:$A,"&gt;="&amp;$A19,'Todos os Gastos'!$A:$A,"&lt;"&amp;EDATE($A19,1)))</f>
        <v/>
      </c>
      <c r="F19" s="54" t="str">
        <f>IF($A19="","",COUNTIFS('Inventário de Lotes'!$B:$B,"&gt;="&amp;$A19,'Inventário de Lotes'!$B:$B,"&lt;"&amp;EDATE($A19,1)))</f>
        <v/>
      </c>
      <c r="G19" s="53" t="str">
        <f t="shared" si="2"/>
        <v/>
      </c>
    </row>
    <row r="20" ht="15.0" customHeight="1">
      <c r="A20" s="49" t="str">
        <f t="shared" si="3"/>
        <v/>
      </c>
      <c r="B20" s="50" t="str">
        <f>IF($A20="","",SUMIFS('Todos os Gastos'!$C:$C,'Todos os Gastos'!$A:$A,"&gt;="&amp;$A20,'Todos os Gastos'!$A:$A,"&lt;"&amp;EDATE($A20,1)))</f>
        <v/>
      </c>
      <c r="C20" s="50" t="str">
        <f>IF($A20="","",SUMIFS('Inventário de Lotes'!$C:$C,'Inventário de Lotes'!$B:$B,"&gt;="&amp;$A20,'Inventário de Lotes'!$B:$B,"&lt;"&amp;EDATE($A20,1)))</f>
        <v/>
      </c>
      <c r="D20" s="50" t="str">
        <f t="shared" si="1"/>
        <v/>
      </c>
      <c r="E20" s="51" t="str">
        <f>IF($A20="","",COUNTIFS('Todos os Gastos'!$A:$A,"&gt;="&amp;$A20,'Todos os Gastos'!$A:$A,"&lt;"&amp;EDATE($A20,1)))</f>
        <v/>
      </c>
      <c r="F20" s="51" t="str">
        <f>IF($A20="","",COUNTIFS('Inventário de Lotes'!$B:$B,"&gt;="&amp;$A20,'Inventário de Lotes'!$B:$B,"&lt;"&amp;EDATE($A20,1)))</f>
        <v/>
      </c>
      <c r="G20" s="50" t="str">
        <f t="shared" si="2"/>
        <v/>
      </c>
    </row>
    <row r="21" ht="15.0" customHeight="1">
      <c r="A21" s="52" t="str">
        <f t="shared" si="3"/>
        <v/>
      </c>
      <c r="B21" s="53" t="str">
        <f>IF($A21="","",SUMIFS('Todos os Gastos'!$C:$C,'Todos os Gastos'!$A:$A,"&gt;="&amp;$A21,'Todos os Gastos'!$A:$A,"&lt;"&amp;EDATE($A21,1)))</f>
        <v/>
      </c>
      <c r="C21" s="53" t="str">
        <f>IF($A21="","",SUMIFS('Inventário de Lotes'!$C:$C,'Inventário de Lotes'!$B:$B,"&gt;="&amp;$A21,'Inventário de Lotes'!$B:$B,"&lt;"&amp;EDATE($A21,1)))</f>
        <v/>
      </c>
      <c r="D21" s="53" t="str">
        <f t="shared" si="1"/>
        <v/>
      </c>
      <c r="E21" s="54" t="str">
        <f>IF($A21="","",COUNTIFS('Todos os Gastos'!$A:$A,"&gt;="&amp;$A21,'Todos os Gastos'!$A:$A,"&lt;"&amp;EDATE($A21,1)))</f>
        <v/>
      </c>
      <c r="F21" s="54" t="str">
        <f>IF($A21="","",COUNTIFS('Inventário de Lotes'!$B:$B,"&gt;="&amp;$A21,'Inventário de Lotes'!$B:$B,"&lt;"&amp;EDATE($A21,1)))</f>
        <v/>
      </c>
      <c r="G21" s="53" t="str">
        <f t="shared" si="2"/>
        <v/>
      </c>
    </row>
    <row r="22" ht="15.0" customHeight="1">
      <c r="A22" s="49" t="str">
        <f t="shared" si="3"/>
        <v/>
      </c>
      <c r="B22" s="50" t="str">
        <f>IF($A22="","",SUMIFS('Todos os Gastos'!$C:$C,'Todos os Gastos'!$A:$A,"&gt;="&amp;$A22,'Todos os Gastos'!$A:$A,"&lt;"&amp;EDATE($A22,1)))</f>
        <v/>
      </c>
      <c r="C22" s="50" t="str">
        <f>IF($A22="","",SUMIFS('Inventário de Lotes'!$C:$C,'Inventário de Lotes'!$B:$B,"&gt;="&amp;$A22,'Inventário de Lotes'!$B:$B,"&lt;"&amp;EDATE($A22,1)))</f>
        <v/>
      </c>
      <c r="D22" s="50" t="str">
        <f t="shared" si="1"/>
        <v/>
      </c>
      <c r="E22" s="51" t="str">
        <f>IF($A22="","",COUNTIFS('Todos os Gastos'!$A:$A,"&gt;="&amp;$A22,'Todos os Gastos'!$A:$A,"&lt;"&amp;EDATE($A22,1)))</f>
        <v/>
      </c>
      <c r="F22" s="51" t="str">
        <f>IF($A22="","",COUNTIFS('Inventário de Lotes'!$B:$B,"&gt;="&amp;$A22,'Inventário de Lotes'!$B:$B,"&lt;"&amp;EDATE($A22,1)))</f>
        <v/>
      </c>
      <c r="G22" s="50" t="str">
        <f t="shared" si="2"/>
        <v/>
      </c>
    </row>
    <row r="23" ht="15.0" customHeight="1">
      <c r="A23" s="52" t="str">
        <f t="shared" si="3"/>
        <v/>
      </c>
      <c r="B23" s="53" t="str">
        <f>IF($A23="","",SUMIFS('Todos os Gastos'!$C:$C,'Todos os Gastos'!$A:$A,"&gt;="&amp;$A23,'Todos os Gastos'!$A:$A,"&lt;"&amp;EDATE($A23,1)))</f>
        <v/>
      </c>
      <c r="C23" s="53" t="str">
        <f>IF($A23="","",SUMIFS('Inventário de Lotes'!$C:$C,'Inventário de Lotes'!$B:$B,"&gt;="&amp;$A23,'Inventário de Lotes'!$B:$B,"&lt;"&amp;EDATE($A23,1)))</f>
        <v/>
      </c>
      <c r="D23" s="53" t="str">
        <f t="shared" si="1"/>
        <v/>
      </c>
      <c r="E23" s="54" t="str">
        <f>IF($A23="","",COUNTIFS('Todos os Gastos'!$A:$A,"&gt;="&amp;$A23,'Todos os Gastos'!$A:$A,"&lt;"&amp;EDATE($A23,1)))</f>
        <v/>
      </c>
      <c r="F23" s="54" t="str">
        <f>IF($A23="","",COUNTIFS('Inventário de Lotes'!$B:$B,"&gt;="&amp;$A23,'Inventário de Lotes'!$B:$B,"&lt;"&amp;EDATE($A23,1)))</f>
        <v/>
      </c>
      <c r="G23" s="53" t="str">
        <f t="shared" si="2"/>
        <v/>
      </c>
    </row>
    <row r="24" ht="15.0" customHeight="1">
      <c r="A24" s="49" t="str">
        <f t="shared" si="3"/>
        <v/>
      </c>
      <c r="B24" s="50" t="str">
        <f>IF($A24="","",SUMIFS('Todos os Gastos'!$C:$C,'Todos os Gastos'!$A:$A,"&gt;="&amp;$A24,'Todos os Gastos'!$A:$A,"&lt;"&amp;EDATE($A24,1)))</f>
        <v/>
      </c>
      <c r="C24" s="50" t="str">
        <f>IF($A24="","",SUMIFS('Inventário de Lotes'!$C:$C,'Inventário de Lotes'!$B:$B,"&gt;="&amp;$A24,'Inventário de Lotes'!$B:$B,"&lt;"&amp;EDATE($A24,1)))</f>
        <v/>
      </c>
      <c r="D24" s="50" t="str">
        <f t="shared" si="1"/>
        <v/>
      </c>
      <c r="E24" s="51" t="str">
        <f>IF($A24="","",COUNTIFS('Todos os Gastos'!$A:$A,"&gt;="&amp;$A24,'Todos os Gastos'!$A:$A,"&lt;"&amp;EDATE($A24,1)))</f>
        <v/>
      </c>
      <c r="F24" s="51" t="str">
        <f>IF($A24="","",COUNTIFS('Inventário de Lotes'!$B:$B,"&gt;="&amp;$A24,'Inventário de Lotes'!$B:$B,"&lt;"&amp;EDATE($A24,1)))</f>
        <v/>
      </c>
      <c r="G24" s="50" t="str">
        <f t="shared" si="2"/>
        <v/>
      </c>
    </row>
    <row r="25" ht="15.0" customHeight="1">
      <c r="A25" s="52" t="str">
        <f t="shared" si="3"/>
        <v/>
      </c>
      <c r="B25" s="53" t="str">
        <f>IF($A25="","",SUMIFS('Todos os Gastos'!$C:$C,'Todos os Gastos'!$A:$A,"&gt;="&amp;$A25,'Todos os Gastos'!$A:$A,"&lt;"&amp;EDATE($A25,1)))</f>
        <v/>
      </c>
      <c r="C25" s="53" t="str">
        <f>IF($A25="","",SUMIFS('Inventário de Lotes'!$C:$C,'Inventário de Lotes'!$B:$B,"&gt;="&amp;$A25,'Inventário de Lotes'!$B:$B,"&lt;"&amp;EDATE($A25,1)))</f>
        <v/>
      </c>
      <c r="D25" s="53" t="str">
        <f t="shared" si="1"/>
        <v/>
      </c>
      <c r="E25" s="54" t="str">
        <f>IF($A25="","",COUNTIFS('Todos os Gastos'!$A:$A,"&gt;="&amp;$A25,'Todos os Gastos'!$A:$A,"&lt;"&amp;EDATE($A25,1)))</f>
        <v/>
      </c>
      <c r="F25" s="54" t="str">
        <f>IF($A25="","",COUNTIFS('Inventário de Lotes'!$B:$B,"&gt;="&amp;$A25,'Inventário de Lotes'!$B:$B,"&lt;"&amp;EDATE($A25,1)))</f>
        <v/>
      </c>
      <c r="G25" s="53" t="str">
        <f t="shared" si="2"/>
        <v/>
      </c>
    </row>
    <row r="26" ht="15.0" customHeight="1">
      <c r="A26" s="49" t="str">
        <f t="shared" si="3"/>
        <v/>
      </c>
      <c r="B26" s="50" t="str">
        <f>IF($A26="","",SUMIFS('Todos os Gastos'!$C:$C,'Todos os Gastos'!$A:$A,"&gt;="&amp;$A26,'Todos os Gastos'!$A:$A,"&lt;"&amp;EDATE($A26,1)))</f>
        <v/>
      </c>
      <c r="C26" s="50" t="str">
        <f>IF($A26="","",SUMIFS('Inventário de Lotes'!$C:$C,'Inventário de Lotes'!$B:$B,"&gt;="&amp;$A26,'Inventário de Lotes'!$B:$B,"&lt;"&amp;EDATE($A26,1)))</f>
        <v/>
      </c>
      <c r="D26" s="50" t="str">
        <f t="shared" si="1"/>
        <v/>
      </c>
      <c r="E26" s="51" t="str">
        <f>IF($A26="","",COUNTIFS('Todos os Gastos'!$A:$A,"&gt;="&amp;$A26,'Todos os Gastos'!$A:$A,"&lt;"&amp;EDATE($A26,1)))</f>
        <v/>
      </c>
      <c r="F26" s="51" t="str">
        <f>IF($A26="","",COUNTIFS('Inventário de Lotes'!$B:$B,"&gt;="&amp;$A26,'Inventário de Lotes'!$B:$B,"&lt;"&amp;EDATE($A26,1)))</f>
        <v/>
      </c>
      <c r="G26" s="50" t="str">
        <f t="shared" si="2"/>
        <v/>
      </c>
    </row>
    <row r="27" ht="15.0" customHeight="1">
      <c r="A27" s="52" t="str">
        <f t="shared" si="3"/>
        <v/>
      </c>
      <c r="B27" s="53" t="str">
        <f>IF($A27="","",SUMIFS('Todos os Gastos'!$C:$C,'Todos os Gastos'!$A:$A,"&gt;="&amp;$A27,'Todos os Gastos'!$A:$A,"&lt;"&amp;EDATE($A27,1)))</f>
        <v/>
      </c>
      <c r="C27" s="53" t="str">
        <f>IF($A27="","",SUMIFS('Inventário de Lotes'!$C:$C,'Inventário de Lotes'!$B:$B,"&gt;="&amp;$A27,'Inventário de Lotes'!$B:$B,"&lt;"&amp;EDATE($A27,1)))</f>
        <v/>
      </c>
      <c r="D27" s="53" t="str">
        <f t="shared" si="1"/>
        <v/>
      </c>
      <c r="E27" s="54" t="str">
        <f>IF($A27="","",COUNTIFS('Todos os Gastos'!$A:$A,"&gt;="&amp;$A27,'Todos os Gastos'!$A:$A,"&lt;"&amp;EDATE($A27,1)))</f>
        <v/>
      </c>
      <c r="F27" s="54" t="str">
        <f>IF($A27="","",COUNTIFS('Inventário de Lotes'!$B:$B,"&gt;="&amp;$A27,'Inventário de Lotes'!$B:$B,"&lt;"&amp;EDATE($A27,1)))</f>
        <v/>
      </c>
      <c r="G27" s="53" t="str">
        <f t="shared" si="2"/>
        <v/>
      </c>
    </row>
    <row r="28" ht="15.0" customHeight="1">
      <c r="A28" s="49" t="str">
        <f t="shared" si="3"/>
        <v/>
      </c>
      <c r="B28" s="50" t="str">
        <f>IF($A28="","",SUMIFS('Todos os Gastos'!$C:$C,'Todos os Gastos'!$A:$A,"&gt;="&amp;$A28,'Todos os Gastos'!$A:$A,"&lt;"&amp;EDATE($A28,1)))</f>
        <v/>
      </c>
      <c r="C28" s="50" t="str">
        <f>IF($A28="","",SUMIFS('Inventário de Lotes'!$C:$C,'Inventário de Lotes'!$B:$B,"&gt;="&amp;$A28,'Inventário de Lotes'!$B:$B,"&lt;"&amp;EDATE($A28,1)))</f>
        <v/>
      </c>
      <c r="D28" s="50" t="str">
        <f t="shared" si="1"/>
        <v/>
      </c>
      <c r="E28" s="51" t="str">
        <f>IF($A28="","",COUNTIFS('Todos os Gastos'!$A:$A,"&gt;="&amp;$A28,'Todos os Gastos'!$A:$A,"&lt;"&amp;EDATE($A28,1)))</f>
        <v/>
      </c>
      <c r="F28" s="51" t="str">
        <f>IF($A28="","",COUNTIFS('Inventário de Lotes'!$B:$B,"&gt;="&amp;$A28,'Inventário de Lotes'!$B:$B,"&lt;"&amp;EDATE($A28,1)))</f>
        <v/>
      </c>
      <c r="G28" s="50" t="str">
        <f t="shared" si="2"/>
        <v/>
      </c>
    </row>
    <row r="29" ht="15.0" customHeight="1">
      <c r="A29" s="52" t="str">
        <f t="shared" si="3"/>
        <v/>
      </c>
      <c r="B29" s="53" t="str">
        <f>IF($A29="","",SUMIFS('Todos os Gastos'!$C:$C,'Todos os Gastos'!$A:$A,"&gt;="&amp;$A29,'Todos os Gastos'!$A:$A,"&lt;"&amp;EDATE($A29,1)))</f>
        <v/>
      </c>
      <c r="C29" s="53" t="str">
        <f>IF($A29="","",SUMIFS('Inventário de Lotes'!$C:$C,'Inventário de Lotes'!$B:$B,"&gt;="&amp;$A29,'Inventário de Lotes'!$B:$B,"&lt;"&amp;EDATE($A29,1)))</f>
        <v/>
      </c>
      <c r="D29" s="53" t="str">
        <f t="shared" si="1"/>
        <v/>
      </c>
      <c r="E29" s="54" t="str">
        <f>IF($A29="","",COUNTIFS('Todos os Gastos'!$A:$A,"&gt;="&amp;$A29,'Todos os Gastos'!$A:$A,"&lt;"&amp;EDATE($A29,1)))</f>
        <v/>
      </c>
      <c r="F29" s="54" t="str">
        <f>IF($A29="","",COUNTIFS('Inventário de Lotes'!$B:$B,"&gt;="&amp;$A29,'Inventário de Lotes'!$B:$B,"&lt;"&amp;EDATE($A29,1)))</f>
        <v/>
      </c>
      <c r="G29" s="53" t="str">
        <f t="shared" si="2"/>
        <v/>
      </c>
    </row>
    <row r="30" ht="15.0" customHeight="1">
      <c r="A30" s="49" t="str">
        <f t="shared" si="3"/>
        <v/>
      </c>
      <c r="B30" s="50" t="str">
        <f>IF($A30="","",SUMIFS('Todos os Gastos'!$C:$C,'Todos os Gastos'!$A:$A,"&gt;="&amp;$A30,'Todos os Gastos'!$A:$A,"&lt;"&amp;EDATE($A30,1)))</f>
        <v/>
      </c>
      <c r="C30" s="50" t="str">
        <f>IF($A30="","",SUMIFS('Inventário de Lotes'!$C:$C,'Inventário de Lotes'!$B:$B,"&gt;="&amp;$A30,'Inventário de Lotes'!$B:$B,"&lt;"&amp;EDATE($A30,1)))</f>
        <v/>
      </c>
      <c r="D30" s="50" t="str">
        <f t="shared" si="1"/>
        <v/>
      </c>
      <c r="E30" s="51" t="str">
        <f>IF($A30="","",COUNTIFS('Todos os Gastos'!$A:$A,"&gt;="&amp;$A30,'Todos os Gastos'!$A:$A,"&lt;"&amp;EDATE($A30,1)))</f>
        <v/>
      </c>
      <c r="F30" s="51" t="str">
        <f>IF($A30="","",COUNTIFS('Inventário de Lotes'!$B:$B,"&gt;="&amp;$A30,'Inventário de Lotes'!$B:$B,"&lt;"&amp;EDATE($A30,1)))</f>
        <v/>
      </c>
      <c r="G30" s="50" t="str">
        <f t="shared" si="2"/>
        <v/>
      </c>
    </row>
    <row r="31" ht="15.0" customHeight="1">
      <c r="A31" s="52" t="str">
        <f t="shared" si="3"/>
        <v/>
      </c>
      <c r="B31" s="53" t="str">
        <f>IF($A31="","",SUMIFS('Todos os Gastos'!$C:$C,'Todos os Gastos'!$A:$A,"&gt;="&amp;$A31,'Todos os Gastos'!$A:$A,"&lt;"&amp;EDATE($A31,1)))</f>
        <v/>
      </c>
      <c r="C31" s="53" t="str">
        <f>IF($A31="","",SUMIFS('Inventário de Lotes'!$C:$C,'Inventário de Lotes'!$B:$B,"&gt;="&amp;$A31,'Inventário de Lotes'!$B:$B,"&lt;"&amp;EDATE($A31,1)))</f>
        <v/>
      </c>
      <c r="D31" s="53" t="str">
        <f t="shared" si="1"/>
        <v/>
      </c>
      <c r="E31" s="54" t="str">
        <f>IF($A31="","",COUNTIFS('Todos os Gastos'!$A:$A,"&gt;="&amp;$A31,'Todos os Gastos'!$A:$A,"&lt;"&amp;EDATE($A31,1)))</f>
        <v/>
      </c>
      <c r="F31" s="54" t="str">
        <f>IF($A31="","",COUNTIFS('Inventário de Lotes'!$B:$B,"&gt;="&amp;$A31,'Inventário de Lotes'!$B:$B,"&lt;"&amp;EDATE($A31,1)))</f>
        <v/>
      </c>
      <c r="G31" s="53" t="str">
        <f t="shared" si="2"/>
        <v/>
      </c>
    </row>
    <row r="32" ht="15.0" customHeight="1">
      <c r="A32" s="49" t="str">
        <f t="shared" si="3"/>
        <v/>
      </c>
      <c r="B32" s="50" t="str">
        <f>IF($A32="","",SUMIFS('Todos os Gastos'!$C:$C,'Todos os Gastos'!$A:$A,"&gt;="&amp;$A32,'Todos os Gastos'!$A:$A,"&lt;"&amp;EDATE($A32,1)))</f>
        <v/>
      </c>
      <c r="C32" s="50" t="str">
        <f>IF($A32="","",SUMIFS('Inventário de Lotes'!$C:$C,'Inventário de Lotes'!$B:$B,"&gt;="&amp;$A32,'Inventário de Lotes'!$B:$B,"&lt;"&amp;EDATE($A32,1)))</f>
        <v/>
      </c>
      <c r="D32" s="50" t="str">
        <f t="shared" si="1"/>
        <v/>
      </c>
      <c r="E32" s="51" t="str">
        <f>IF($A32="","",COUNTIFS('Todos os Gastos'!$A:$A,"&gt;="&amp;$A32,'Todos os Gastos'!$A:$A,"&lt;"&amp;EDATE($A32,1)))</f>
        <v/>
      </c>
      <c r="F32" s="51" t="str">
        <f>IF($A32="","",COUNTIFS('Inventário de Lotes'!$B:$B,"&gt;="&amp;$A32,'Inventário de Lotes'!$B:$B,"&lt;"&amp;EDATE($A32,1)))</f>
        <v/>
      </c>
      <c r="G32" s="50" t="str">
        <f t="shared" si="2"/>
        <v/>
      </c>
    </row>
    <row r="33" ht="15.0" customHeight="1">
      <c r="A33" s="52" t="str">
        <f t="shared" si="3"/>
        <v/>
      </c>
      <c r="B33" s="53" t="str">
        <f>IF($A33="","",SUMIFS('Todos os Gastos'!$C:$C,'Todos os Gastos'!$A:$A,"&gt;="&amp;$A33,'Todos os Gastos'!$A:$A,"&lt;"&amp;EDATE($A33,1)))</f>
        <v/>
      </c>
      <c r="C33" s="53" t="str">
        <f>IF($A33="","",SUMIFS('Inventário de Lotes'!$C:$C,'Inventário de Lotes'!$B:$B,"&gt;="&amp;$A33,'Inventário de Lotes'!$B:$B,"&lt;"&amp;EDATE($A33,1)))</f>
        <v/>
      </c>
      <c r="D33" s="53" t="str">
        <f t="shared" si="1"/>
        <v/>
      </c>
      <c r="E33" s="54" t="str">
        <f>IF($A33="","",COUNTIFS('Todos os Gastos'!$A:$A,"&gt;="&amp;$A33,'Todos os Gastos'!$A:$A,"&lt;"&amp;EDATE($A33,1)))</f>
        <v/>
      </c>
      <c r="F33" s="54" t="str">
        <f>IF($A33="","",COUNTIFS('Inventário de Lotes'!$B:$B,"&gt;="&amp;$A33,'Inventário de Lotes'!$B:$B,"&lt;"&amp;EDATE($A33,1)))</f>
        <v/>
      </c>
      <c r="G33" s="53" t="str">
        <f t="shared" si="2"/>
        <v/>
      </c>
    </row>
    <row r="34" ht="15.0" customHeight="1">
      <c r="A34" s="49" t="str">
        <f t="shared" si="3"/>
        <v/>
      </c>
      <c r="B34" s="50" t="str">
        <f>IF($A34="","",SUMIFS('Todos os Gastos'!$C:$C,'Todos os Gastos'!$A:$A,"&gt;="&amp;$A34,'Todos os Gastos'!$A:$A,"&lt;"&amp;EDATE($A34,1)))</f>
        <v/>
      </c>
      <c r="C34" s="50" t="str">
        <f>IF($A34="","",SUMIFS('Inventário de Lotes'!$C:$C,'Inventário de Lotes'!$B:$B,"&gt;="&amp;$A34,'Inventário de Lotes'!$B:$B,"&lt;"&amp;EDATE($A34,1)))</f>
        <v/>
      </c>
      <c r="D34" s="50" t="str">
        <f t="shared" si="1"/>
        <v/>
      </c>
      <c r="E34" s="51" t="str">
        <f>IF($A34="","",COUNTIFS('Todos os Gastos'!$A:$A,"&gt;="&amp;$A34,'Todos os Gastos'!$A:$A,"&lt;"&amp;EDATE($A34,1)))</f>
        <v/>
      </c>
      <c r="F34" s="51" t="str">
        <f>IF($A34="","",COUNTIFS('Inventário de Lotes'!$B:$B,"&gt;="&amp;$A34,'Inventário de Lotes'!$B:$B,"&lt;"&amp;EDATE($A34,1)))</f>
        <v/>
      </c>
      <c r="G34" s="50" t="str">
        <f t="shared" si="2"/>
        <v/>
      </c>
    </row>
    <row r="35" ht="15.0" customHeight="1">
      <c r="A35" s="52" t="str">
        <f t="shared" si="3"/>
        <v/>
      </c>
      <c r="B35" s="53" t="str">
        <f>IF($A35="","",SUMIFS('Todos os Gastos'!$C:$C,'Todos os Gastos'!$A:$A,"&gt;="&amp;$A35,'Todos os Gastos'!$A:$A,"&lt;"&amp;EDATE($A35,1)))</f>
        <v/>
      </c>
      <c r="C35" s="53" t="str">
        <f>IF($A35="","",SUMIFS('Inventário de Lotes'!$C:$C,'Inventário de Lotes'!$B:$B,"&gt;="&amp;$A35,'Inventário de Lotes'!$B:$B,"&lt;"&amp;EDATE($A35,1)))</f>
        <v/>
      </c>
      <c r="D35" s="53" t="str">
        <f t="shared" si="1"/>
        <v/>
      </c>
      <c r="E35" s="54" t="str">
        <f>IF($A35="","",COUNTIFS('Todos os Gastos'!$A:$A,"&gt;="&amp;$A35,'Todos os Gastos'!$A:$A,"&lt;"&amp;EDATE($A35,1)))</f>
        <v/>
      </c>
      <c r="F35" s="54" t="str">
        <f>IF($A35="","",COUNTIFS('Inventário de Lotes'!$B:$B,"&gt;="&amp;$A35,'Inventário de Lotes'!$B:$B,"&lt;"&amp;EDATE($A35,1)))</f>
        <v/>
      </c>
      <c r="G35" s="53" t="str">
        <f t="shared" si="2"/>
        <v/>
      </c>
    </row>
    <row r="36" ht="15.0" customHeight="1">
      <c r="A36" s="49" t="str">
        <f t="shared" si="3"/>
        <v/>
      </c>
      <c r="B36" s="50" t="str">
        <f>IF($A36="","",SUMIFS('Todos os Gastos'!$C:$C,'Todos os Gastos'!$A:$A,"&gt;="&amp;$A36,'Todos os Gastos'!$A:$A,"&lt;"&amp;EDATE($A36,1)))</f>
        <v/>
      </c>
      <c r="C36" s="50" t="str">
        <f>IF($A36="","",SUMIFS('Inventário de Lotes'!$C:$C,'Inventário de Lotes'!$B:$B,"&gt;="&amp;$A36,'Inventário de Lotes'!$B:$B,"&lt;"&amp;EDATE($A36,1)))</f>
        <v/>
      </c>
      <c r="D36" s="50" t="str">
        <f t="shared" si="1"/>
        <v/>
      </c>
      <c r="E36" s="51" t="str">
        <f>IF($A36="","",COUNTIFS('Todos os Gastos'!$A:$A,"&gt;="&amp;$A36,'Todos os Gastos'!$A:$A,"&lt;"&amp;EDATE($A36,1)))</f>
        <v/>
      </c>
      <c r="F36" s="51" t="str">
        <f>IF($A36="","",COUNTIFS('Inventário de Lotes'!$B:$B,"&gt;="&amp;$A36,'Inventário de Lotes'!$B:$B,"&lt;"&amp;EDATE($A36,1)))</f>
        <v/>
      </c>
      <c r="G36" s="50" t="str">
        <f t="shared" si="2"/>
        <v/>
      </c>
    </row>
    <row r="37" ht="15.0" customHeight="1">
      <c r="A37" s="52" t="str">
        <f t="shared" si="3"/>
        <v/>
      </c>
      <c r="B37" s="53" t="str">
        <f>IF($A37="","",SUMIFS('Todos os Gastos'!$C:$C,'Todos os Gastos'!$A:$A,"&gt;="&amp;$A37,'Todos os Gastos'!$A:$A,"&lt;"&amp;EDATE($A37,1)))</f>
        <v/>
      </c>
      <c r="C37" s="53" t="str">
        <f>IF($A37="","",SUMIFS('Inventário de Lotes'!$C:$C,'Inventário de Lotes'!$B:$B,"&gt;="&amp;$A37,'Inventário de Lotes'!$B:$B,"&lt;"&amp;EDATE($A37,1)))</f>
        <v/>
      </c>
      <c r="D37" s="53" t="str">
        <f t="shared" si="1"/>
        <v/>
      </c>
      <c r="E37" s="54" t="str">
        <f>IF($A37="","",COUNTIFS('Todos os Gastos'!$A:$A,"&gt;="&amp;$A37,'Todos os Gastos'!$A:$A,"&lt;"&amp;EDATE($A37,1)))</f>
        <v/>
      </c>
      <c r="F37" s="54" t="str">
        <f>IF($A37="","",COUNTIFS('Inventário de Lotes'!$B:$B,"&gt;="&amp;$A37,'Inventário de Lotes'!$B:$B,"&lt;"&amp;EDATE($A37,1)))</f>
        <v/>
      </c>
      <c r="G37" s="53" t="str">
        <f t="shared" si="2"/>
        <v/>
      </c>
    </row>
    <row r="38" ht="15.0" customHeight="1">
      <c r="A38" s="49" t="str">
        <f t="shared" si="3"/>
        <v/>
      </c>
      <c r="B38" s="50" t="str">
        <f>IF($A38="","",SUMIFS('Todos os Gastos'!$C:$C,'Todos os Gastos'!$A:$A,"&gt;="&amp;$A38,'Todos os Gastos'!$A:$A,"&lt;"&amp;EDATE($A38,1)))</f>
        <v/>
      </c>
      <c r="C38" s="50" t="str">
        <f>IF($A38="","",SUMIFS('Inventário de Lotes'!$C:$C,'Inventário de Lotes'!$B:$B,"&gt;="&amp;$A38,'Inventário de Lotes'!$B:$B,"&lt;"&amp;EDATE($A38,1)))</f>
        <v/>
      </c>
      <c r="D38" s="50" t="str">
        <f t="shared" si="1"/>
        <v/>
      </c>
      <c r="E38" s="51" t="str">
        <f>IF($A38="","",COUNTIFS('Todos os Gastos'!$A:$A,"&gt;="&amp;$A38,'Todos os Gastos'!$A:$A,"&lt;"&amp;EDATE($A38,1)))</f>
        <v/>
      </c>
      <c r="F38" s="51" t="str">
        <f>IF($A38="","",COUNTIFS('Inventário de Lotes'!$B:$B,"&gt;="&amp;$A38,'Inventário de Lotes'!$B:$B,"&lt;"&amp;EDATE($A38,1)))</f>
        <v/>
      </c>
      <c r="G38" s="50" t="str">
        <f t="shared" si="2"/>
        <v/>
      </c>
    </row>
    <row r="39" ht="15.0" customHeight="1">
      <c r="A39" s="52" t="str">
        <f t="shared" si="3"/>
        <v/>
      </c>
      <c r="B39" s="53" t="str">
        <f>IF($A39="","",SUMIFS('Todos os Gastos'!$C:$C,'Todos os Gastos'!$A:$A,"&gt;="&amp;$A39,'Todos os Gastos'!$A:$A,"&lt;"&amp;EDATE($A39,1)))</f>
        <v/>
      </c>
      <c r="C39" s="53" t="str">
        <f>IF($A39="","",SUMIFS('Inventário de Lotes'!$C:$C,'Inventário de Lotes'!$B:$B,"&gt;="&amp;$A39,'Inventário de Lotes'!$B:$B,"&lt;"&amp;EDATE($A39,1)))</f>
        <v/>
      </c>
      <c r="D39" s="53" t="str">
        <f t="shared" si="1"/>
        <v/>
      </c>
      <c r="E39" s="54" t="str">
        <f>IF($A39="","",COUNTIFS('Todos os Gastos'!$A:$A,"&gt;="&amp;$A39,'Todos os Gastos'!$A:$A,"&lt;"&amp;EDATE($A39,1)))</f>
        <v/>
      </c>
      <c r="F39" s="54" t="str">
        <f>IF($A39="","",COUNTIFS('Inventário de Lotes'!$B:$B,"&gt;="&amp;$A39,'Inventário de Lotes'!$B:$B,"&lt;"&amp;EDATE($A39,1)))</f>
        <v/>
      </c>
      <c r="G39" s="53" t="str">
        <f t="shared" si="2"/>
        <v/>
      </c>
    </row>
    <row r="40" ht="15.0" customHeight="1">
      <c r="A40" s="49" t="str">
        <f t="shared" si="3"/>
        <v/>
      </c>
      <c r="B40" s="50" t="str">
        <f>IF($A40="","",SUMIFS('Todos os Gastos'!$C:$C,'Todos os Gastos'!$A:$A,"&gt;="&amp;$A40,'Todos os Gastos'!$A:$A,"&lt;"&amp;EDATE($A40,1)))</f>
        <v/>
      </c>
      <c r="C40" s="50" t="str">
        <f>IF($A40="","",SUMIFS('Inventário de Lotes'!$C:$C,'Inventário de Lotes'!$B:$B,"&gt;="&amp;$A40,'Inventário de Lotes'!$B:$B,"&lt;"&amp;EDATE($A40,1)))</f>
        <v/>
      </c>
      <c r="D40" s="50" t="str">
        <f t="shared" si="1"/>
        <v/>
      </c>
      <c r="E40" s="51" t="str">
        <f>IF($A40="","",COUNTIFS('Todos os Gastos'!$A:$A,"&gt;="&amp;$A40,'Todos os Gastos'!$A:$A,"&lt;"&amp;EDATE($A40,1)))</f>
        <v/>
      </c>
      <c r="F40" s="51" t="str">
        <f>IF($A40="","",COUNTIFS('Inventário de Lotes'!$B:$B,"&gt;="&amp;$A40,'Inventário de Lotes'!$B:$B,"&lt;"&amp;EDATE($A40,1)))</f>
        <v/>
      </c>
      <c r="G40" s="50" t="str">
        <f t="shared" si="2"/>
        <v/>
      </c>
    </row>
    <row r="41" ht="15.0" customHeight="1">
      <c r="A41" s="52" t="str">
        <f t="shared" si="3"/>
        <v/>
      </c>
      <c r="B41" s="53" t="str">
        <f>IF($A41="","",SUMIFS('Todos os Gastos'!$C:$C,'Todos os Gastos'!$A:$A,"&gt;="&amp;$A41,'Todos os Gastos'!$A:$A,"&lt;"&amp;EDATE($A41,1)))</f>
        <v/>
      </c>
      <c r="C41" s="53" t="str">
        <f>IF($A41="","",SUMIFS('Inventário de Lotes'!$C:$C,'Inventário de Lotes'!$B:$B,"&gt;="&amp;$A41,'Inventário de Lotes'!$B:$B,"&lt;"&amp;EDATE($A41,1)))</f>
        <v/>
      </c>
      <c r="D41" s="53" t="str">
        <f t="shared" si="1"/>
        <v/>
      </c>
      <c r="E41" s="54" t="str">
        <f>IF($A41="","",COUNTIFS('Todos os Gastos'!$A:$A,"&gt;="&amp;$A41,'Todos os Gastos'!$A:$A,"&lt;"&amp;EDATE($A41,1)))</f>
        <v/>
      </c>
      <c r="F41" s="54" t="str">
        <f>IF($A41="","",COUNTIFS('Inventário de Lotes'!$B:$B,"&gt;="&amp;$A41,'Inventário de Lotes'!$B:$B,"&lt;"&amp;EDATE($A41,1)))</f>
        <v/>
      </c>
      <c r="G41" s="53" t="str">
        <f t="shared" si="2"/>
        <v/>
      </c>
    </row>
    <row r="42" ht="15.0" customHeight="1">
      <c r="A42" s="49" t="str">
        <f t="shared" si="3"/>
        <v/>
      </c>
      <c r="B42" s="50" t="str">
        <f>IF($A42="","",SUMIFS('Todos os Gastos'!$C:$C,'Todos os Gastos'!$A:$A,"&gt;="&amp;$A42,'Todos os Gastos'!$A:$A,"&lt;"&amp;EDATE($A42,1)))</f>
        <v/>
      </c>
      <c r="C42" s="50" t="str">
        <f>IF($A42="","",SUMIFS('Inventário de Lotes'!$C:$C,'Inventário de Lotes'!$B:$B,"&gt;="&amp;$A42,'Inventário de Lotes'!$B:$B,"&lt;"&amp;EDATE($A42,1)))</f>
        <v/>
      </c>
      <c r="D42" s="50" t="str">
        <f t="shared" si="1"/>
        <v/>
      </c>
      <c r="E42" s="51" t="str">
        <f>IF($A42="","",COUNTIFS('Todos os Gastos'!$A:$A,"&gt;="&amp;$A42,'Todos os Gastos'!$A:$A,"&lt;"&amp;EDATE($A42,1)))</f>
        <v/>
      </c>
      <c r="F42" s="51" t="str">
        <f>IF($A42="","",COUNTIFS('Inventário de Lotes'!$B:$B,"&gt;="&amp;$A42,'Inventário de Lotes'!$B:$B,"&lt;"&amp;EDATE($A42,1)))</f>
        <v/>
      </c>
      <c r="G42" s="50" t="str">
        <f t="shared" si="2"/>
        <v/>
      </c>
    </row>
    <row r="43" ht="15.0" customHeight="1">
      <c r="A43" s="52" t="str">
        <f t="shared" si="3"/>
        <v/>
      </c>
      <c r="B43" s="53" t="str">
        <f>IF($A43="","",SUMIFS('Todos os Gastos'!$C:$C,'Todos os Gastos'!$A:$A,"&gt;="&amp;$A43,'Todos os Gastos'!$A:$A,"&lt;"&amp;EDATE($A43,1)))</f>
        <v/>
      </c>
      <c r="C43" s="53" t="str">
        <f>IF($A43="","",SUMIFS('Inventário de Lotes'!$C:$C,'Inventário de Lotes'!$B:$B,"&gt;="&amp;$A43,'Inventário de Lotes'!$B:$B,"&lt;"&amp;EDATE($A43,1)))</f>
        <v/>
      </c>
      <c r="D43" s="53" t="str">
        <f t="shared" si="1"/>
        <v/>
      </c>
      <c r="E43" s="54" t="str">
        <f>IF($A43="","",COUNTIFS('Todos os Gastos'!$A:$A,"&gt;="&amp;$A43,'Todos os Gastos'!$A:$A,"&lt;"&amp;EDATE($A43,1)))</f>
        <v/>
      </c>
      <c r="F43" s="54" t="str">
        <f>IF($A43="","",COUNTIFS('Inventário de Lotes'!$B:$B,"&gt;="&amp;$A43,'Inventário de Lotes'!$B:$B,"&lt;"&amp;EDATE($A43,1)))</f>
        <v/>
      </c>
      <c r="G43" s="53" t="str">
        <f t="shared" si="2"/>
        <v/>
      </c>
    </row>
    <row r="44" ht="15.0" customHeight="1">
      <c r="A44" s="49" t="str">
        <f t="shared" si="3"/>
        <v/>
      </c>
      <c r="B44" s="50" t="str">
        <f>IF($A44="","",SUMIFS('Todos os Gastos'!$C:$C,'Todos os Gastos'!$A:$A,"&gt;="&amp;$A44,'Todos os Gastos'!$A:$A,"&lt;"&amp;EDATE($A44,1)))</f>
        <v/>
      </c>
      <c r="C44" s="50" t="str">
        <f>IF($A44="","",SUMIFS('Inventário de Lotes'!$C:$C,'Inventário de Lotes'!$B:$B,"&gt;="&amp;$A44,'Inventário de Lotes'!$B:$B,"&lt;"&amp;EDATE($A44,1)))</f>
        <v/>
      </c>
      <c r="D44" s="50" t="str">
        <f t="shared" si="1"/>
        <v/>
      </c>
      <c r="E44" s="51" t="str">
        <f>IF($A44="","",COUNTIFS('Todos os Gastos'!$A:$A,"&gt;="&amp;$A44,'Todos os Gastos'!$A:$A,"&lt;"&amp;EDATE($A44,1)))</f>
        <v/>
      </c>
      <c r="F44" s="51" t="str">
        <f>IF($A44="","",COUNTIFS('Inventário de Lotes'!$B:$B,"&gt;="&amp;$A44,'Inventário de Lotes'!$B:$B,"&lt;"&amp;EDATE($A44,1)))</f>
        <v/>
      </c>
      <c r="G44" s="50" t="str">
        <f t="shared" si="2"/>
        <v/>
      </c>
    </row>
    <row r="45" ht="15.0" customHeight="1">
      <c r="A45" s="52" t="str">
        <f t="shared" si="3"/>
        <v/>
      </c>
      <c r="B45" s="53" t="str">
        <f>IF($A45="","",SUMIFS('Todos os Gastos'!$C:$C,'Todos os Gastos'!$A:$A,"&gt;="&amp;$A45,'Todos os Gastos'!$A:$A,"&lt;"&amp;EDATE($A45,1)))</f>
        <v/>
      </c>
      <c r="C45" s="53" t="str">
        <f>IF($A45="","",SUMIFS('Inventário de Lotes'!$C:$C,'Inventário de Lotes'!$B:$B,"&gt;="&amp;$A45,'Inventário de Lotes'!$B:$B,"&lt;"&amp;EDATE($A45,1)))</f>
        <v/>
      </c>
      <c r="D45" s="53" t="str">
        <f t="shared" si="1"/>
        <v/>
      </c>
      <c r="E45" s="54" t="str">
        <f>IF($A45="","",COUNTIFS('Todos os Gastos'!$A:$A,"&gt;="&amp;$A45,'Todos os Gastos'!$A:$A,"&lt;"&amp;EDATE($A45,1)))</f>
        <v/>
      </c>
      <c r="F45" s="54" t="str">
        <f>IF($A45="","",COUNTIFS('Inventário de Lotes'!$B:$B,"&gt;="&amp;$A45,'Inventário de Lotes'!$B:$B,"&lt;"&amp;EDATE($A45,1)))</f>
        <v/>
      </c>
      <c r="G45" s="53" t="str">
        <f t="shared" si="2"/>
        <v/>
      </c>
    </row>
    <row r="46" ht="15.0" customHeight="1">
      <c r="A46" s="49" t="str">
        <f t="shared" si="3"/>
        <v/>
      </c>
      <c r="B46" s="50" t="str">
        <f>IF($A46="","",SUMIFS('Todos os Gastos'!$C:$C,'Todos os Gastos'!$A:$A,"&gt;="&amp;$A46,'Todos os Gastos'!$A:$A,"&lt;"&amp;EDATE($A46,1)))</f>
        <v/>
      </c>
      <c r="C46" s="50" t="str">
        <f>IF($A46="","",SUMIFS('Inventário de Lotes'!$C:$C,'Inventário de Lotes'!$B:$B,"&gt;="&amp;$A46,'Inventário de Lotes'!$B:$B,"&lt;"&amp;EDATE($A46,1)))</f>
        <v/>
      </c>
      <c r="D46" s="50" t="str">
        <f t="shared" si="1"/>
        <v/>
      </c>
      <c r="E46" s="51" t="str">
        <f>IF($A46="","",COUNTIFS('Todos os Gastos'!$A:$A,"&gt;="&amp;$A46,'Todos os Gastos'!$A:$A,"&lt;"&amp;EDATE($A46,1)))</f>
        <v/>
      </c>
      <c r="F46" s="51" t="str">
        <f>IF($A46="","",COUNTIFS('Inventário de Lotes'!$B:$B,"&gt;="&amp;$A46,'Inventário de Lotes'!$B:$B,"&lt;"&amp;EDATE($A46,1)))</f>
        <v/>
      </c>
      <c r="G46" s="50" t="str">
        <f t="shared" si="2"/>
        <v/>
      </c>
    </row>
    <row r="47" ht="15.0" customHeight="1">
      <c r="A47" s="52" t="str">
        <f t="shared" si="3"/>
        <v/>
      </c>
      <c r="B47" s="53" t="str">
        <f>IF($A47="","",SUMIFS('Todos os Gastos'!$C:$C,'Todos os Gastos'!$A:$A,"&gt;="&amp;$A47,'Todos os Gastos'!$A:$A,"&lt;"&amp;EDATE($A47,1)))</f>
        <v/>
      </c>
      <c r="C47" s="53" t="str">
        <f>IF($A47="","",SUMIFS('Inventário de Lotes'!$C:$C,'Inventário de Lotes'!$B:$B,"&gt;="&amp;$A47,'Inventário de Lotes'!$B:$B,"&lt;"&amp;EDATE($A47,1)))</f>
        <v/>
      </c>
      <c r="D47" s="53" t="str">
        <f t="shared" si="1"/>
        <v/>
      </c>
      <c r="E47" s="54" t="str">
        <f>IF($A47="","",COUNTIFS('Todos os Gastos'!$A:$A,"&gt;="&amp;$A47,'Todos os Gastos'!$A:$A,"&lt;"&amp;EDATE($A47,1)))</f>
        <v/>
      </c>
      <c r="F47" s="54" t="str">
        <f>IF($A47="","",COUNTIFS('Inventário de Lotes'!$B:$B,"&gt;="&amp;$A47,'Inventário de Lotes'!$B:$B,"&lt;"&amp;EDATE($A47,1)))</f>
        <v/>
      </c>
      <c r="G47" s="53" t="str">
        <f t="shared" si="2"/>
        <v/>
      </c>
    </row>
    <row r="48" ht="15.0" customHeight="1">
      <c r="A48" s="49" t="str">
        <f t="shared" si="3"/>
        <v/>
      </c>
      <c r="B48" s="50" t="str">
        <f>IF($A48="","",SUMIFS('Todos os Gastos'!$C:$C,'Todos os Gastos'!$A:$A,"&gt;="&amp;$A48,'Todos os Gastos'!$A:$A,"&lt;"&amp;EDATE($A48,1)))</f>
        <v/>
      </c>
      <c r="C48" s="50" t="str">
        <f>IF($A48="","",SUMIFS('Inventário de Lotes'!$C:$C,'Inventário de Lotes'!$B:$B,"&gt;="&amp;$A48,'Inventário de Lotes'!$B:$B,"&lt;"&amp;EDATE($A48,1)))</f>
        <v/>
      </c>
      <c r="D48" s="50" t="str">
        <f t="shared" si="1"/>
        <v/>
      </c>
      <c r="E48" s="51" t="str">
        <f>IF($A48="","",COUNTIFS('Todos os Gastos'!$A:$A,"&gt;="&amp;$A48,'Todos os Gastos'!$A:$A,"&lt;"&amp;EDATE($A48,1)))</f>
        <v/>
      </c>
      <c r="F48" s="51" t="str">
        <f>IF($A48="","",COUNTIFS('Inventário de Lotes'!$B:$B,"&gt;="&amp;$A48,'Inventário de Lotes'!$B:$B,"&lt;"&amp;EDATE($A48,1)))</f>
        <v/>
      </c>
      <c r="G48" s="50" t="str">
        <f t="shared" si="2"/>
        <v/>
      </c>
    </row>
    <row r="49" ht="15.0" customHeight="1">
      <c r="A49" s="52" t="str">
        <f t="shared" si="3"/>
        <v/>
      </c>
      <c r="B49" s="53" t="str">
        <f>IF($A49="","",SUMIFS('Todos os Gastos'!$C:$C,'Todos os Gastos'!$A:$A,"&gt;="&amp;$A49,'Todos os Gastos'!$A:$A,"&lt;"&amp;EDATE($A49,1)))</f>
        <v/>
      </c>
      <c r="C49" s="53" t="str">
        <f>IF($A49="","",SUMIFS('Inventário de Lotes'!$C:$C,'Inventário de Lotes'!$B:$B,"&gt;="&amp;$A49,'Inventário de Lotes'!$B:$B,"&lt;"&amp;EDATE($A49,1)))</f>
        <v/>
      </c>
      <c r="D49" s="53" t="str">
        <f t="shared" si="1"/>
        <v/>
      </c>
      <c r="E49" s="54" t="str">
        <f>IF($A49="","",COUNTIFS('Todos os Gastos'!$A:$A,"&gt;="&amp;$A49,'Todos os Gastos'!$A:$A,"&lt;"&amp;EDATE($A49,1)))</f>
        <v/>
      </c>
      <c r="F49" s="54" t="str">
        <f>IF($A49="","",COUNTIFS('Inventário de Lotes'!$B:$B,"&gt;="&amp;$A49,'Inventário de Lotes'!$B:$B,"&lt;"&amp;EDATE($A49,1)))</f>
        <v/>
      </c>
      <c r="G49" s="53" t="str">
        <f t="shared" si="2"/>
        <v/>
      </c>
    </row>
    <row r="50" ht="15.0" customHeight="1">
      <c r="A50" s="49" t="str">
        <f t="shared" si="3"/>
        <v/>
      </c>
      <c r="B50" s="50" t="str">
        <f>IF($A50="","",SUMIFS('Todos os Gastos'!$C:$C,'Todos os Gastos'!$A:$A,"&gt;="&amp;$A50,'Todos os Gastos'!$A:$A,"&lt;"&amp;EDATE($A50,1)))</f>
        <v/>
      </c>
      <c r="C50" s="50" t="str">
        <f>IF($A50="","",SUMIFS('Inventário de Lotes'!$C:$C,'Inventário de Lotes'!$B:$B,"&gt;="&amp;$A50,'Inventário de Lotes'!$B:$B,"&lt;"&amp;EDATE($A50,1)))</f>
        <v/>
      </c>
      <c r="D50" s="50" t="str">
        <f t="shared" si="1"/>
        <v/>
      </c>
      <c r="E50" s="51" t="str">
        <f>IF($A50="","",COUNTIFS('Todos os Gastos'!$A:$A,"&gt;="&amp;$A50,'Todos os Gastos'!$A:$A,"&lt;"&amp;EDATE($A50,1)))</f>
        <v/>
      </c>
      <c r="F50" s="51" t="str">
        <f>IF($A50="","",COUNTIFS('Inventário de Lotes'!$B:$B,"&gt;="&amp;$A50,'Inventário de Lotes'!$B:$B,"&lt;"&amp;EDATE($A50,1)))</f>
        <v/>
      </c>
      <c r="G50" s="50" t="str">
        <f t="shared" si="2"/>
        <v/>
      </c>
    </row>
    <row r="51" ht="15.0" customHeight="1">
      <c r="A51" s="52" t="str">
        <f t="shared" si="3"/>
        <v/>
      </c>
      <c r="B51" s="53" t="str">
        <f>IF($A51="","",SUMIFS('Todos os Gastos'!$C:$C,'Todos os Gastos'!$A:$A,"&gt;="&amp;$A51,'Todos os Gastos'!$A:$A,"&lt;"&amp;EDATE($A51,1)))</f>
        <v/>
      </c>
      <c r="C51" s="53" t="str">
        <f>IF($A51="","",SUMIFS('Inventário de Lotes'!$C:$C,'Inventário de Lotes'!$B:$B,"&gt;="&amp;$A51,'Inventário de Lotes'!$B:$B,"&lt;"&amp;EDATE($A51,1)))</f>
        <v/>
      </c>
      <c r="D51" s="53" t="str">
        <f t="shared" si="1"/>
        <v/>
      </c>
      <c r="E51" s="54" t="str">
        <f>IF($A51="","",COUNTIFS('Todos os Gastos'!$A:$A,"&gt;="&amp;$A51,'Todos os Gastos'!$A:$A,"&lt;"&amp;EDATE($A51,1)))</f>
        <v/>
      </c>
      <c r="F51" s="54" t="str">
        <f>IF($A51="","",COUNTIFS('Inventário de Lotes'!$B:$B,"&gt;="&amp;$A51,'Inventário de Lotes'!$B:$B,"&lt;"&amp;EDATE($A51,1)))</f>
        <v/>
      </c>
      <c r="G51" s="53" t="str">
        <f t="shared" si="2"/>
        <v/>
      </c>
    </row>
    <row r="52" ht="15.0" customHeight="1">
      <c r="A52" s="49" t="str">
        <f t="shared" si="3"/>
        <v/>
      </c>
      <c r="B52" s="50" t="str">
        <f>IF($A52="","",SUMIFS('Todos os Gastos'!$C:$C,'Todos os Gastos'!$A:$A,"&gt;="&amp;$A52,'Todos os Gastos'!$A:$A,"&lt;"&amp;EDATE($A52,1)))</f>
        <v/>
      </c>
      <c r="C52" s="50" t="str">
        <f>IF($A52="","",SUMIFS('Inventário de Lotes'!$C:$C,'Inventário de Lotes'!$B:$B,"&gt;="&amp;$A52,'Inventário de Lotes'!$B:$B,"&lt;"&amp;EDATE($A52,1)))</f>
        <v/>
      </c>
      <c r="D52" s="50" t="str">
        <f t="shared" si="1"/>
        <v/>
      </c>
      <c r="E52" s="51" t="str">
        <f>IF($A52="","",COUNTIFS('Todos os Gastos'!$A:$A,"&gt;="&amp;$A52,'Todos os Gastos'!$A:$A,"&lt;"&amp;EDATE($A52,1)))</f>
        <v/>
      </c>
      <c r="F52" s="51" t="str">
        <f>IF($A52="","",COUNTIFS('Inventário de Lotes'!$B:$B,"&gt;="&amp;$A52,'Inventário de Lotes'!$B:$B,"&lt;"&amp;EDATE($A52,1)))</f>
        <v/>
      </c>
      <c r="G52" s="50" t="str">
        <f t="shared" si="2"/>
        <v/>
      </c>
    </row>
    <row r="53" ht="15.0" customHeight="1">
      <c r="A53" s="52" t="str">
        <f t="shared" si="3"/>
        <v/>
      </c>
      <c r="B53" s="53" t="str">
        <f>IF($A53="","",SUMIFS('Todos os Gastos'!$C:$C,'Todos os Gastos'!$A:$A,"&gt;="&amp;$A53,'Todos os Gastos'!$A:$A,"&lt;"&amp;EDATE($A53,1)))</f>
        <v/>
      </c>
      <c r="C53" s="53" t="str">
        <f>IF($A53="","",SUMIFS('Inventário de Lotes'!$C:$C,'Inventário de Lotes'!$B:$B,"&gt;="&amp;$A53,'Inventário de Lotes'!$B:$B,"&lt;"&amp;EDATE($A53,1)))</f>
        <v/>
      </c>
      <c r="D53" s="53" t="str">
        <f t="shared" si="1"/>
        <v/>
      </c>
      <c r="E53" s="54" t="str">
        <f>IF($A53="","",COUNTIFS('Todos os Gastos'!$A:$A,"&gt;="&amp;$A53,'Todos os Gastos'!$A:$A,"&lt;"&amp;EDATE($A53,1)))</f>
        <v/>
      </c>
      <c r="F53" s="54" t="str">
        <f>IF($A53="","",COUNTIFS('Inventário de Lotes'!$B:$B,"&gt;="&amp;$A53,'Inventário de Lotes'!$B:$B,"&lt;"&amp;EDATE($A53,1)))</f>
        <v/>
      </c>
      <c r="G53" s="53" t="str">
        <f t="shared" si="2"/>
        <v/>
      </c>
    </row>
    <row r="54" ht="15.0" customHeight="1">
      <c r="A54" s="49" t="str">
        <f t="shared" si="3"/>
        <v/>
      </c>
      <c r="B54" s="50" t="str">
        <f>IF($A54="","",SUMIFS('Todos os Gastos'!$C:$C,'Todos os Gastos'!$A:$A,"&gt;="&amp;$A54,'Todos os Gastos'!$A:$A,"&lt;"&amp;EDATE($A54,1)))</f>
        <v/>
      </c>
      <c r="C54" s="50" t="str">
        <f>IF($A54="","",SUMIFS('Inventário de Lotes'!$C:$C,'Inventário de Lotes'!$B:$B,"&gt;="&amp;$A54,'Inventário de Lotes'!$B:$B,"&lt;"&amp;EDATE($A54,1)))</f>
        <v/>
      </c>
      <c r="D54" s="50" t="str">
        <f t="shared" si="1"/>
        <v/>
      </c>
      <c r="E54" s="51" t="str">
        <f>IF($A54="","",COUNTIFS('Todos os Gastos'!$A:$A,"&gt;="&amp;$A54,'Todos os Gastos'!$A:$A,"&lt;"&amp;EDATE($A54,1)))</f>
        <v/>
      </c>
      <c r="F54" s="51" t="str">
        <f>IF($A54="","",COUNTIFS('Inventário de Lotes'!$B:$B,"&gt;="&amp;$A54,'Inventário de Lotes'!$B:$B,"&lt;"&amp;EDATE($A54,1)))</f>
        <v/>
      </c>
      <c r="G54" s="50" t="str">
        <f t="shared" si="2"/>
        <v/>
      </c>
    </row>
    <row r="55" ht="15.0" customHeight="1">
      <c r="A55" s="52" t="str">
        <f t="shared" si="3"/>
        <v/>
      </c>
      <c r="B55" s="53" t="str">
        <f>IF($A55="","",SUMIFS('Todos os Gastos'!$C:$C,'Todos os Gastos'!$A:$A,"&gt;="&amp;$A55,'Todos os Gastos'!$A:$A,"&lt;"&amp;EDATE($A55,1)))</f>
        <v/>
      </c>
      <c r="C55" s="53" t="str">
        <f>IF($A55="","",SUMIFS('Inventário de Lotes'!$C:$C,'Inventário de Lotes'!$B:$B,"&gt;="&amp;$A55,'Inventário de Lotes'!$B:$B,"&lt;"&amp;EDATE($A55,1)))</f>
        <v/>
      </c>
      <c r="D55" s="53" t="str">
        <f t="shared" si="1"/>
        <v/>
      </c>
      <c r="E55" s="54" t="str">
        <f>IF($A55="","",COUNTIFS('Todos os Gastos'!$A:$A,"&gt;="&amp;$A55,'Todos os Gastos'!$A:$A,"&lt;"&amp;EDATE($A55,1)))</f>
        <v/>
      </c>
      <c r="F55" s="54" t="str">
        <f>IF($A55="","",COUNTIFS('Inventário de Lotes'!$B:$B,"&gt;="&amp;$A55,'Inventário de Lotes'!$B:$B,"&lt;"&amp;EDATE($A55,1)))</f>
        <v/>
      </c>
      <c r="G55" s="53" t="str">
        <f t="shared" si="2"/>
        <v/>
      </c>
    </row>
    <row r="56" ht="15.0" customHeight="1">
      <c r="A56" s="49" t="str">
        <f t="shared" si="3"/>
        <v/>
      </c>
      <c r="B56" s="50" t="str">
        <f>IF($A56="","",SUMIFS('Todos os Gastos'!$C:$C,'Todos os Gastos'!$A:$A,"&gt;="&amp;$A56,'Todos os Gastos'!$A:$A,"&lt;"&amp;EDATE($A56,1)))</f>
        <v/>
      </c>
      <c r="C56" s="50" t="str">
        <f>IF($A56="","",SUMIFS('Inventário de Lotes'!$C:$C,'Inventário de Lotes'!$B:$B,"&gt;="&amp;$A56,'Inventário de Lotes'!$B:$B,"&lt;"&amp;EDATE($A56,1)))</f>
        <v/>
      </c>
      <c r="D56" s="50" t="str">
        <f t="shared" si="1"/>
        <v/>
      </c>
      <c r="E56" s="51" t="str">
        <f>IF($A56="","",COUNTIFS('Todos os Gastos'!$A:$A,"&gt;="&amp;$A56,'Todos os Gastos'!$A:$A,"&lt;"&amp;EDATE($A56,1)))</f>
        <v/>
      </c>
      <c r="F56" s="51" t="str">
        <f>IF($A56="","",COUNTIFS('Inventário de Lotes'!$B:$B,"&gt;="&amp;$A56,'Inventário de Lotes'!$B:$B,"&lt;"&amp;EDATE($A56,1)))</f>
        <v/>
      </c>
      <c r="G56" s="50" t="str">
        <f t="shared" si="2"/>
        <v/>
      </c>
    </row>
    <row r="57" ht="15.0" customHeight="1">
      <c r="A57" s="52" t="str">
        <f t="shared" si="3"/>
        <v/>
      </c>
      <c r="B57" s="53" t="str">
        <f>IF($A57="","",SUMIFS('Todos os Gastos'!$C:$C,'Todos os Gastos'!$A:$A,"&gt;="&amp;$A57,'Todos os Gastos'!$A:$A,"&lt;"&amp;EDATE($A57,1)))</f>
        <v/>
      </c>
      <c r="C57" s="53" t="str">
        <f>IF($A57="","",SUMIFS('Inventário de Lotes'!$C:$C,'Inventário de Lotes'!$B:$B,"&gt;="&amp;$A57,'Inventário de Lotes'!$B:$B,"&lt;"&amp;EDATE($A57,1)))</f>
        <v/>
      </c>
      <c r="D57" s="53" t="str">
        <f t="shared" si="1"/>
        <v/>
      </c>
      <c r="E57" s="54" t="str">
        <f>IF($A57="","",COUNTIFS('Todos os Gastos'!$A:$A,"&gt;="&amp;$A57,'Todos os Gastos'!$A:$A,"&lt;"&amp;EDATE($A57,1)))</f>
        <v/>
      </c>
      <c r="F57" s="54" t="str">
        <f>IF($A57="","",COUNTIFS('Inventário de Lotes'!$B:$B,"&gt;="&amp;$A57,'Inventário de Lotes'!$B:$B,"&lt;"&amp;EDATE($A57,1)))</f>
        <v/>
      </c>
      <c r="G57" s="53" t="str">
        <f t="shared" si="2"/>
        <v/>
      </c>
    </row>
    <row r="58" ht="15.0" customHeight="1">
      <c r="A58" s="49" t="str">
        <f t="shared" si="3"/>
        <v/>
      </c>
      <c r="B58" s="50" t="str">
        <f>IF($A58="","",SUMIFS('Todos os Gastos'!$C:$C,'Todos os Gastos'!$A:$A,"&gt;="&amp;$A58,'Todos os Gastos'!$A:$A,"&lt;"&amp;EDATE($A58,1)))</f>
        <v/>
      </c>
      <c r="C58" s="50" t="str">
        <f>IF($A58="","",SUMIFS('Inventário de Lotes'!$C:$C,'Inventário de Lotes'!$B:$B,"&gt;="&amp;$A58,'Inventário de Lotes'!$B:$B,"&lt;"&amp;EDATE($A58,1)))</f>
        <v/>
      </c>
      <c r="D58" s="50" t="str">
        <f t="shared" si="1"/>
        <v/>
      </c>
      <c r="E58" s="51" t="str">
        <f>IF($A58="","",COUNTIFS('Todos os Gastos'!$A:$A,"&gt;="&amp;$A58,'Todos os Gastos'!$A:$A,"&lt;"&amp;EDATE($A58,1)))</f>
        <v/>
      </c>
      <c r="F58" s="51" t="str">
        <f>IF($A58="","",COUNTIFS('Inventário de Lotes'!$B:$B,"&gt;="&amp;$A58,'Inventário de Lotes'!$B:$B,"&lt;"&amp;EDATE($A58,1)))</f>
        <v/>
      </c>
      <c r="G58" s="50" t="str">
        <f t="shared" si="2"/>
        <v/>
      </c>
    </row>
    <row r="59" ht="15.0" customHeight="1">
      <c r="A59" s="52" t="str">
        <f t="shared" si="3"/>
        <v/>
      </c>
      <c r="B59" s="53" t="str">
        <f>IF($A59="","",SUMIFS('Todos os Gastos'!$C:$C,'Todos os Gastos'!$A:$A,"&gt;="&amp;$A59,'Todos os Gastos'!$A:$A,"&lt;"&amp;EDATE($A59,1)))</f>
        <v/>
      </c>
      <c r="C59" s="53" t="str">
        <f>IF($A59="","",SUMIFS('Inventário de Lotes'!$C:$C,'Inventário de Lotes'!$B:$B,"&gt;="&amp;$A59,'Inventário de Lotes'!$B:$B,"&lt;"&amp;EDATE($A59,1)))</f>
        <v/>
      </c>
      <c r="D59" s="53" t="str">
        <f t="shared" si="1"/>
        <v/>
      </c>
      <c r="E59" s="54" t="str">
        <f>IF($A59="","",COUNTIFS('Todos os Gastos'!$A:$A,"&gt;="&amp;$A59,'Todos os Gastos'!$A:$A,"&lt;"&amp;EDATE($A59,1)))</f>
        <v/>
      </c>
      <c r="F59" s="54" t="str">
        <f>IF($A59="","",COUNTIFS('Inventário de Lotes'!$B:$B,"&gt;="&amp;$A59,'Inventário de Lotes'!$B:$B,"&lt;"&amp;EDATE($A59,1)))</f>
        <v/>
      </c>
      <c r="G59" s="53" t="str">
        <f t="shared" si="2"/>
        <v/>
      </c>
    </row>
    <row r="60" ht="15.0" customHeight="1">
      <c r="A60" s="49" t="str">
        <f t="shared" si="3"/>
        <v/>
      </c>
      <c r="B60" s="50" t="str">
        <f>IF($A60="","",SUMIFS('Todos os Gastos'!$C:$C,'Todos os Gastos'!$A:$A,"&gt;="&amp;$A60,'Todos os Gastos'!$A:$A,"&lt;"&amp;EDATE($A60,1)))</f>
        <v/>
      </c>
      <c r="C60" s="50" t="str">
        <f>IF($A60="","",SUMIFS('Inventário de Lotes'!$C:$C,'Inventário de Lotes'!$B:$B,"&gt;="&amp;$A60,'Inventário de Lotes'!$B:$B,"&lt;"&amp;EDATE($A60,1)))</f>
        <v/>
      </c>
      <c r="D60" s="50" t="str">
        <f t="shared" si="1"/>
        <v/>
      </c>
      <c r="E60" s="51" t="str">
        <f>IF($A60="","",COUNTIFS('Todos os Gastos'!$A:$A,"&gt;="&amp;$A60,'Todos os Gastos'!$A:$A,"&lt;"&amp;EDATE($A60,1)))</f>
        <v/>
      </c>
      <c r="F60" s="51" t="str">
        <f>IF($A60="","",COUNTIFS('Inventário de Lotes'!$B:$B,"&gt;="&amp;$A60,'Inventário de Lotes'!$B:$B,"&lt;"&amp;EDATE($A60,1)))</f>
        <v/>
      </c>
      <c r="G60" s="50" t="str">
        <f t="shared" si="2"/>
        <v/>
      </c>
    </row>
    <row r="61" ht="15.0" customHeight="1">
      <c r="A61" s="52" t="str">
        <f t="shared" si="3"/>
        <v/>
      </c>
      <c r="B61" s="53" t="str">
        <f>IF($A61="","",SUMIFS('Todos os Gastos'!$C:$C,'Todos os Gastos'!$A:$A,"&gt;="&amp;$A61,'Todos os Gastos'!$A:$A,"&lt;"&amp;EDATE($A61,1)))</f>
        <v/>
      </c>
      <c r="C61" s="53" t="str">
        <f>IF($A61="","",SUMIFS('Inventário de Lotes'!$C:$C,'Inventário de Lotes'!$B:$B,"&gt;="&amp;$A61,'Inventário de Lotes'!$B:$B,"&lt;"&amp;EDATE($A61,1)))</f>
        <v/>
      </c>
      <c r="D61" s="53" t="str">
        <f t="shared" si="1"/>
        <v/>
      </c>
      <c r="E61" s="54" t="str">
        <f>IF($A61="","",COUNTIFS('Todos os Gastos'!$A:$A,"&gt;="&amp;$A61,'Todos os Gastos'!$A:$A,"&lt;"&amp;EDATE($A61,1)))</f>
        <v/>
      </c>
      <c r="F61" s="54" t="str">
        <f>IF($A61="","",COUNTIFS('Inventário de Lotes'!$B:$B,"&gt;="&amp;$A61,'Inventário de Lotes'!$B:$B,"&lt;"&amp;EDATE($A61,1)))</f>
        <v/>
      </c>
      <c r="G61" s="53" t="str">
        <f t="shared" si="2"/>
        <v/>
      </c>
    </row>
    <row r="62" ht="15.0" customHeight="1">
      <c r="A62" s="49" t="str">
        <f t="shared" si="3"/>
        <v/>
      </c>
      <c r="B62" s="50" t="str">
        <f>IF($A62="","",SUMIFS('Todos os Gastos'!$C:$C,'Todos os Gastos'!$A:$A,"&gt;="&amp;$A62,'Todos os Gastos'!$A:$A,"&lt;"&amp;EDATE($A62,1)))</f>
        <v/>
      </c>
      <c r="C62" s="50" t="str">
        <f>IF($A62="","",SUMIFS('Inventário de Lotes'!$C:$C,'Inventário de Lotes'!$B:$B,"&gt;="&amp;$A62,'Inventário de Lotes'!$B:$B,"&lt;"&amp;EDATE($A62,1)))</f>
        <v/>
      </c>
      <c r="D62" s="50" t="str">
        <f t="shared" si="1"/>
        <v/>
      </c>
      <c r="E62" s="51" t="str">
        <f>IF($A62="","",COUNTIFS('Todos os Gastos'!$A:$A,"&gt;="&amp;$A62,'Todos os Gastos'!$A:$A,"&lt;"&amp;EDATE($A62,1)))</f>
        <v/>
      </c>
      <c r="F62" s="51" t="str">
        <f>IF($A62="","",COUNTIFS('Inventário de Lotes'!$B:$B,"&gt;="&amp;$A62,'Inventário de Lotes'!$B:$B,"&lt;"&amp;EDATE($A62,1)))</f>
        <v/>
      </c>
      <c r="G62" s="50" t="str">
        <f t="shared" si="2"/>
        <v/>
      </c>
    </row>
    <row r="63" ht="15.0" customHeight="1">
      <c r="A63" s="52" t="str">
        <f t="shared" si="3"/>
        <v/>
      </c>
      <c r="B63" s="53" t="str">
        <f>IF($A63="","",SUMIFS('Todos os Gastos'!$C:$C,'Todos os Gastos'!$A:$A,"&gt;="&amp;$A63,'Todos os Gastos'!$A:$A,"&lt;"&amp;EDATE($A63,1)))</f>
        <v/>
      </c>
      <c r="C63" s="53" t="str">
        <f>IF($A63="","",SUMIFS('Inventário de Lotes'!$C:$C,'Inventário de Lotes'!$B:$B,"&gt;="&amp;$A63,'Inventário de Lotes'!$B:$B,"&lt;"&amp;EDATE($A63,1)))</f>
        <v/>
      </c>
      <c r="D63" s="53" t="str">
        <f t="shared" si="1"/>
        <v/>
      </c>
      <c r="E63" s="54" t="str">
        <f>IF($A63="","",COUNTIFS('Todos os Gastos'!$A:$A,"&gt;="&amp;$A63,'Todos os Gastos'!$A:$A,"&lt;"&amp;EDATE($A63,1)))</f>
        <v/>
      </c>
      <c r="F63" s="54" t="str">
        <f>IF($A63="","",COUNTIFS('Inventário de Lotes'!$B:$B,"&gt;="&amp;$A63,'Inventário de Lotes'!$B:$B,"&lt;"&amp;EDATE($A63,1)))</f>
        <v/>
      </c>
      <c r="G63" s="53" t="str">
        <f t="shared" si="2"/>
        <v/>
      </c>
    </row>
    <row r="64" ht="15.0" customHeight="1">
      <c r="A64" s="49" t="str">
        <f t="shared" si="3"/>
        <v/>
      </c>
      <c r="B64" s="50" t="str">
        <f>IF($A64="","",SUMIFS('Todos os Gastos'!$C:$C,'Todos os Gastos'!$A:$A,"&gt;="&amp;$A64,'Todos os Gastos'!$A:$A,"&lt;"&amp;EDATE($A64,1)))</f>
        <v/>
      </c>
      <c r="C64" s="50" t="str">
        <f>IF($A64="","",SUMIFS('Inventário de Lotes'!$C:$C,'Inventário de Lotes'!$B:$B,"&gt;="&amp;$A64,'Inventário de Lotes'!$B:$B,"&lt;"&amp;EDATE($A64,1)))</f>
        <v/>
      </c>
      <c r="D64" s="50" t="str">
        <f t="shared" si="1"/>
        <v/>
      </c>
      <c r="E64" s="51" t="str">
        <f>IF($A64="","",COUNTIFS('Todos os Gastos'!$A:$A,"&gt;="&amp;$A64,'Todos os Gastos'!$A:$A,"&lt;"&amp;EDATE($A64,1)))</f>
        <v/>
      </c>
      <c r="F64" s="51" t="str">
        <f>IF($A64="","",COUNTIFS('Inventário de Lotes'!$B:$B,"&gt;="&amp;$A64,'Inventário de Lotes'!$B:$B,"&lt;"&amp;EDATE($A64,1)))</f>
        <v/>
      </c>
      <c r="G64" s="50" t="str">
        <f t="shared" si="2"/>
        <v/>
      </c>
    </row>
    <row r="65" ht="15.0" customHeight="1">
      <c r="A65" s="52" t="str">
        <f t="shared" si="3"/>
        <v/>
      </c>
      <c r="B65" s="53" t="str">
        <f>IF($A65="","",SUMIFS('Todos os Gastos'!$C:$C,'Todos os Gastos'!$A:$A,"&gt;="&amp;$A65,'Todos os Gastos'!$A:$A,"&lt;"&amp;EDATE($A65,1)))</f>
        <v/>
      </c>
      <c r="C65" s="53" t="str">
        <f>IF($A65="","",SUMIFS('Inventário de Lotes'!$C:$C,'Inventário de Lotes'!$B:$B,"&gt;="&amp;$A65,'Inventário de Lotes'!$B:$B,"&lt;"&amp;EDATE($A65,1)))</f>
        <v/>
      </c>
      <c r="D65" s="53" t="str">
        <f t="shared" si="1"/>
        <v/>
      </c>
      <c r="E65" s="54" t="str">
        <f>IF($A65="","",COUNTIFS('Todos os Gastos'!$A:$A,"&gt;="&amp;$A65,'Todos os Gastos'!$A:$A,"&lt;"&amp;EDATE($A65,1)))</f>
        <v/>
      </c>
      <c r="F65" s="54" t="str">
        <f>IF($A65="","",COUNTIFS('Inventário de Lotes'!$B:$B,"&gt;="&amp;$A65,'Inventário de Lotes'!$B:$B,"&lt;"&amp;EDATE($A65,1)))</f>
        <v/>
      </c>
      <c r="G65" s="53" t="str">
        <f t="shared" si="2"/>
        <v/>
      </c>
    </row>
    <row r="66" ht="15.0" customHeight="1">
      <c r="A66" s="49" t="str">
        <f t="shared" si="3"/>
        <v/>
      </c>
      <c r="B66" s="50" t="str">
        <f>IF($A66="","",SUMIFS('Todos os Gastos'!$C:$C,'Todos os Gastos'!$A:$A,"&gt;="&amp;$A66,'Todos os Gastos'!$A:$A,"&lt;"&amp;EDATE($A66,1)))</f>
        <v/>
      </c>
      <c r="C66" s="50" t="str">
        <f>IF($A66="","",SUMIFS('Inventário de Lotes'!$C:$C,'Inventário de Lotes'!$B:$B,"&gt;="&amp;$A66,'Inventário de Lotes'!$B:$B,"&lt;"&amp;EDATE($A66,1)))</f>
        <v/>
      </c>
      <c r="D66" s="50" t="str">
        <f t="shared" si="1"/>
        <v/>
      </c>
      <c r="E66" s="51" t="str">
        <f>IF($A66="","",COUNTIFS('Todos os Gastos'!$A:$A,"&gt;="&amp;$A66,'Todos os Gastos'!$A:$A,"&lt;"&amp;EDATE($A66,1)))</f>
        <v/>
      </c>
      <c r="F66" s="51" t="str">
        <f>IF($A66="","",COUNTIFS('Inventário de Lotes'!$B:$B,"&gt;="&amp;$A66,'Inventário de Lotes'!$B:$B,"&lt;"&amp;EDATE($A66,1)))</f>
        <v/>
      </c>
      <c r="G66" s="50" t="str">
        <f t="shared" si="2"/>
        <v/>
      </c>
    </row>
    <row r="67" ht="15.0" customHeight="1">
      <c r="A67" s="52" t="str">
        <f t="shared" si="3"/>
        <v/>
      </c>
      <c r="B67" s="53" t="str">
        <f>IF($A67="","",SUMIFS('Todos os Gastos'!$C:$C,'Todos os Gastos'!$A:$A,"&gt;="&amp;$A67,'Todos os Gastos'!$A:$A,"&lt;"&amp;EDATE($A67,1)))</f>
        <v/>
      </c>
      <c r="C67" s="53" t="str">
        <f>IF($A67="","",SUMIFS('Inventário de Lotes'!$C:$C,'Inventário de Lotes'!$B:$B,"&gt;="&amp;$A67,'Inventário de Lotes'!$B:$B,"&lt;"&amp;EDATE($A67,1)))</f>
        <v/>
      </c>
      <c r="D67" s="53" t="str">
        <f t="shared" si="1"/>
        <v/>
      </c>
      <c r="E67" s="54" t="str">
        <f>IF($A67="","",COUNTIFS('Todos os Gastos'!$A:$A,"&gt;="&amp;$A67,'Todos os Gastos'!$A:$A,"&lt;"&amp;EDATE($A67,1)))</f>
        <v/>
      </c>
      <c r="F67" s="54" t="str">
        <f>IF($A67="","",COUNTIFS('Inventário de Lotes'!$B:$B,"&gt;="&amp;$A67,'Inventário de Lotes'!$B:$B,"&lt;"&amp;EDATE($A67,1)))</f>
        <v/>
      </c>
      <c r="G67" s="53" t="str">
        <f t="shared" si="2"/>
        <v/>
      </c>
    </row>
    <row r="68" ht="15.0" customHeight="1">
      <c r="A68" s="49" t="str">
        <f t="shared" si="3"/>
        <v/>
      </c>
      <c r="B68" s="50" t="str">
        <f>IF($A68="","",SUMIFS('Todos os Gastos'!$C:$C,'Todos os Gastos'!$A:$A,"&gt;="&amp;$A68,'Todos os Gastos'!$A:$A,"&lt;"&amp;EDATE($A68,1)))</f>
        <v/>
      </c>
      <c r="C68" s="50" t="str">
        <f>IF($A68="","",SUMIFS('Inventário de Lotes'!$C:$C,'Inventário de Lotes'!$B:$B,"&gt;="&amp;$A68,'Inventário de Lotes'!$B:$B,"&lt;"&amp;EDATE($A68,1)))</f>
        <v/>
      </c>
      <c r="D68" s="50" t="str">
        <f t="shared" si="1"/>
        <v/>
      </c>
      <c r="E68" s="51" t="str">
        <f>IF($A68="","",COUNTIFS('Todos os Gastos'!$A:$A,"&gt;="&amp;$A68,'Todos os Gastos'!$A:$A,"&lt;"&amp;EDATE($A68,1)))</f>
        <v/>
      </c>
      <c r="F68" s="51" t="str">
        <f>IF($A68="","",COUNTIFS('Inventário de Lotes'!$B:$B,"&gt;="&amp;$A68,'Inventário de Lotes'!$B:$B,"&lt;"&amp;EDATE($A68,1)))</f>
        <v/>
      </c>
      <c r="G68" s="50" t="str">
        <f t="shared" si="2"/>
        <v/>
      </c>
    </row>
    <row r="69" ht="15.0" customHeight="1">
      <c r="A69" s="52" t="str">
        <f t="shared" si="3"/>
        <v/>
      </c>
      <c r="B69" s="53" t="str">
        <f>IF($A69="","",SUMIFS('Todos os Gastos'!$C:$C,'Todos os Gastos'!$A:$A,"&gt;="&amp;$A69,'Todos os Gastos'!$A:$A,"&lt;"&amp;EDATE($A69,1)))</f>
        <v/>
      </c>
      <c r="C69" s="53" t="str">
        <f>IF($A69="","",SUMIFS('Inventário de Lotes'!$C:$C,'Inventário de Lotes'!$B:$B,"&gt;="&amp;$A69,'Inventário de Lotes'!$B:$B,"&lt;"&amp;EDATE($A69,1)))</f>
        <v/>
      </c>
      <c r="D69" s="53" t="str">
        <f t="shared" si="1"/>
        <v/>
      </c>
      <c r="E69" s="54" t="str">
        <f>IF($A69="","",COUNTIFS('Todos os Gastos'!$A:$A,"&gt;="&amp;$A69,'Todos os Gastos'!$A:$A,"&lt;"&amp;EDATE($A69,1)))</f>
        <v/>
      </c>
      <c r="F69" s="54" t="str">
        <f>IF($A69="","",COUNTIFS('Inventário de Lotes'!$B:$B,"&gt;="&amp;$A69,'Inventário de Lotes'!$B:$B,"&lt;"&amp;EDATE($A69,1)))</f>
        <v/>
      </c>
      <c r="G69" s="53" t="str">
        <f t="shared" si="2"/>
        <v/>
      </c>
    </row>
    <row r="70" ht="15.0" customHeight="1">
      <c r="A70" s="49" t="str">
        <f t="shared" si="3"/>
        <v/>
      </c>
      <c r="B70" s="50" t="str">
        <f>IF($A70="","",SUMIFS('Todos os Gastos'!$C:$C,'Todos os Gastos'!$A:$A,"&gt;="&amp;$A70,'Todos os Gastos'!$A:$A,"&lt;"&amp;EDATE($A70,1)))</f>
        <v/>
      </c>
      <c r="C70" s="50" t="str">
        <f>IF($A70="","",SUMIFS('Inventário de Lotes'!$C:$C,'Inventário de Lotes'!$B:$B,"&gt;="&amp;$A70,'Inventário de Lotes'!$B:$B,"&lt;"&amp;EDATE($A70,1)))</f>
        <v/>
      </c>
      <c r="D70" s="50" t="str">
        <f t="shared" si="1"/>
        <v/>
      </c>
      <c r="E70" s="51" t="str">
        <f>IF($A70="","",COUNTIFS('Todos os Gastos'!$A:$A,"&gt;="&amp;$A70,'Todos os Gastos'!$A:$A,"&lt;"&amp;EDATE($A70,1)))</f>
        <v/>
      </c>
      <c r="F70" s="51" t="str">
        <f>IF($A70="","",COUNTIFS('Inventário de Lotes'!$B:$B,"&gt;="&amp;$A70,'Inventário de Lotes'!$B:$B,"&lt;"&amp;EDATE($A70,1)))</f>
        <v/>
      </c>
      <c r="G70" s="50" t="str">
        <f t="shared" si="2"/>
        <v/>
      </c>
    </row>
    <row r="71" ht="15.0" customHeight="1">
      <c r="A71" s="52" t="str">
        <f t="shared" si="3"/>
        <v/>
      </c>
      <c r="B71" s="53" t="str">
        <f>IF($A71="","",SUMIFS('Todos os Gastos'!$C:$C,'Todos os Gastos'!$A:$A,"&gt;="&amp;$A71,'Todos os Gastos'!$A:$A,"&lt;"&amp;EDATE($A71,1)))</f>
        <v/>
      </c>
      <c r="C71" s="53" t="str">
        <f>IF($A71="","",SUMIFS('Inventário de Lotes'!$C:$C,'Inventário de Lotes'!$B:$B,"&gt;="&amp;$A71,'Inventário de Lotes'!$B:$B,"&lt;"&amp;EDATE($A71,1)))</f>
        <v/>
      </c>
      <c r="D71" s="53" t="str">
        <f t="shared" si="1"/>
        <v/>
      </c>
      <c r="E71" s="54" t="str">
        <f>IF($A71="","",COUNTIFS('Todos os Gastos'!$A:$A,"&gt;="&amp;$A71,'Todos os Gastos'!$A:$A,"&lt;"&amp;EDATE($A71,1)))</f>
        <v/>
      </c>
      <c r="F71" s="54" t="str">
        <f>IF($A71="","",COUNTIFS('Inventário de Lotes'!$B:$B,"&gt;="&amp;$A71,'Inventário de Lotes'!$B:$B,"&lt;"&amp;EDATE($A71,1)))</f>
        <v/>
      </c>
      <c r="G71" s="53" t="str">
        <f t="shared" si="2"/>
        <v/>
      </c>
    </row>
    <row r="72" ht="15.0" customHeight="1">
      <c r="A72" s="49" t="str">
        <f t="shared" si="3"/>
        <v/>
      </c>
      <c r="B72" s="50" t="str">
        <f>IF($A72="","",SUMIFS('Todos os Gastos'!$C:$C,'Todos os Gastos'!$A:$A,"&gt;="&amp;$A72,'Todos os Gastos'!$A:$A,"&lt;"&amp;EDATE($A72,1)))</f>
        <v/>
      </c>
      <c r="C72" s="50" t="str">
        <f>IF($A72="","",SUMIFS('Inventário de Lotes'!$C:$C,'Inventário de Lotes'!$B:$B,"&gt;="&amp;$A72,'Inventário de Lotes'!$B:$B,"&lt;"&amp;EDATE($A72,1)))</f>
        <v/>
      </c>
      <c r="D72" s="50" t="str">
        <f t="shared" si="1"/>
        <v/>
      </c>
      <c r="E72" s="51" t="str">
        <f>IF($A72="","",COUNTIFS('Todos os Gastos'!$A:$A,"&gt;="&amp;$A72,'Todos os Gastos'!$A:$A,"&lt;"&amp;EDATE($A72,1)))</f>
        <v/>
      </c>
      <c r="F72" s="51" t="str">
        <f>IF($A72="","",COUNTIFS('Inventário de Lotes'!$B:$B,"&gt;="&amp;$A72,'Inventário de Lotes'!$B:$B,"&lt;"&amp;EDATE($A72,1)))</f>
        <v/>
      </c>
      <c r="G72" s="50" t="str">
        <f t="shared" si="2"/>
        <v/>
      </c>
    </row>
    <row r="73" ht="15.0" customHeight="1">
      <c r="A73" s="52" t="str">
        <f t="shared" si="3"/>
        <v/>
      </c>
      <c r="B73" s="53" t="str">
        <f>IF($A73="","",SUMIFS('Todos os Gastos'!$C:$C,'Todos os Gastos'!$A:$A,"&gt;="&amp;$A73,'Todos os Gastos'!$A:$A,"&lt;"&amp;EDATE($A73,1)))</f>
        <v/>
      </c>
      <c r="C73" s="53" t="str">
        <f>IF($A73="","",SUMIFS('Inventário de Lotes'!$C:$C,'Inventário de Lotes'!$B:$B,"&gt;="&amp;$A73,'Inventário de Lotes'!$B:$B,"&lt;"&amp;EDATE($A73,1)))</f>
        <v/>
      </c>
      <c r="D73" s="53" t="str">
        <f t="shared" si="1"/>
        <v/>
      </c>
      <c r="E73" s="54" t="str">
        <f>IF($A73="","",COUNTIFS('Todos os Gastos'!$A:$A,"&gt;="&amp;$A73,'Todos os Gastos'!$A:$A,"&lt;"&amp;EDATE($A73,1)))</f>
        <v/>
      </c>
      <c r="F73" s="54" t="str">
        <f>IF($A73="","",COUNTIFS('Inventário de Lotes'!$B:$B,"&gt;="&amp;$A73,'Inventário de Lotes'!$B:$B,"&lt;"&amp;EDATE($A73,1)))</f>
        <v/>
      </c>
      <c r="G73" s="53" t="str">
        <f t="shared" si="2"/>
        <v/>
      </c>
    </row>
    <row r="74" ht="15.0" customHeight="1">
      <c r="A74" s="49" t="str">
        <f t="shared" si="3"/>
        <v/>
      </c>
      <c r="B74" s="50" t="str">
        <f>IF($A74="","",SUMIFS('Todos os Gastos'!$C:$C,'Todos os Gastos'!$A:$A,"&gt;="&amp;$A74,'Todos os Gastos'!$A:$A,"&lt;"&amp;EDATE($A74,1)))</f>
        <v/>
      </c>
      <c r="C74" s="50" t="str">
        <f>IF($A74="","",SUMIFS('Inventário de Lotes'!$C:$C,'Inventário de Lotes'!$B:$B,"&gt;="&amp;$A74,'Inventário de Lotes'!$B:$B,"&lt;"&amp;EDATE($A74,1)))</f>
        <v/>
      </c>
      <c r="D74" s="50" t="str">
        <f t="shared" si="1"/>
        <v/>
      </c>
      <c r="E74" s="51" t="str">
        <f>IF($A74="","",COUNTIFS('Todos os Gastos'!$A:$A,"&gt;="&amp;$A74,'Todos os Gastos'!$A:$A,"&lt;"&amp;EDATE($A74,1)))</f>
        <v/>
      </c>
      <c r="F74" s="51" t="str">
        <f>IF($A74="","",COUNTIFS('Inventário de Lotes'!$B:$B,"&gt;="&amp;$A74,'Inventário de Lotes'!$B:$B,"&lt;"&amp;EDATE($A74,1)))</f>
        <v/>
      </c>
      <c r="G74" s="50" t="str">
        <f t="shared" si="2"/>
        <v/>
      </c>
    </row>
    <row r="75" ht="15.0" customHeight="1">
      <c r="A75" s="52" t="str">
        <f t="shared" si="3"/>
        <v/>
      </c>
      <c r="B75" s="53" t="str">
        <f>IF($A75="","",SUMIFS('Todos os Gastos'!$C:$C,'Todos os Gastos'!$A:$A,"&gt;="&amp;$A75,'Todos os Gastos'!$A:$A,"&lt;"&amp;EDATE($A75,1)))</f>
        <v/>
      </c>
      <c r="C75" s="53" t="str">
        <f>IF($A75="","",SUMIFS('Inventário de Lotes'!$C:$C,'Inventário de Lotes'!$B:$B,"&gt;="&amp;$A75,'Inventário de Lotes'!$B:$B,"&lt;"&amp;EDATE($A75,1)))</f>
        <v/>
      </c>
      <c r="D75" s="53" t="str">
        <f t="shared" si="1"/>
        <v/>
      </c>
      <c r="E75" s="54" t="str">
        <f>IF($A75="","",COUNTIFS('Todos os Gastos'!$A:$A,"&gt;="&amp;$A75,'Todos os Gastos'!$A:$A,"&lt;"&amp;EDATE($A75,1)))</f>
        <v/>
      </c>
      <c r="F75" s="54" t="str">
        <f>IF($A75="","",COUNTIFS('Inventário de Lotes'!$B:$B,"&gt;="&amp;$A75,'Inventário de Lotes'!$B:$B,"&lt;"&amp;EDATE($A75,1)))</f>
        <v/>
      </c>
      <c r="G75" s="53" t="str">
        <f t="shared" si="2"/>
        <v/>
      </c>
    </row>
    <row r="76" ht="15.0" customHeight="1">
      <c r="A76" s="49" t="str">
        <f t="shared" si="3"/>
        <v/>
      </c>
      <c r="B76" s="50" t="str">
        <f>IF($A76="","",SUMIFS('Todos os Gastos'!$C:$C,'Todos os Gastos'!$A:$A,"&gt;="&amp;$A76,'Todos os Gastos'!$A:$A,"&lt;"&amp;EDATE($A76,1)))</f>
        <v/>
      </c>
      <c r="C76" s="50" t="str">
        <f>IF($A76="","",SUMIFS('Inventário de Lotes'!$C:$C,'Inventário de Lotes'!$B:$B,"&gt;="&amp;$A76,'Inventário de Lotes'!$B:$B,"&lt;"&amp;EDATE($A76,1)))</f>
        <v/>
      </c>
      <c r="D76" s="50" t="str">
        <f t="shared" si="1"/>
        <v/>
      </c>
      <c r="E76" s="51" t="str">
        <f>IF($A76="","",COUNTIFS('Todos os Gastos'!$A:$A,"&gt;="&amp;$A76,'Todos os Gastos'!$A:$A,"&lt;"&amp;EDATE($A76,1)))</f>
        <v/>
      </c>
      <c r="F76" s="51" t="str">
        <f>IF($A76="","",COUNTIFS('Inventário de Lotes'!$B:$B,"&gt;="&amp;$A76,'Inventário de Lotes'!$B:$B,"&lt;"&amp;EDATE($A76,1)))</f>
        <v/>
      </c>
      <c r="G76" s="50" t="str">
        <f t="shared" si="2"/>
        <v/>
      </c>
    </row>
    <row r="77" ht="15.0" customHeight="1">
      <c r="A77" s="52" t="str">
        <f t="shared" si="3"/>
        <v/>
      </c>
      <c r="B77" s="53" t="str">
        <f>IF($A77="","",SUMIFS('Todos os Gastos'!$C:$C,'Todos os Gastos'!$A:$A,"&gt;="&amp;$A77,'Todos os Gastos'!$A:$A,"&lt;"&amp;EDATE($A77,1)))</f>
        <v/>
      </c>
      <c r="C77" s="53" t="str">
        <f>IF($A77="","",SUMIFS('Inventário de Lotes'!$C:$C,'Inventário de Lotes'!$B:$B,"&gt;="&amp;$A77,'Inventário de Lotes'!$B:$B,"&lt;"&amp;EDATE($A77,1)))</f>
        <v/>
      </c>
      <c r="D77" s="53" t="str">
        <f t="shared" si="1"/>
        <v/>
      </c>
      <c r="E77" s="54" t="str">
        <f>IF($A77="","",COUNTIFS('Todos os Gastos'!$A:$A,"&gt;="&amp;$A77,'Todos os Gastos'!$A:$A,"&lt;"&amp;EDATE($A77,1)))</f>
        <v/>
      </c>
      <c r="F77" s="54" t="str">
        <f>IF($A77="","",COUNTIFS('Inventário de Lotes'!$B:$B,"&gt;="&amp;$A77,'Inventário de Lotes'!$B:$B,"&lt;"&amp;EDATE($A77,1)))</f>
        <v/>
      </c>
      <c r="G77" s="53" t="str">
        <f t="shared" si="2"/>
        <v/>
      </c>
    </row>
    <row r="78" ht="15.0" customHeight="1">
      <c r="A78" s="49" t="str">
        <f t="shared" si="3"/>
        <v/>
      </c>
      <c r="B78" s="50" t="str">
        <f>IF($A78="","",SUMIFS('Todos os Gastos'!$C:$C,'Todos os Gastos'!$A:$A,"&gt;="&amp;$A78,'Todos os Gastos'!$A:$A,"&lt;"&amp;EDATE($A78,1)))</f>
        <v/>
      </c>
      <c r="C78" s="50" t="str">
        <f>IF($A78="","",SUMIFS('Inventário de Lotes'!$C:$C,'Inventário de Lotes'!$B:$B,"&gt;="&amp;$A78,'Inventário de Lotes'!$B:$B,"&lt;"&amp;EDATE($A78,1)))</f>
        <v/>
      </c>
      <c r="D78" s="50" t="str">
        <f t="shared" si="1"/>
        <v/>
      </c>
      <c r="E78" s="51" t="str">
        <f>IF($A78="","",COUNTIFS('Todos os Gastos'!$A:$A,"&gt;="&amp;$A78,'Todos os Gastos'!$A:$A,"&lt;"&amp;EDATE($A78,1)))</f>
        <v/>
      </c>
      <c r="F78" s="51" t="str">
        <f>IF($A78="","",COUNTIFS('Inventário de Lotes'!$B:$B,"&gt;="&amp;$A78,'Inventário de Lotes'!$B:$B,"&lt;"&amp;EDATE($A78,1)))</f>
        <v/>
      </c>
      <c r="G78" s="50" t="str">
        <f t="shared" si="2"/>
        <v/>
      </c>
    </row>
    <row r="79" ht="15.0" customHeight="1">
      <c r="A79" s="52" t="str">
        <f t="shared" si="3"/>
        <v/>
      </c>
      <c r="B79" s="53" t="str">
        <f>IF($A79="","",SUMIFS('Todos os Gastos'!$C:$C,'Todos os Gastos'!$A:$A,"&gt;="&amp;$A79,'Todos os Gastos'!$A:$A,"&lt;"&amp;EDATE($A79,1)))</f>
        <v/>
      </c>
      <c r="C79" s="53" t="str">
        <f>IF($A79="","",SUMIFS('Inventário de Lotes'!$C:$C,'Inventário de Lotes'!$B:$B,"&gt;="&amp;$A79,'Inventário de Lotes'!$B:$B,"&lt;"&amp;EDATE($A79,1)))</f>
        <v/>
      </c>
      <c r="D79" s="53" t="str">
        <f t="shared" si="1"/>
        <v/>
      </c>
      <c r="E79" s="54" t="str">
        <f>IF($A79="","",COUNTIFS('Todos os Gastos'!$A:$A,"&gt;="&amp;$A79,'Todos os Gastos'!$A:$A,"&lt;"&amp;EDATE($A79,1)))</f>
        <v/>
      </c>
      <c r="F79" s="54" t="str">
        <f>IF($A79="","",COUNTIFS('Inventário de Lotes'!$B:$B,"&gt;="&amp;$A79,'Inventário de Lotes'!$B:$B,"&lt;"&amp;EDATE($A79,1)))</f>
        <v/>
      </c>
      <c r="G79" s="53" t="str">
        <f t="shared" si="2"/>
        <v/>
      </c>
    </row>
    <row r="80" ht="15.0" customHeight="1">
      <c r="A80" s="49" t="str">
        <f t="shared" si="3"/>
        <v/>
      </c>
      <c r="B80" s="50" t="str">
        <f>IF($A80="","",SUMIFS('Todos os Gastos'!$C:$C,'Todos os Gastos'!$A:$A,"&gt;="&amp;$A80,'Todos os Gastos'!$A:$A,"&lt;"&amp;EDATE($A80,1)))</f>
        <v/>
      </c>
      <c r="C80" s="50" t="str">
        <f>IF($A80="","",SUMIFS('Inventário de Lotes'!$C:$C,'Inventário de Lotes'!$B:$B,"&gt;="&amp;$A80,'Inventário de Lotes'!$B:$B,"&lt;"&amp;EDATE($A80,1)))</f>
        <v/>
      </c>
      <c r="D80" s="50" t="str">
        <f t="shared" si="1"/>
        <v/>
      </c>
      <c r="E80" s="51" t="str">
        <f>IF($A80="","",COUNTIFS('Todos os Gastos'!$A:$A,"&gt;="&amp;$A80,'Todos os Gastos'!$A:$A,"&lt;"&amp;EDATE($A80,1)))</f>
        <v/>
      </c>
      <c r="F80" s="51" t="str">
        <f>IF($A80="","",COUNTIFS('Inventário de Lotes'!$B:$B,"&gt;="&amp;$A80,'Inventário de Lotes'!$B:$B,"&lt;"&amp;EDATE($A80,1)))</f>
        <v/>
      </c>
      <c r="G80" s="50" t="str">
        <f t="shared" si="2"/>
        <v/>
      </c>
    </row>
    <row r="81" ht="15.0" customHeight="1">
      <c r="A81" s="52" t="str">
        <f t="shared" si="3"/>
        <v/>
      </c>
      <c r="B81" s="53" t="str">
        <f>IF($A81="","",SUMIFS('Todos os Gastos'!$C:$C,'Todos os Gastos'!$A:$A,"&gt;="&amp;$A81,'Todos os Gastos'!$A:$A,"&lt;"&amp;EDATE($A81,1)))</f>
        <v/>
      </c>
      <c r="C81" s="53" t="str">
        <f>IF($A81="","",SUMIFS('Inventário de Lotes'!$C:$C,'Inventário de Lotes'!$B:$B,"&gt;="&amp;$A81,'Inventário de Lotes'!$B:$B,"&lt;"&amp;EDATE($A81,1)))</f>
        <v/>
      </c>
      <c r="D81" s="53" t="str">
        <f t="shared" si="1"/>
        <v/>
      </c>
      <c r="E81" s="54" t="str">
        <f>IF($A81="","",COUNTIFS('Todos os Gastos'!$A:$A,"&gt;="&amp;$A81,'Todos os Gastos'!$A:$A,"&lt;"&amp;EDATE($A81,1)))</f>
        <v/>
      </c>
      <c r="F81" s="54" t="str">
        <f>IF($A81="","",COUNTIFS('Inventário de Lotes'!$B:$B,"&gt;="&amp;$A81,'Inventário de Lotes'!$B:$B,"&lt;"&amp;EDATE($A81,1)))</f>
        <v/>
      </c>
      <c r="G81" s="53" t="str">
        <f t="shared" si="2"/>
        <v/>
      </c>
    </row>
    <row r="82" ht="15.0" customHeight="1">
      <c r="A82" s="49" t="str">
        <f t="shared" si="3"/>
        <v/>
      </c>
      <c r="B82" s="50" t="str">
        <f>IF($A82="","",SUMIFS('Todos os Gastos'!$C:$C,'Todos os Gastos'!$A:$A,"&gt;="&amp;$A82,'Todos os Gastos'!$A:$A,"&lt;"&amp;EDATE($A82,1)))</f>
        <v/>
      </c>
      <c r="C82" s="50" t="str">
        <f>IF($A82="","",SUMIFS('Inventário de Lotes'!$C:$C,'Inventário de Lotes'!$B:$B,"&gt;="&amp;$A82,'Inventário de Lotes'!$B:$B,"&lt;"&amp;EDATE($A82,1)))</f>
        <v/>
      </c>
      <c r="D82" s="50" t="str">
        <f t="shared" si="1"/>
        <v/>
      </c>
      <c r="E82" s="51" t="str">
        <f>IF($A82="","",COUNTIFS('Todos os Gastos'!$A:$A,"&gt;="&amp;$A82,'Todos os Gastos'!$A:$A,"&lt;"&amp;EDATE($A82,1)))</f>
        <v/>
      </c>
      <c r="F82" s="51" t="str">
        <f>IF($A82="","",COUNTIFS('Inventário de Lotes'!$B:$B,"&gt;="&amp;$A82,'Inventário de Lotes'!$B:$B,"&lt;"&amp;EDATE($A82,1)))</f>
        <v/>
      </c>
      <c r="G82" s="50" t="str">
        <f t="shared" si="2"/>
        <v/>
      </c>
    </row>
    <row r="83" ht="15.0" customHeight="1">
      <c r="A83" s="52" t="str">
        <f t="shared" si="3"/>
        <v/>
      </c>
      <c r="B83" s="53" t="str">
        <f>IF($A83="","",SUMIFS('Todos os Gastos'!$C:$C,'Todos os Gastos'!$A:$A,"&gt;="&amp;$A83,'Todos os Gastos'!$A:$A,"&lt;"&amp;EDATE($A83,1)))</f>
        <v/>
      </c>
      <c r="C83" s="53" t="str">
        <f>IF($A83="","",SUMIFS('Inventário de Lotes'!$C:$C,'Inventário de Lotes'!$B:$B,"&gt;="&amp;$A83,'Inventário de Lotes'!$B:$B,"&lt;"&amp;EDATE($A83,1)))</f>
        <v/>
      </c>
      <c r="D83" s="53" t="str">
        <f t="shared" si="1"/>
        <v/>
      </c>
      <c r="E83" s="54" t="str">
        <f>IF($A83="","",COUNTIFS('Todos os Gastos'!$A:$A,"&gt;="&amp;$A83,'Todos os Gastos'!$A:$A,"&lt;"&amp;EDATE($A83,1)))</f>
        <v/>
      </c>
      <c r="F83" s="54" t="str">
        <f>IF($A83="","",COUNTIFS('Inventário de Lotes'!$B:$B,"&gt;="&amp;$A83,'Inventário de Lotes'!$B:$B,"&lt;"&amp;EDATE($A83,1)))</f>
        <v/>
      </c>
      <c r="G83" s="53" t="str">
        <f t="shared" si="2"/>
        <v/>
      </c>
    </row>
    <row r="84" ht="15.0" customHeight="1">
      <c r="A84" s="49" t="str">
        <f t="shared" si="3"/>
        <v/>
      </c>
      <c r="B84" s="50" t="str">
        <f>IF($A84="","",SUMIFS('Todos os Gastos'!$C:$C,'Todos os Gastos'!$A:$A,"&gt;="&amp;$A84,'Todos os Gastos'!$A:$A,"&lt;"&amp;EDATE($A84,1)))</f>
        <v/>
      </c>
      <c r="C84" s="50" t="str">
        <f>IF($A84="","",SUMIFS('Inventário de Lotes'!$C:$C,'Inventário de Lotes'!$B:$B,"&gt;="&amp;$A84,'Inventário de Lotes'!$B:$B,"&lt;"&amp;EDATE($A84,1)))</f>
        <v/>
      </c>
      <c r="D84" s="50" t="str">
        <f t="shared" si="1"/>
        <v/>
      </c>
      <c r="E84" s="51" t="str">
        <f>IF($A84="","",COUNTIFS('Todos os Gastos'!$A:$A,"&gt;="&amp;$A84,'Todos os Gastos'!$A:$A,"&lt;"&amp;EDATE($A84,1)))</f>
        <v/>
      </c>
      <c r="F84" s="51" t="str">
        <f>IF($A84="","",COUNTIFS('Inventário de Lotes'!$B:$B,"&gt;="&amp;$A84,'Inventário de Lotes'!$B:$B,"&lt;"&amp;EDATE($A84,1)))</f>
        <v/>
      </c>
      <c r="G84" s="50" t="str">
        <f t="shared" si="2"/>
        <v/>
      </c>
    </row>
    <row r="85" ht="15.0" customHeight="1">
      <c r="A85" s="52" t="str">
        <f t="shared" si="3"/>
        <v/>
      </c>
      <c r="B85" s="53" t="str">
        <f>IF($A85="","",SUMIFS('Todos os Gastos'!$C:$C,'Todos os Gastos'!$A:$A,"&gt;="&amp;$A85,'Todos os Gastos'!$A:$A,"&lt;"&amp;EDATE($A85,1)))</f>
        <v/>
      </c>
      <c r="C85" s="53" t="str">
        <f>IF($A85="","",SUMIFS('Inventário de Lotes'!$C:$C,'Inventário de Lotes'!$B:$B,"&gt;="&amp;$A85,'Inventário de Lotes'!$B:$B,"&lt;"&amp;EDATE($A85,1)))</f>
        <v/>
      </c>
      <c r="D85" s="53" t="str">
        <f t="shared" si="1"/>
        <v/>
      </c>
      <c r="E85" s="54" t="str">
        <f>IF($A85="","",COUNTIFS('Todos os Gastos'!$A:$A,"&gt;="&amp;$A85,'Todos os Gastos'!$A:$A,"&lt;"&amp;EDATE($A85,1)))</f>
        <v/>
      </c>
      <c r="F85" s="54" t="str">
        <f>IF($A85="","",COUNTIFS('Inventário de Lotes'!$B:$B,"&gt;="&amp;$A85,'Inventário de Lotes'!$B:$B,"&lt;"&amp;EDATE($A85,1)))</f>
        <v/>
      </c>
      <c r="G85" s="53" t="str">
        <f t="shared" si="2"/>
        <v/>
      </c>
    </row>
    <row r="86" ht="15.0" customHeight="1">
      <c r="A86" s="49" t="str">
        <f t="shared" si="3"/>
        <v/>
      </c>
      <c r="B86" s="50" t="str">
        <f>IF($A86="","",SUMIFS('Todos os Gastos'!$C:$C,'Todos os Gastos'!$A:$A,"&gt;="&amp;$A86,'Todos os Gastos'!$A:$A,"&lt;"&amp;EDATE($A86,1)))</f>
        <v/>
      </c>
      <c r="C86" s="50" t="str">
        <f>IF($A86="","",SUMIFS('Inventário de Lotes'!$C:$C,'Inventário de Lotes'!$B:$B,"&gt;="&amp;$A86,'Inventário de Lotes'!$B:$B,"&lt;"&amp;EDATE($A86,1)))</f>
        <v/>
      </c>
      <c r="D86" s="50" t="str">
        <f t="shared" si="1"/>
        <v/>
      </c>
      <c r="E86" s="51" t="str">
        <f>IF($A86="","",COUNTIFS('Todos os Gastos'!$A:$A,"&gt;="&amp;$A86,'Todos os Gastos'!$A:$A,"&lt;"&amp;EDATE($A86,1)))</f>
        <v/>
      </c>
      <c r="F86" s="51" t="str">
        <f>IF($A86="","",COUNTIFS('Inventário de Lotes'!$B:$B,"&gt;="&amp;$A86,'Inventário de Lotes'!$B:$B,"&lt;"&amp;EDATE($A86,1)))</f>
        <v/>
      </c>
      <c r="G86" s="50" t="str">
        <f t="shared" si="2"/>
        <v/>
      </c>
    </row>
    <row r="87" ht="15.0" customHeight="1">
      <c r="A87" s="52" t="str">
        <f t="shared" si="3"/>
        <v/>
      </c>
      <c r="B87" s="53" t="str">
        <f>IF($A87="","",SUMIFS('Todos os Gastos'!$C:$C,'Todos os Gastos'!$A:$A,"&gt;="&amp;$A87,'Todos os Gastos'!$A:$A,"&lt;"&amp;EDATE($A87,1)))</f>
        <v/>
      </c>
      <c r="C87" s="53" t="str">
        <f>IF($A87="","",SUMIFS('Inventário de Lotes'!$C:$C,'Inventário de Lotes'!$B:$B,"&gt;="&amp;$A87,'Inventário de Lotes'!$B:$B,"&lt;"&amp;EDATE($A87,1)))</f>
        <v/>
      </c>
      <c r="D87" s="53" t="str">
        <f t="shared" si="1"/>
        <v/>
      </c>
      <c r="E87" s="54" t="str">
        <f>IF($A87="","",COUNTIFS('Todos os Gastos'!$A:$A,"&gt;="&amp;$A87,'Todos os Gastos'!$A:$A,"&lt;"&amp;EDATE($A87,1)))</f>
        <v/>
      </c>
      <c r="F87" s="54" t="str">
        <f>IF($A87="","",COUNTIFS('Inventário de Lotes'!$B:$B,"&gt;="&amp;$A87,'Inventário de Lotes'!$B:$B,"&lt;"&amp;EDATE($A87,1)))</f>
        <v/>
      </c>
      <c r="G87" s="53" t="str">
        <f t="shared" si="2"/>
        <v/>
      </c>
    </row>
    <row r="88" ht="15.0" customHeight="1">
      <c r="A88" s="49" t="str">
        <f t="shared" si="3"/>
        <v/>
      </c>
      <c r="B88" s="50" t="str">
        <f>IF($A88="","",SUMIFS('Todos os Gastos'!$C:$C,'Todos os Gastos'!$A:$A,"&gt;="&amp;$A88,'Todos os Gastos'!$A:$A,"&lt;"&amp;EDATE($A88,1)))</f>
        <v/>
      </c>
      <c r="C88" s="50" t="str">
        <f>IF($A88="","",SUMIFS('Inventário de Lotes'!$C:$C,'Inventário de Lotes'!$B:$B,"&gt;="&amp;$A88,'Inventário de Lotes'!$B:$B,"&lt;"&amp;EDATE($A88,1)))</f>
        <v/>
      </c>
      <c r="D88" s="50" t="str">
        <f t="shared" si="1"/>
        <v/>
      </c>
      <c r="E88" s="51" t="str">
        <f>IF($A88="","",COUNTIFS('Todos os Gastos'!$A:$A,"&gt;="&amp;$A88,'Todos os Gastos'!$A:$A,"&lt;"&amp;EDATE($A88,1)))</f>
        <v/>
      </c>
      <c r="F88" s="51" t="str">
        <f>IF($A88="","",COUNTIFS('Inventário de Lotes'!$B:$B,"&gt;="&amp;$A88,'Inventário de Lotes'!$B:$B,"&lt;"&amp;EDATE($A88,1)))</f>
        <v/>
      </c>
      <c r="G88" s="50" t="str">
        <f t="shared" si="2"/>
        <v/>
      </c>
    </row>
    <row r="89" ht="15.0" customHeight="1">
      <c r="A89" s="52" t="str">
        <f t="shared" si="3"/>
        <v/>
      </c>
      <c r="B89" s="53" t="str">
        <f>IF($A89="","",SUMIFS('Todos os Gastos'!$C:$C,'Todos os Gastos'!$A:$A,"&gt;="&amp;$A89,'Todos os Gastos'!$A:$A,"&lt;"&amp;EDATE($A89,1)))</f>
        <v/>
      </c>
      <c r="C89" s="53" t="str">
        <f>IF($A89="","",SUMIFS('Inventário de Lotes'!$C:$C,'Inventário de Lotes'!$B:$B,"&gt;="&amp;$A89,'Inventário de Lotes'!$B:$B,"&lt;"&amp;EDATE($A89,1)))</f>
        <v/>
      </c>
      <c r="D89" s="53" t="str">
        <f t="shared" si="1"/>
        <v/>
      </c>
      <c r="E89" s="54" t="str">
        <f>IF($A89="","",COUNTIFS('Todos os Gastos'!$A:$A,"&gt;="&amp;$A89,'Todos os Gastos'!$A:$A,"&lt;"&amp;EDATE($A89,1)))</f>
        <v/>
      </c>
      <c r="F89" s="54" t="str">
        <f>IF($A89="","",COUNTIFS('Inventário de Lotes'!$B:$B,"&gt;="&amp;$A89,'Inventário de Lotes'!$B:$B,"&lt;"&amp;EDATE($A89,1)))</f>
        <v/>
      </c>
      <c r="G89" s="53" t="str">
        <f t="shared" si="2"/>
        <v/>
      </c>
    </row>
    <row r="90" ht="15.0" customHeight="1">
      <c r="A90" s="49" t="str">
        <f t="shared" si="3"/>
        <v/>
      </c>
      <c r="B90" s="50" t="str">
        <f>IF($A90="","",SUMIFS('Todos os Gastos'!$C:$C,'Todos os Gastos'!$A:$A,"&gt;="&amp;$A90,'Todos os Gastos'!$A:$A,"&lt;"&amp;EDATE($A90,1)))</f>
        <v/>
      </c>
      <c r="C90" s="50" t="str">
        <f>IF($A90="","",SUMIFS('Inventário de Lotes'!$C:$C,'Inventário de Lotes'!$B:$B,"&gt;="&amp;$A90,'Inventário de Lotes'!$B:$B,"&lt;"&amp;EDATE($A90,1)))</f>
        <v/>
      </c>
      <c r="D90" s="50" t="str">
        <f t="shared" si="1"/>
        <v/>
      </c>
      <c r="E90" s="51" t="str">
        <f>IF($A90="","",COUNTIFS('Todos os Gastos'!$A:$A,"&gt;="&amp;$A90,'Todos os Gastos'!$A:$A,"&lt;"&amp;EDATE($A90,1)))</f>
        <v/>
      </c>
      <c r="F90" s="51" t="str">
        <f>IF($A90="","",COUNTIFS('Inventário de Lotes'!$B:$B,"&gt;="&amp;$A90,'Inventário de Lotes'!$B:$B,"&lt;"&amp;EDATE($A90,1)))</f>
        <v/>
      </c>
      <c r="G90" s="50" t="str">
        <f t="shared" si="2"/>
        <v/>
      </c>
    </row>
    <row r="91" ht="15.0" customHeight="1">
      <c r="A91" s="52" t="str">
        <f t="shared" si="3"/>
        <v/>
      </c>
      <c r="B91" s="53" t="str">
        <f>IF($A91="","",SUMIFS('Todos os Gastos'!$C:$C,'Todos os Gastos'!$A:$A,"&gt;="&amp;$A91,'Todos os Gastos'!$A:$A,"&lt;"&amp;EDATE($A91,1)))</f>
        <v/>
      </c>
      <c r="C91" s="53" t="str">
        <f>IF($A91="","",SUMIFS('Inventário de Lotes'!$C:$C,'Inventário de Lotes'!$B:$B,"&gt;="&amp;$A91,'Inventário de Lotes'!$B:$B,"&lt;"&amp;EDATE($A91,1)))</f>
        <v/>
      </c>
      <c r="D91" s="53" t="str">
        <f t="shared" si="1"/>
        <v/>
      </c>
      <c r="E91" s="54" t="str">
        <f>IF($A91="","",COUNTIFS('Todos os Gastos'!$A:$A,"&gt;="&amp;$A91,'Todos os Gastos'!$A:$A,"&lt;"&amp;EDATE($A91,1)))</f>
        <v/>
      </c>
      <c r="F91" s="54" t="str">
        <f>IF($A91="","",COUNTIFS('Inventário de Lotes'!$B:$B,"&gt;="&amp;$A91,'Inventário de Lotes'!$B:$B,"&lt;"&amp;EDATE($A91,1)))</f>
        <v/>
      </c>
      <c r="G91" s="53" t="str">
        <f t="shared" si="2"/>
        <v/>
      </c>
    </row>
    <row r="92" ht="15.0" customHeight="1">
      <c r="A92" s="49" t="str">
        <f t="shared" si="3"/>
        <v/>
      </c>
      <c r="B92" s="50" t="str">
        <f>IF($A92="","",SUMIFS('Todos os Gastos'!$C:$C,'Todos os Gastos'!$A:$A,"&gt;="&amp;$A92,'Todos os Gastos'!$A:$A,"&lt;"&amp;EDATE($A92,1)))</f>
        <v/>
      </c>
      <c r="C92" s="50" t="str">
        <f>IF($A92="","",SUMIFS('Inventário de Lotes'!$C:$C,'Inventário de Lotes'!$B:$B,"&gt;="&amp;$A92,'Inventário de Lotes'!$B:$B,"&lt;"&amp;EDATE($A92,1)))</f>
        <v/>
      </c>
      <c r="D92" s="50" t="str">
        <f t="shared" si="1"/>
        <v/>
      </c>
      <c r="E92" s="51" t="str">
        <f>IF($A92="","",COUNTIFS('Todos os Gastos'!$A:$A,"&gt;="&amp;$A92,'Todos os Gastos'!$A:$A,"&lt;"&amp;EDATE($A92,1)))</f>
        <v/>
      </c>
      <c r="F92" s="51" t="str">
        <f>IF($A92="","",COUNTIFS('Inventário de Lotes'!$B:$B,"&gt;="&amp;$A92,'Inventário de Lotes'!$B:$B,"&lt;"&amp;EDATE($A92,1)))</f>
        <v/>
      </c>
      <c r="G92" s="50" t="str">
        <f t="shared" si="2"/>
        <v/>
      </c>
    </row>
    <row r="93" ht="15.0" customHeight="1">
      <c r="A93" s="52" t="str">
        <f t="shared" si="3"/>
        <v/>
      </c>
      <c r="B93" s="53" t="str">
        <f>IF($A93="","",SUMIFS('Todos os Gastos'!$C:$C,'Todos os Gastos'!$A:$A,"&gt;="&amp;$A93,'Todos os Gastos'!$A:$A,"&lt;"&amp;EDATE($A93,1)))</f>
        <v/>
      </c>
      <c r="C93" s="53" t="str">
        <f>IF($A93="","",SUMIFS('Inventário de Lotes'!$C:$C,'Inventário de Lotes'!$B:$B,"&gt;="&amp;$A93,'Inventário de Lotes'!$B:$B,"&lt;"&amp;EDATE($A93,1)))</f>
        <v/>
      </c>
      <c r="D93" s="53" t="str">
        <f t="shared" si="1"/>
        <v/>
      </c>
      <c r="E93" s="54" t="str">
        <f>IF($A93="","",COUNTIFS('Todos os Gastos'!$A:$A,"&gt;="&amp;$A93,'Todos os Gastos'!$A:$A,"&lt;"&amp;EDATE($A93,1)))</f>
        <v/>
      </c>
      <c r="F93" s="54" t="str">
        <f>IF($A93="","",COUNTIFS('Inventário de Lotes'!$B:$B,"&gt;="&amp;$A93,'Inventário de Lotes'!$B:$B,"&lt;"&amp;EDATE($A93,1)))</f>
        <v/>
      </c>
      <c r="G93" s="53" t="str">
        <f t="shared" si="2"/>
        <v/>
      </c>
    </row>
    <row r="94" ht="15.0" customHeight="1">
      <c r="A94" s="49" t="str">
        <f t="shared" si="3"/>
        <v/>
      </c>
      <c r="B94" s="50" t="str">
        <f>IF($A94="","",SUMIFS('Todos os Gastos'!$C:$C,'Todos os Gastos'!$A:$A,"&gt;="&amp;$A94,'Todos os Gastos'!$A:$A,"&lt;"&amp;EDATE($A94,1)))</f>
        <v/>
      </c>
      <c r="C94" s="50" t="str">
        <f>IF($A94="","",SUMIFS('Inventário de Lotes'!$C:$C,'Inventário de Lotes'!$B:$B,"&gt;="&amp;$A94,'Inventário de Lotes'!$B:$B,"&lt;"&amp;EDATE($A94,1)))</f>
        <v/>
      </c>
      <c r="D94" s="50" t="str">
        <f t="shared" si="1"/>
        <v/>
      </c>
      <c r="E94" s="51" t="str">
        <f>IF($A94="","",COUNTIFS('Todos os Gastos'!$A:$A,"&gt;="&amp;$A94,'Todos os Gastos'!$A:$A,"&lt;"&amp;EDATE($A94,1)))</f>
        <v/>
      </c>
      <c r="F94" s="51" t="str">
        <f>IF($A94="","",COUNTIFS('Inventário de Lotes'!$B:$B,"&gt;="&amp;$A94,'Inventário de Lotes'!$B:$B,"&lt;"&amp;EDATE($A94,1)))</f>
        <v/>
      </c>
      <c r="G94" s="50" t="str">
        <f t="shared" si="2"/>
        <v/>
      </c>
    </row>
    <row r="95" ht="15.0" customHeight="1">
      <c r="A95" s="52" t="str">
        <f t="shared" si="3"/>
        <v/>
      </c>
      <c r="B95" s="53" t="str">
        <f>IF($A95="","",SUMIFS('Todos os Gastos'!$C:$C,'Todos os Gastos'!$A:$A,"&gt;="&amp;$A95,'Todos os Gastos'!$A:$A,"&lt;"&amp;EDATE($A95,1)))</f>
        <v/>
      </c>
      <c r="C95" s="53" t="str">
        <f>IF($A95="","",SUMIFS('Inventário de Lotes'!$C:$C,'Inventário de Lotes'!$B:$B,"&gt;="&amp;$A95,'Inventário de Lotes'!$B:$B,"&lt;"&amp;EDATE($A95,1)))</f>
        <v/>
      </c>
      <c r="D95" s="53" t="str">
        <f t="shared" si="1"/>
        <v/>
      </c>
      <c r="E95" s="54" t="str">
        <f>IF($A95="","",COUNTIFS('Todos os Gastos'!$A:$A,"&gt;="&amp;$A95,'Todos os Gastos'!$A:$A,"&lt;"&amp;EDATE($A95,1)))</f>
        <v/>
      </c>
      <c r="F95" s="54" t="str">
        <f>IF($A95="","",COUNTIFS('Inventário de Lotes'!$B:$B,"&gt;="&amp;$A95,'Inventário de Lotes'!$B:$B,"&lt;"&amp;EDATE($A95,1)))</f>
        <v/>
      </c>
      <c r="G95" s="53" t="str">
        <f t="shared" si="2"/>
        <v/>
      </c>
    </row>
    <row r="96" ht="15.0" customHeight="1">
      <c r="A96" s="49" t="str">
        <f t="shared" si="3"/>
        <v/>
      </c>
      <c r="B96" s="50" t="str">
        <f>IF($A96="","",SUMIFS('Todos os Gastos'!$C:$C,'Todos os Gastos'!$A:$A,"&gt;="&amp;$A96,'Todos os Gastos'!$A:$A,"&lt;"&amp;EDATE($A96,1)))</f>
        <v/>
      </c>
      <c r="C96" s="50" t="str">
        <f>IF($A96="","",SUMIFS('Inventário de Lotes'!$C:$C,'Inventário de Lotes'!$B:$B,"&gt;="&amp;$A96,'Inventário de Lotes'!$B:$B,"&lt;"&amp;EDATE($A96,1)))</f>
        <v/>
      </c>
      <c r="D96" s="50" t="str">
        <f t="shared" si="1"/>
        <v/>
      </c>
      <c r="E96" s="51" t="str">
        <f>IF($A96="","",COUNTIFS('Todos os Gastos'!$A:$A,"&gt;="&amp;$A96,'Todos os Gastos'!$A:$A,"&lt;"&amp;EDATE($A96,1)))</f>
        <v/>
      </c>
      <c r="F96" s="51" t="str">
        <f>IF($A96="","",COUNTIFS('Inventário de Lotes'!$B:$B,"&gt;="&amp;$A96,'Inventário de Lotes'!$B:$B,"&lt;"&amp;EDATE($A96,1)))</f>
        <v/>
      </c>
      <c r="G96" s="50" t="str">
        <f t="shared" si="2"/>
        <v/>
      </c>
    </row>
    <row r="97" ht="15.0" customHeight="1">
      <c r="A97" s="52" t="str">
        <f t="shared" si="3"/>
        <v/>
      </c>
      <c r="B97" s="53" t="str">
        <f>IF($A97="","",SUMIFS('Todos os Gastos'!$C:$C,'Todos os Gastos'!$A:$A,"&gt;="&amp;$A97,'Todos os Gastos'!$A:$A,"&lt;"&amp;EDATE($A97,1)))</f>
        <v/>
      </c>
      <c r="C97" s="53" t="str">
        <f>IF($A97="","",SUMIFS('Inventário de Lotes'!$C:$C,'Inventário de Lotes'!$B:$B,"&gt;="&amp;$A97,'Inventário de Lotes'!$B:$B,"&lt;"&amp;EDATE($A97,1)))</f>
        <v/>
      </c>
      <c r="D97" s="53" t="str">
        <f t="shared" si="1"/>
        <v/>
      </c>
      <c r="E97" s="54" t="str">
        <f>IF($A97="","",COUNTIFS('Todos os Gastos'!$A:$A,"&gt;="&amp;$A97,'Todos os Gastos'!$A:$A,"&lt;"&amp;EDATE($A97,1)))</f>
        <v/>
      </c>
      <c r="F97" s="54" t="str">
        <f>IF($A97="","",COUNTIFS('Inventário de Lotes'!$B:$B,"&gt;="&amp;$A97,'Inventário de Lotes'!$B:$B,"&lt;"&amp;EDATE($A97,1)))</f>
        <v/>
      </c>
      <c r="G97" s="53" t="str">
        <f t="shared" si="2"/>
        <v/>
      </c>
    </row>
    <row r="98" ht="15.0" customHeight="1">
      <c r="A98" s="49" t="str">
        <f t="shared" si="3"/>
        <v/>
      </c>
      <c r="B98" s="50" t="str">
        <f>IF($A98="","",SUMIFS('Todos os Gastos'!$C:$C,'Todos os Gastos'!$A:$A,"&gt;="&amp;$A98,'Todos os Gastos'!$A:$A,"&lt;"&amp;EDATE($A98,1)))</f>
        <v/>
      </c>
      <c r="C98" s="50" t="str">
        <f>IF($A98="","",SUMIFS('Inventário de Lotes'!$C:$C,'Inventário de Lotes'!$B:$B,"&gt;="&amp;$A98,'Inventário de Lotes'!$B:$B,"&lt;"&amp;EDATE($A98,1)))</f>
        <v/>
      </c>
      <c r="D98" s="50" t="str">
        <f t="shared" si="1"/>
        <v/>
      </c>
      <c r="E98" s="51" t="str">
        <f>IF($A98="","",COUNTIFS('Todos os Gastos'!$A:$A,"&gt;="&amp;$A98,'Todos os Gastos'!$A:$A,"&lt;"&amp;EDATE($A98,1)))</f>
        <v/>
      </c>
      <c r="F98" s="51" t="str">
        <f>IF($A98="","",COUNTIFS('Inventário de Lotes'!$B:$B,"&gt;="&amp;$A98,'Inventário de Lotes'!$B:$B,"&lt;"&amp;EDATE($A98,1)))</f>
        <v/>
      </c>
      <c r="G98" s="50" t="str">
        <f t="shared" si="2"/>
        <v/>
      </c>
    </row>
    <row r="99" ht="15.0" customHeight="1">
      <c r="A99" s="52" t="str">
        <f t="shared" si="3"/>
        <v/>
      </c>
      <c r="B99" s="53" t="str">
        <f>IF($A99="","",SUMIFS('Todos os Gastos'!$C:$C,'Todos os Gastos'!$A:$A,"&gt;="&amp;$A99,'Todos os Gastos'!$A:$A,"&lt;"&amp;EDATE($A99,1)))</f>
        <v/>
      </c>
      <c r="C99" s="53" t="str">
        <f>IF($A99="","",SUMIFS('Inventário de Lotes'!$C:$C,'Inventário de Lotes'!$B:$B,"&gt;="&amp;$A99,'Inventário de Lotes'!$B:$B,"&lt;"&amp;EDATE($A99,1)))</f>
        <v/>
      </c>
      <c r="D99" s="53" t="str">
        <f t="shared" si="1"/>
        <v/>
      </c>
      <c r="E99" s="54" t="str">
        <f>IF($A99="","",COUNTIFS('Todos os Gastos'!$A:$A,"&gt;="&amp;$A99,'Todos os Gastos'!$A:$A,"&lt;"&amp;EDATE($A99,1)))</f>
        <v/>
      </c>
      <c r="F99" s="54" t="str">
        <f>IF($A99="","",COUNTIFS('Inventário de Lotes'!$B:$B,"&gt;="&amp;$A99,'Inventário de Lotes'!$B:$B,"&lt;"&amp;EDATE($A99,1)))</f>
        <v/>
      </c>
      <c r="G99" s="53" t="str">
        <f t="shared" si="2"/>
        <v/>
      </c>
    </row>
    <row r="100" ht="15.0" customHeight="1">
      <c r="A100" s="49" t="str">
        <f t="shared" si="3"/>
        <v/>
      </c>
      <c r="B100" s="50" t="str">
        <f>IF($A100="","",SUMIFS('Todos os Gastos'!$C:$C,'Todos os Gastos'!$A:$A,"&gt;="&amp;$A100,'Todos os Gastos'!$A:$A,"&lt;"&amp;EDATE($A100,1)))</f>
        <v/>
      </c>
      <c r="C100" s="50" t="str">
        <f>IF($A100="","",SUMIFS('Inventário de Lotes'!$C:$C,'Inventário de Lotes'!$B:$B,"&gt;="&amp;$A100,'Inventário de Lotes'!$B:$B,"&lt;"&amp;EDATE($A100,1)))</f>
        <v/>
      </c>
      <c r="D100" s="50" t="str">
        <f t="shared" si="1"/>
        <v/>
      </c>
      <c r="E100" s="51" t="str">
        <f>IF($A100="","",COUNTIFS('Todos os Gastos'!$A:$A,"&gt;="&amp;$A100,'Todos os Gastos'!$A:$A,"&lt;"&amp;EDATE($A100,1)))</f>
        <v/>
      </c>
      <c r="F100" s="51" t="str">
        <f>IF($A100="","",COUNTIFS('Inventário de Lotes'!$B:$B,"&gt;="&amp;$A100,'Inventário de Lotes'!$B:$B,"&lt;"&amp;EDATE($A100,1)))</f>
        <v/>
      </c>
      <c r="G100" s="50" t="str">
        <f t="shared" si="2"/>
        <v/>
      </c>
    </row>
    <row r="101" ht="15.0" customHeight="1">
      <c r="A101" s="52" t="str">
        <f t="shared" si="3"/>
        <v/>
      </c>
      <c r="B101" s="53" t="str">
        <f>IF($A101="","",SUMIFS('Todos os Gastos'!$C:$C,'Todos os Gastos'!$A:$A,"&gt;="&amp;$A101,'Todos os Gastos'!$A:$A,"&lt;"&amp;EDATE($A101,1)))</f>
        <v/>
      </c>
      <c r="C101" s="53" t="str">
        <f>IF($A101="","",SUMIFS('Inventário de Lotes'!$C:$C,'Inventário de Lotes'!$B:$B,"&gt;="&amp;$A101,'Inventário de Lotes'!$B:$B,"&lt;"&amp;EDATE($A101,1)))</f>
        <v/>
      </c>
      <c r="D101" s="53" t="str">
        <f t="shared" si="1"/>
        <v/>
      </c>
      <c r="E101" s="54" t="str">
        <f>IF($A101="","",COUNTIFS('Todos os Gastos'!$A:$A,"&gt;="&amp;$A101,'Todos os Gastos'!$A:$A,"&lt;"&amp;EDATE($A101,1)))</f>
        <v/>
      </c>
      <c r="F101" s="54" t="str">
        <f>IF($A101="","",COUNTIFS('Inventário de Lotes'!$B:$B,"&gt;="&amp;$A101,'Inventário de Lotes'!$B:$B,"&lt;"&amp;EDATE($A101,1)))</f>
        <v/>
      </c>
      <c r="G101" s="53" t="str">
        <f t="shared" si="2"/>
        <v/>
      </c>
    </row>
    <row r="102" ht="15.0" customHeight="1">
      <c r="A102" s="49" t="str">
        <f t="shared" si="3"/>
        <v/>
      </c>
      <c r="B102" s="50" t="str">
        <f>IF($A102="","",SUMIFS('Todos os Gastos'!$C:$C,'Todos os Gastos'!$A:$A,"&gt;="&amp;$A102,'Todos os Gastos'!$A:$A,"&lt;"&amp;EDATE($A102,1)))</f>
        <v/>
      </c>
      <c r="C102" s="50" t="str">
        <f>IF($A102="","",SUMIFS('Inventário de Lotes'!$C:$C,'Inventário de Lotes'!$B:$B,"&gt;="&amp;$A102,'Inventário de Lotes'!$B:$B,"&lt;"&amp;EDATE($A102,1)))</f>
        <v/>
      </c>
      <c r="D102" s="50" t="str">
        <f t="shared" si="1"/>
        <v/>
      </c>
      <c r="E102" s="51" t="str">
        <f>IF($A102="","",COUNTIFS('Todos os Gastos'!$A:$A,"&gt;="&amp;$A102,'Todos os Gastos'!$A:$A,"&lt;"&amp;EDATE($A102,1)))</f>
        <v/>
      </c>
      <c r="F102" s="51" t="str">
        <f>IF($A102="","",COUNTIFS('Inventário de Lotes'!$B:$B,"&gt;="&amp;$A102,'Inventário de Lotes'!$B:$B,"&lt;"&amp;EDATE($A102,1)))</f>
        <v/>
      </c>
      <c r="G102" s="50" t="str">
        <f t="shared" si="2"/>
        <v/>
      </c>
    </row>
    <row r="103" ht="15.0" customHeight="1">
      <c r="A103" s="52" t="str">
        <f t="shared" si="3"/>
        <v/>
      </c>
      <c r="B103" s="53" t="str">
        <f>IF($A103="","",SUMIFS('Todos os Gastos'!$C:$C,'Todos os Gastos'!$A:$A,"&gt;="&amp;$A103,'Todos os Gastos'!$A:$A,"&lt;"&amp;EDATE($A103,1)))</f>
        <v/>
      </c>
      <c r="C103" s="53" t="str">
        <f>IF($A103="","",SUMIFS('Inventário de Lotes'!$C:$C,'Inventário de Lotes'!$B:$B,"&gt;="&amp;$A103,'Inventário de Lotes'!$B:$B,"&lt;"&amp;EDATE($A103,1)))</f>
        <v/>
      </c>
      <c r="D103" s="53" t="str">
        <f t="shared" si="1"/>
        <v/>
      </c>
      <c r="E103" s="54" t="str">
        <f>IF($A103="","",COUNTIFS('Todos os Gastos'!$A:$A,"&gt;="&amp;$A103,'Todos os Gastos'!$A:$A,"&lt;"&amp;EDATE($A103,1)))</f>
        <v/>
      </c>
      <c r="F103" s="54" t="str">
        <f>IF($A103="","",COUNTIFS('Inventário de Lotes'!$B:$B,"&gt;="&amp;$A103,'Inventário de Lotes'!$B:$B,"&lt;"&amp;EDATE($A103,1)))</f>
        <v/>
      </c>
      <c r="G103" s="53" t="str">
        <f t="shared" si="2"/>
        <v/>
      </c>
    </row>
    <row r="104" ht="15.0" customHeight="1">
      <c r="A104" s="49" t="str">
        <f t="shared" si="3"/>
        <v/>
      </c>
      <c r="B104" s="50" t="str">
        <f>IF($A104="","",SUMIFS('Todos os Gastos'!$C:$C,'Todos os Gastos'!$A:$A,"&gt;="&amp;$A104,'Todos os Gastos'!$A:$A,"&lt;"&amp;EDATE($A104,1)))</f>
        <v/>
      </c>
      <c r="C104" s="50" t="str">
        <f>IF($A104="","",SUMIFS('Inventário de Lotes'!$C:$C,'Inventário de Lotes'!$B:$B,"&gt;="&amp;$A104,'Inventário de Lotes'!$B:$B,"&lt;"&amp;EDATE($A104,1)))</f>
        <v/>
      </c>
      <c r="D104" s="50" t="str">
        <f t="shared" si="1"/>
        <v/>
      </c>
      <c r="E104" s="51" t="str">
        <f>IF($A104="","",COUNTIFS('Todos os Gastos'!$A:$A,"&gt;="&amp;$A104,'Todos os Gastos'!$A:$A,"&lt;"&amp;EDATE($A104,1)))</f>
        <v/>
      </c>
      <c r="F104" s="51" t="str">
        <f>IF($A104="","",COUNTIFS('Inventário de Lotes'!$B:$B,"&gt;="&amp;$A104,'Inventário de Lotes'!$B:$B,"&lt;"&amp;EDATE($A104,1)))</f>
        <v/>
      </c>
      <c r="G104" s="50" t="str">
        <f t="shared" si="2"/>
        <v/>
      </c>
    </row>
    <row r="105" ht="15.0" customHeight="1">
      <c r="A105" s="52" t="str">
        <f t="shared" si="3"/>
        <v/>
      </c>
      <c r="B105" s="53" t="str">
        <f>IF($A105="","",SUMIFS('Todos os Gastos'!$C:$C,'Todos os Gastos'!$A:$A,"&gt;="&amp;$A105,'Todos os Gastos'!$A:$A,"&lt;"&amp;EDATE($A105,1)))</f>
        <v/>
      </c>
      <c r="C105" s="53" t="str">
        <f>IF($A105="","",SUMIFS('Inventário de Lotes'!$C:$C,'Inventário de Lotes'!$B:$B,"&gt;="&amp;$A105,'Inventário de Lotes'!$B:$B,"&lt;"&amp;EDATE($A105,1)))</f>
        <v/>
      </c>
      <c r="D105" s="53" t="str">
        <f t="shared" si="1"/>
        <v/>
      </c>
      <c r="E105" s="54" t="str">
        <f>IF($A105="","",COUNTIFS('Todos os Gastos'!$A:$A,"&gt;="&amp;$A105,'Todos os Gastos'!$A:$A,"&lt;"&amp;EDATE($A105,1)))</f>
        <v/>
      </c>
      <c r="F105" s="54" t="str">
        <f>IF($A105="","",COUNTIFS('Inventário de Lotes'!$B:$B,"&gt;="&amp;$A105,'Inventário de Lotes'!$B:$B,"&lt;"&amp;EDATE($A105,1)))</f>
        <v/>
      </c>
      <c r="G105" s="53" t="str">
        <f t="shared" si="2"/>
        <v/>
      </c>
    </row>
    <row r="106" ht="15.0" customHeight="1">
      <c r="A106" s="49" t="str">
        <f t="shared" si="3"/>
        <v/>
      </c>
      <c r="B106" s="50" t="str">
        <f>IF($A106="","",SUMIFS('Todos os Gastos'!$C:$C,'Todos os Gastos'!$A:$A,"&gt;="&amp;$A106,'Todos os Gastos'!$A:$A,"&lt;"&amp;EDATE($A106,1)))</f>
        <v/>
      </c>
      <c r="C106" s="50" t="str">
        <f>IF($A106="","",SUMIFS('Inventário de Lotes'!$C:$C,'Inventário de Lotes'!$B:$B,"&gt;="&amp;$A106,'Inventário de Lotes'!$B:$B,"&lt;"&amp;EDATE($A106,1)))</f>
        <v/>
      </c>
      <c r="D106" s="50" t="str">
        <f t="shared" si="1"/>
        <v/>
      </c>
      <c r="E106" s="51" t="str">
        <f>IF($A106="","",COUNTIFS('Todos os Gastos'!$A:$A,"&gt;="&amp;$A106,'Todos os Gastos'!$A:$A,"&lt;"&amp;EDATE($A106,1)))</f>
        <v/>
      </c>
      <c r="F106" s="51" t="str">
        <f>IF($A106="","",COUNTIFS('Inventário de Lotes'!$B:$B,"&gt;="&amp;$A106,'Inventário de Lotes'!$B:$B,"&lt;"&amp;EDATE($A106,1)))</f>
        <v/>
      </c>
      <c r="G106" s="50" t="str">
        <f t="shared" si="2"/>
        <v/>
      </c>
    </row>
    <row r="107" ht="15.0" customHeight="1">
      <c r="A107" s="52" t="str">
        <f t="shared" si="3"/>
        <v/>
      </c>
      <c r="B107" s="53" t="str">
        <f>IF($A107="","",SUMIFS('Todos os Gastos'!$C:$C,'Todos os Gastos'!$A:$A,"&gt;="&amp;$A107,'Todos os Gastos'!$A:$A,"&lt;"&amp;EDATE($A107,1)))</f>
        <v/>
      </c>
      <c r="C107" s="53" t="str">
        <f>IF($A107="","",SUMIFS('Inventário de Lotes'!$C:$C,'Inventário de Lotes'!$B:$B,"&gt;="&amp;$A107,'Inventário de Lotes'!$B:$B,"&lt;"&amp;EDATE($A107,1)))</f>
        <v/>
      </c>
      <c r="D107" s="53" t="str">
        <f t="shared" si="1"/>
        <v/>
      </c>
      <c r="E107" s="54" t="str">
        <f>IF($A107="","",COUNTIFS('Todos os Gastos'!$A:$A,"&gt;="&amp;$A107,'Todos os Gastos'!$A:$A,"&lt;"&amp;EDATE($A107,1)))</f>
        <v/>
      </c>
      <c r="F107" s="54" t="str">
        <f>IF($A107="","",COUNTIFS('Inventário de Lotes'!$B:$B,"&gt;="&amp;$A107,'Inventário de Lotes'!$B:$B,"&lt;"&amp;EDATE($A107,1)))</f>
        <v/>
      </c>
      <c r="G107" s="53" t="str">
        <f t="shared" si="2"/>
        <v/>
      </c>
    </row>
    <row r="108" ht="15.0" customHeight="1">
      <c r="A108" s="49" t="str">
        <f t="shared" si="3"/>
        <v/>
      </c>
      <c r="B108" s="50" t="str">
        <f>IF($A108="","",SUMIFS('Todos os Gastos'!$C:$C,'Todos os Gastos'!$A:$A,"&gt;="&amp;$A108,'Todos os Gastos'!$A:$A,"&lt;"&amp;EDATE($A108,1)))</f>
        <v/>
      </c>
      <c r="C108" s="50" t="str">
        <f>IF($A108="","",SUMIFS('Inventário de Lotes'!$C:$C,'Inventário de Lotes'!$B:$B,"&gt;="&amp;$A108,'Inventário de Lotes'!$B:$B,"&lt;"&amp;EDATE($A108,1)))</f>
        <v/>
      </c>
      <c r="D108" s="50" t="str">
        <f t="shared" si="1"/>
        <v/>
      </c>
      <c r="E108" s="51" t="str">
        <f>IF($A108="","",COUNTIFS('Todos os Gastos'!$A:$A,"&gt;="&amp;$A108,'Todos os Gastos'!$A:$A,"&lt;"&amp;EDATE($A108,1)))</f>
        <v/>
      </c>
      <c r="F108" s="51" t="str">
        <f>IF($A108="","",COUNTIFS('Inventário de Lotes'!$B:$B,"&gt;="&amp;$A108,'Inventário de Lotes'!$B:$B,"&lt;"&amp;EDATE($A108,1)))</f>
        <v/>
      </c>
      <c r="G108" s="50" t="str">
        <f t="shared" si="2"/>
        <v/>
      </c>
    </row>
    <row r="109" ht="15.0" customHeight="1">
      <c r="A109" s="52" t="str">
        <f t="shared" si="3"/>
        <v/>
      </c>
      <c r="B109" s="53" t="str">
        <f>IF($A109="","",SUMIFS('Todos os Gastos'!$C:$C,'Todos os Gastos'!$A:$A,"&gt;="&amp;$A109,'Todos os Gastos'!$A:$A,"&lt;"&amp;EDATE($A109,1)))</f>
        <v/>
      </c>
      <c r="C109" s="53" t="str">
        <f>IF($A109="","",SUMIFS('Inventário de Lotes'!$C:$C,'Inventário de Lotes'!$B:$B,"&gt;="&amp;$A109,'Inventário de Lotes'!$B:$B,"&lt;"&amp;EDATE($A109,1)))</f>
        <v/>
      </c>
      <c r="D109" s="53" t="str">
        <f t="shared" si="1"/>
        <v/>
      </c>
      <c r="E109" s="54" t="str">
        <f>IF($A109="","",COUNTIFS('Todos os Gastos'!$A:$A,"&gt;="&amp;$A109,'Todos os Gastos'!$A:$A,"&lt;"&amp;EDATE($A109,1)))</f>
        <v/>
      </c>
      <c r="F109" s="54" t="str">
        <f>IF($A109="","",COUNTIFS('Inventário de Lotes'!$B:$B,"&gt;="&amp;$A109,'Inventário de Lotes'!$B:$B,"&lt;"&amp;EDATE($A109,1)))</f>
        <v/>
      </c>
      <c r="G109" s="53" t="str">
        <f t="shared" si="2"/>
        <v/>
      </c>
    </row>
    <row r="110" ht="15.0" customHeight="1">
      <c r="A110" s="49" t="str">
        <f t="shared" si="3"/>
        <v/>
      </c>
      <c r="B110" s="50" t="str">
        <f>IF($A110="","",SUMIFS('Todos os Gastos'!$C:$C,'Todos os Gastos'!$A:$A,"&gt;="&amp;$A110,'Todos os Gastos'!$A:$A,"&lt;"&amp;EDATE($A110,1)))</f>
        <v/>
      </c>
      <c r="C110" s="50" t="str">
        <f>IF($A110="","",SUMIFS('Inventário de Lotes'!$C:$C,'Inventário de Lotes'!$B:$B,"&gt;="&amp;$A110,'Inventário de Lotes'!$B:$B,"&lt;"&amp;EDATE($A110,1)))</f>
        <v/>
      </c>
      <c r="D110" s="50" t="str">
        <f t="shared" si="1"/>
        <v/>
      </c>
      <c r="E110" s="51" t="str">
        <f>IF($A110="","",COUNTIFS('Todos os Gastos'!$A:$A,"&gt;="&amp;$A110,'Todos os Gastos'!$A:$A,"&lt;"&amp;EDATE($A110,1)))</f>
        <v/>
      </c>
      <c r="F110" s="51" t="str">
        <f>IF($A110="","",COUNTIFS('Inventário de Lotes'!$B:$B,"&gt;="&amp;$A110,'Inventário de Lotes'!$B:$B,"&lt;"&amp;EDATE($A110,1)))</f>
        <v/>
      </c>
      <c r="G110" s="50" t="str">
        <f t="shared" si="2"/>
        <v/>
      </c>
    </row>
    <row r="111" ht="15.0" customHeight="1">
      <c r="A111" s="52" t="str">
        <f t="shared" si="3"/>
        <v/>
      </c>
      <c r="B111" s="53" t="str">
        <f>IF($A111="","",SUMIFS('Todos os Gastos'!$C:$C,'Todos os Gastos'!$A:$A,"&gt;="&amp;$A111,'Todos os Gastos'!$A:$A,"&lt;"&amp;EDATE($A111,1)))</f>
        <v/>
      </c>
      <c r="C111" s="53" t="str">
        <f>IF($A111="","",SUMIFS('Inventário de Lotes'!$C:$C,'Inventário de Lotes'!$B:$B,"&gt;="&amp;$A111,'Inventário de Lotes'!$B:$B,"&lt;"&amp;EDATE($A111,1)))</f>
        <v/>
      </c>
      <c r="D111" s="53" t="str">
        <f t="shared" si="1"/>
        <v/>
      </c>
      <c r="E111" s="54" t="str">
        <f>IF($A111="","",COUNTIFS('Todos os Gastos'!$A:$A,"&gt;="&amp;$A111,'Todos os Gastos'!$A:$A,"&lt;"&amp;EDATE($A111,1)))</f>
        <v/>
      </c>
      <c r="F111" s="54" t="str">
        <f>IF($A111="","",COUNTIFS('Inventário de Lotes'!$B:$B,"&gt;="&amp;$A111,'Inventário de Lotes'!$B:$B,"&lt;"&amp;EDATE($A111,1)))</f>
        <v/>
      </c>
      <c r="G111" s="53" t="str">
        <f t="shared" si="2"/>
        <v/>
      </c>
    </row>
    <row r="112" ht="15.0" customHeight="1">
      <c r="A112" s="49" t="str">
        <f t="shared" si="3"/>
        <v/>
      </c>
      <c r="B112" s="50" t="str">
        <f>IF($A112="","",SUMIFS('Todos os Gastos'!$C:$C,'Todos os Gastos'!$A:$A,"&gt;="&amp;$A112,'Todos os Gastos'!$A:$A,"&lt;"&amp;EDATE($A112,1)))</f>
        <v/>
      </c>
      <c r="C112" s="50" t="str">
        <f>IF($A112="","",SUMIFS('Inventário de Lotes'!$C:$C,'Inventário de Lotes'!$B:$B,"&gt;="&amp;$A112,'Inventário de Lotes'!$B:$B,"&lt;"&amp;EDATE($A112,1)))</f>
        <v/>
      </c>
      <c r="D112" s="50" t="str">
        <f t="shared" si="1"/>
        <v/>
      </c>
      <c r="E112" s="51" t="str">
        <f>IF($A112="","",COUNTIFS('Todos os Gastos'!$A:$A,"&gt;="&amp;$A112,'Todos os Gastos'!$A:$A,"&lt;"&amp;EDATE($A112,1)))</f>
        <v/>
      </c>
      <c r="F112" s="51" t="str">
        <f>IF($A112="","",COUNTIFS('Inventário de Lotes'!$B:$B,"&gt;="&amp;$A112,'Inventário de Lotes'!$B:$B,"&lt;"&amp;EDATE($A112,1)))</f>
        <v/>
      </c>
      <c r="G112" s="50" t="str">
        <f t="shared" si="2"/>
        <v/>
      </c>
    </row>
    <row r="113" ht="15.0" customHeight="1">
      <c r="A113" s="52" t="str">
        <f t="shared" si="3"/>
        <v/>
      </c>
      <c r="B113" s="53" t="str">
        <f>IF($A113="","",SUMIFS('Todos os Gastos'!$C:$C,'Todos os Gastos'!$A:$A,"&gt;="&amp;$A113,'Todos os Gastos'!$A:$A,"&lt;"&amp;EDATE($A113,1)))</f>
        <v/>
      </c>
      <c r="C113" s="53" t="str">
        <f>IF($A113="","",SUMIFS('Inventário de Lotes'!$C:$C,'Inventário de Lotes'!$B:$B,"&gt;="&amp;$A113,'Inventário de Lotes'!$B:$B,"&lt;"&amp;EDATE($A113,1)))</f>
        <v/>
      </c>
      <c r="D113" s="53" t="str">
        <f t="shared" si="1"/>
        <v/>
      </c>
      <c r="E113" s="54" t="str">
        <f>IF($A113="","",COUNTIFS('Todos os Gastos'!$A:$A,"&gt;="&amp;$A113,'Todos os Gastos'!$A:$A,"&lt;"&amp;EDATE($A113,1)))</f>
        <v/>
      </c>
      <c r="F113" s="54" t="str">
        <f>IF($A113="","",COUNTIFS('Inventário de Lotes'!$B:$B,"&gt;="&amp;$A113,'Inventário de Lotes'!$B:$B,"&lt;"&amp;EDATE($A113,1)))</f>
        <v/>
      </c>
      <c r="G113" s="53" t="str">
        <f t="shared" si="2"/>
        <v/>
      </c>
    </row>
    <row r="114" ht="15.0" customHeight="1">
      <c r="A114" s="49" t="str">
        <f t="shared" si="3"/>
        <v/>
      </c>
      <c r="B114" s="50" t="str">
        <f>IF($A114="","",SUMIFS('Todos os Gastos'!$C:$C,'Todos os Gastos'!$A:$A,"&gt;="&amp;$A114,'Todos os Gastos'!$A:$A,"&lt;"&amp;EDATE($A114,1)))</f>
        <v/>
      </c>
      <c r="C114" s="50" t="str">
        <f>IF($A114="","",SUMIFS('Inventário de Lotes'!$C:$C,'Inventário de Lotes'!$B:$B,"&gt;="&amp;$A114,'Inventário de Lotes'!$B:$B,"&lt;"&amp;EDATE($A114,1)))</f>
        <v/>
      </c>
      <c r="D114" s="50" t="str">
        <f t="shared" si="1"/>
        <v/>
      </c>
      <c r="E114" s="51" t="str">
        <f>IF($A114="","",COUNTIFS('Todos os Gastos'!$A:$A,"&gt;="&amp;$A114,'Todos os Gastos'!$A:$A,"&lt;"&amp;EDATE($A114,1)))</f>
        <v/>
      </c>
      <c r="F114" s="51" t="str">
        <f>IF($A114="","",COUNTIFS('Inventário de Lotes'!$B:$B,"&gt;="&amp;$A114,'Inventário de Lotes'!$B:$B,"&lt;"&amp;EDATE($A114,1)))</f>
        <v/>
      </c>
      <c r="G114" s="50" t="str">
        <f t="shared" si="2"/>
        <v/>
      </c>
    </row>
    <row r="115" ht="15.0" customHeight="1">
      <c r="A115" s="52" t="str">
        <f t="shared" si="3"/>
        <v/>
      </c>
      <c r="B115" s="53" t="str">
        <f>IF($A115="","",SUMIFS('Todos os Gastos'!$C:$C,'Todos os Gastos'!$A:$A,"&gt;="&amp;$A115,'Todos os Gastos'!$A:$A,"&lt;"&amp;EDATE($A115,1)))</f>
        <v/>
      </c>
      <c r="C115" s="53" t="str">
        <f>IF($A115="","",SUMIFS('Inventário de Lotes'!$C:$C,'Inventário de Lotes'!$B:$B,"&gt;="&amp;$A115,'Inventário de Lotes'!$B:$B,"&lt;"&amp;EDATE($A115,1)))</f>
        <v/>
      </c>
      <c r="D115" s="53" t="str">
        <f t="shared" si="1"/>
        <v/>
      </c>
      <c r="E115" s="54" t="str">
        <f>IF($A115="","",COUNTIFS('Todos os Gastos'!$A:$A,"&gt;="&amp;$A115,'Todos os Gastos'!$A:$A,"&lt;"&amp;EDATE($A115,1)))</f>
        <v/>
      </c>
      <c r="F115" s="54" t="str">
        <f>IF($A115="","",COUNTIFS('Inventário de Lotes'!$B:$B,"&gt;="&amp;$A115,'Inventário de Lotes'!$B:$B,"&lt;"&amp;EDATE($A115,1)))</f>
        <v/>
      </c>
      <c r="G115" s="53" t="str">
        <f t="shared" si="2"/>
        <v/>
      </c>
    </row>
    <row r="116" ht="15.0" customHeight="1">
      <c r="A116" s="49" t="str">
        <f t="shared" si="3"/>
        <v/>
      </c>
      <c r="B116" s="50" t="str">
        <f>IF($A116="","",SUMIFS('Todos os Gastos'!$C:$C,'Todos os Gastos'!$A:$A,"&gt;="&amp;$A116,'Todos os Gastos'!$A:$A,"&lt;"&amp;EDATE($A116,1)))</f>
        <v/>
      </c>
      <c r="C116" s="50" t="str">
        <f>IF($A116="","",SUMIFS('Inventário de Lotes'!$C:$C,'Inventário de Lotes'!$B:$B,"&gt;="&amp;$A116,'Inventário de Lotes'!$B:$B,"&lt;"&amp;EDATE($A116,1)))</f>
        <v/>
      </c>
      <c r="D116" s="50" t="str">
        <f t="shared" si="1"/>
        <v/>
      </c>
      <c r="E116" s="51" t="str">
        <f>IF($A116="","",COUNTIFS('Todos os Gastos'!$A:$A,"&gt;="&amp;$A116,'Todos os Gastos'!$A:$A,"&lt;"&amp;EDATE($A116,1)))</f>
        <v/>
      </c>
      <c r="F116" s="51" t="str">
        <f>IF($A116="","",COUNTIFS('Inventário de Lotes'!$B:$B,"&gt;="&amp;$A116,'Inventário de Lotes'!$B:$B,"&lt;"&amp;EDATE($A116,1)))</f>
        <v/>
      </c>
      <c r="G116" s="50" t="str">
        <f t="shared" si="2"/>
        <v/>
      </c>
    </row>
    <row r="117" ht="15.0" customHeight="1">
      <c r="A117" s="52" t="str">
        <f t="shared" si="3"/>
        <v/>
      </c>
      <c r="B117" s="53" t="str">
        <f>IF($A117="","",SUMIFS('Todos os Gastos'!$C:$C,'Todos os Gastos'!$A:$A,"&gt;="&amp;$A117,'Todos os Gastos'!$A:$A,"&lt;"&amp;EDATE($A117,1)))</f>
        <v/>
      </c>
      <c r="C117" s="53" t="str">
        <f>IF($A117="","",SUMIFS('Inventário de Lotes'!$C:$C,'Inventário de Lotes'!$B:$B,"&gt;="&amp;$A117,'Inventário de Lotes'!$B:$B,"&lt;"&amp;EDATE($A117,1)))</f>
        <v/>
      </c>
      <c r="D117" s="53" t="str">
        <f t="shared" si="1"/>
        <v/>
      </c>
      <c r="E117" s="54" t="str">
        <f>IF($A117="","",COUNTIFS('Todos os Gastos'!$A:$A,"&gt;="&amp;$A117,'Todos os Gastos'!$A:$A,"&lt;"&amp;EDATE($A117,1)))</f>
        <v/>
      </c>
      <c r="F117" s="54" t="str">
        <f>IF($A117="","",COUNTIFS('Inventário de Lotes'!$B:$B,"&gt;="&amp;$A117,'Inventário de Lotes'!$B:$B,"&lt;"&amp;EDATE($A117,1)))</f>
        <v/>
      </c>
      <c r="G117" s="53" t="str">
        <f t="shared" si="2"/>
        <v/>
      </c>
    </row>
    <row r="118" ht="15.0" customHeight="1">
      <c r="A118" s="49" t="str">
        <f t="shared" si="3"/>
        <v/>
      </c>
      <c r="B118" s="50" t="str">
        <f>IF($A118="","",SUMIFS('Todos os Gastos'!$C:$C,'Todos os Gastos'!$A:$A,"&gt;="&amp;$A118,'Todos os Gastos'!$A:$A,"&lt;"&amp;EDATE($A118,1)))</f>
        <v/>
      </c>
      <c r="C118" s="50" t="str">
        <f>IF($A118="","",SUMIFS('Inventário de Lotes'!$C:$C,'Inventário de Lotes'!$B:$B,"&gt;="&amp;$A118,'Inventário de Lotes'!$B:$B,"&lt;"&amp;EDATE($A118,1)))</f>
        <v/>
      </c>
      <c r="D118" s="50" t="str">
        <f t="shared" si="1"/>
        <v/>
      </c>
      <c r="E118" s="51" t="str">
        <f>IF($A118="","",COUNTIFS('Todos os Gastos'!$A:$A,"&gt;="&amp;$A118,'Todos os Gastos'!$A:$A,"&lt;"&amp;EDATE($A118,1)))</f>
        <v/>
      </c>
      <c r="F118" s="51" t="str">
        <f>IF($A118="","",COUNTIFS('Inventário de Lotes'!$B:$B,"&gt;="&amp;$A118,'Inventário de Lotes'!$B:$B,"&lt;"&amp;EDATE($A118,1)))</f>
        <v/>
      </c>
      <c r="G118" s="50" t="str">
        <f t="shared" si="2"/>
        <v/>
      </c>
    </row>
    <row r="119" ht="15.0" customHeight="1">
      <c r="A119" s="52" t="str">
        <f t="shared" si="3"/>
        <v/>
      </c>
      <c r="B119" s="53" t="str">
        <f>IF($A119="","",SUMIFS('Todos os Gastos'!$C:$C,'Todos os Gastos'!$A:$A,"&gt;="&amp;$A119,'Todos os Gastos'!$A:$A,"&lt;"&amp;EDATE($A119,1)))</f>
        <v/>
      </c>
      <c r="C119" s="53" t="str">
        <f>IF($A119="","",SUMIFS('Inventário de Lotes'!$C:$C,'Inventário de Lotes'!$B:$B,"&gt;="&amp;$A119,'Inventário de Lotes'!$B:$B,"&lt;"&amp;EDATE($A119,1)))</f>
        <v/>
      </c>
      <c r="D119" s="53" t="str">
        <f t="shared" si="1"/>
        <v/>
      </c>
      <c r="E119" s="54" t="str">
        <f>IF($A119="","",COUNTIFS('Todos os Gastos'!$A:$A,"&gt;="&amp;$A119,'Todos os Gastos'!$A:$A,"&lt;"&amp;EDATE($A119,1)))</f>
        <v/>
      </c>
      <c r="F119" s="54" t="str">
        <f>IF($A119="","",COUNTIFS('Inventário de Lotes'!$B:$B,"&gt;="&amp;$A119,'Inventário de Lotes'!$B:$B,"&lt;"&amp;EDATE($A119,1)))</f>
        <v/>
      </c>
      <c r="G119" s="53" t="str">
        <f t="shared" si="2"/>
        <v/>
      </c>
    </row>
    <row r="120" ht="15.0" customHeight="1">
      <c r="A120" s="49" t="str">
        <f t="shared" si="3"/>
        <v/>
      </c>
      <c r="B120" s="50" t="str">
        <f>IF($A120="","",SUMIFS('Todos os Gastos'!$C:$C,'Todos os Gastos'!$A:$A,"&gt;="&amp;$A120,'Todos os Gastos'!$A:$A,"&lt;"&amp;EDATE($A120,1)))</f>
        <v/>
      </c>
      <c r="C120" s="50" t="str">
        <f>IF($A120="","",SUMIFS('Inventário de Lotes'!$C:$C,'Inventário de Lotes'!$B:$B,"&gt;="&amp;$A120,'Inventário de Lotes'!$B:$B,"&lt;"&amp;EDATE($A120,1)))</f>
        <v/>
      </c>
      <c r="D120" s="50" t="str">
        <f t="shared" si="1"/>
        <v/>
      </c>
      <c r="E120" s="51" t="str">
        <f>IF($A120="","",COUNTIFS('Todos os Gastos'!$A:$A,"&gt;="&amp;$A120,'Todos os Gastos'!$A:$A,"&lt;"&amp;EDATE($A120,1)))</f>
        <v/>
      </c>
      <c r="F120" s="51" t="str">
        <f>IF($A120="","",COUNTIFS('Inventário de Lotes'!$B:$B,"&gt;="&amp;$A120,'Inventário de Lotes'!$B:$B,"&lt;"&amp;EDATE($A120,1)))</f>
        <v/>
      </c>
      <c r="G120" s="50" t="str">
        <f t="shared" si="2"/>
        <v/>
      </c>
    </row>
    <row r="121" ht="15.0" customHeight="1">
      <c r="A121" s="52" t="str">
        <f t="shared" si="3"/>
        <v/>
      </c>
      <c r="B121" s="53" t="str">
        <f>IF($A121="","",SUMIFS('Todos os Gastos'!$C:$C,'Todos os Gastos'!$A:$A,"&gt;="&amp;$A121,'Todos os Gastos'!$A:$A,"&lt;"&amp;EDATE($A121,1)))</f>
        <v/>
      </c>
      <c r="C121" s="53" t="str">
        <f>IF($A121="","",SUMIFS('Inventário de Lotes'!$C:$C,'Inventário de Lotes'!$B:$B,"&gt;="&amp;$A121,'Inventário de Lotes'!$B:$B,"&lt;"&amp;EDATE($A121,1)))</f>
        <v/>
      </c>
      <c r="D121" s="53" t="str">
        <f t="shared" si="1"/>
        <v/>
      </c>
      <c r="E121" s="54" t="str">
        <f>IF($A121="","",COUNTIFS('Todos os Gastos'!$A:$A,"&gt;="&amp;$A121,'Todos os Gastos'!$A:$A,"&lt;"&amp;EDATE($A121,1)))</f>
        <v/>
      </c>
      <c r="F121" s="54" t="str">
        <f>IF($A121="","",COUNTIFS('Inventário de Lotes'!$B:$B,"&gt;="&amp;$A121,'Inventário de Lotes'!$B:$B,"&lt;"&amp;EDATE($A121,1)))</f>
        <v/>
      </c>
      <c r="G121" s="53" t="str">
        <f t="shared" si="2"/>
        <v/>
      </c>
    </row>
    <row r="122" ht="15.0" customHeight="1">
      <c r="A122" s="49" t="str">
        <f t="shared" si="3"/>
        <v/>
      </c>
      <c r="B122" s="50" t="str">
        <f>IF($A122="","",SUMIFS('Todos os Gastos'!$C:$C,'Todos os Gastos'!$A:$A,"&gt;="&amp;$A122,'Todos os Gastos'!$A:$A,"&lt;"&amp;EDATE($A122,1)))</f>
        <v/>
      </c>
      <c r="C122" s="50" t="str">
        <f>IF($A122="","",SUMIFS('Inventário de Lotes'!$C:$C,'Inventário de Lotes'!$B:$B,"&gt;="&amp;$A122,'Inventário de Lotes'!$B:$B,"&lt;"&amp;EDATE($A122,1)))</f>
        <v/>
      </c>
      <c r="D122" s="50" t="str">
        <f t="shared" si="1"/>
        <v/>
      </c>
      <c r="E122" s="51" t="str">
        <f>IF($A122="","",COUNTIFS('Todos os Gastos'!$A:$A,"&gt;="&amp;$A122,'Todos os Gastos'!$A:$A,"&lt;"&amp;EDATE($A122,1)))</f>
        <v/>
      </c>
      <c r="F122" s="51" t="str">
        <f>IF($A122="","",COUNTIFS('Inventário de Lotes'!$B:$B,"&gt;="&amp;$A122,'Inventário de Lotes'!$B:$B,"&lt;"&amp;EDATE($A122,1)))</f>
        <v/>
      </c>
      <c r="G122" s="50" t="str">
        <f t="shared" si="2"/>
        <v/>
      </c>
    </row>
    <row r="123" ht="15.0" customHeight="1">
      <c r="A123" s="52" t="str">
        <f t="shared" si="3"/>
        <v/>
      </c>
      <c r="B123" s="53" t="str">
        <f>IF($A123="","",SUMIFS('Todos os Gastos'!$C:$C,'Todos os Gastos'!$A:$A,"&gt;="&amp;$A123,'Todos os Gastos'!$A:$A,"&lt;"&amp;EDATE($A123,1)))</f>
        <v/>
      </c>
      <c r="C123" s="53" t="str">
        <f>IF($A123="","",SUMIFS('Inventário de Lotes'!$C:$C,'Inventário de Lotes'!$B:$B,"&gt;="&amp;$A123,'Inventário de Lotes'!$B:$B,"&lt;"&amp;EDATE($A123,1)))</f>
        <v/>
      </c>
      <c r="D123" s="53" t="str">
        <f t="shared" si="1"/>
        <v/>
      </c>
      <c r="E123" s="54" t="str">
        <f>IF($A123="","",COUNTIFS('Todos os Gastos'!$A:$A,"&gt;="&amp;$A123,'Todos os Gastos'!$A:$A,"&lt;"&amp;EDATE($A123,1)))</f>
        <v/>
      </c>
      <c r="F123" s="54" t="str">
        <f>IF($A123="","",COUNTIFS('Inventário de Lotes'!$B:$B,"&gt;="&amp;$A123,'Inventário de Lotes'!$B:$B,"&lt;"&amp;EDATE($A123,1)))</f>
        <v/>
      </c>
      <c r="G123" s="53" t="str">
        <f t="shared" si="2"/>
        <v/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123"/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5.57"/>
    <col customWidth="1" min="2" max="2" width="17.0"/>
    <col customWidth="1" min="3" max="3" width="18.29"/>
    <col customWidth="1" min="4" max="4" width="14.14"/>
    <col customWidth="1" min="5" max="5" width="13.57"/>
    <col customWidth="1" min="6" max="6" width="16.14"/>
    <col customWidth="1" min="7" max="7" width="12.14"/>
    <col customWidth="1" min="8" max="9" width="23.0"/>
    <col customWidth="1" min="10" max="10" width="8.57"/>
    <col customWidth="1" min="11" max="11" width="14.86"/>
    <col customWidth="1" min="12" max="15" width="23.0"/>
    <col customWidth="1" min="16" max="16" width="19.0"/>
    <col customWidth="1" min="17" max="17" width="14.14"/>
    <col customWidth="1" min="18" max="18" width="7.43"/>
    <col customWidth="1" min="19" max="19" width="256.86"/>
    <col customWidth="1" min="20" max="21" width="23.0"/>
    <col customWidth="1" min="22" max="22" width="13.29"/>
    <col customWidth="1" min="23" max="23" width="23.0"/>
    <col customWidth="1" min="24" max="24" width="23.86"/>
    <col customWidth="1" min="25" max="25" width="22.86"/>
    <col customWidth="1" min="26" max="26" width="101.71"/>
  </cols>
  <sheetData>
    <row r="1">
      <c r="A1" s="57" t="s">
        <v>119</v>
      </c>
      <c r="B1" s="58" t="s">
        <v>120</v>
      </c>
      <c r="C1" s="58" t="s">
        <v>121</v>
      </c>
      <c r="D1" s="58" t="s">
        <v>122</v>
      </c>
      <c r="E1" s="57" t="s">
        <v>123</v>
      </c>
      <c r="F1" s="57" t="s">
        <v>124</v>
      </c>
      <c r="G1" s="57" t="s">
        <v>125</v>
      </c>
      <c r="H1" s="57" t="s">
        <v>126</v>
      </c>
      <c r="I1" s="57" t="s">
        <v>127</v>
      </c>
      <c r="J1" s="57" t="s">
        <v>128</v>
      </c>
      <c r="K1" s="57" t="s">
        <v>129</v>
      </c>
      <c r="L1" s="57" t="s">
        <v>130</v>
      </c>
      <c r="M1" s="57" t="s">
        <v>131</v>
      </c>
      <c r="N1" s="57" t="s">
        <v>132</v>
      </c>
      <c r="O1" s="57" t="s">
        <v>133</v>
      </c>
      <c r="P1" s="57" t="s">
        <v>134</v>
      </c>
      <c r="Q1" s="57" t="s">
        <v>135</v>
      </c>
      <c r="R1" s="57" t="s">
        <v>136</v>
      </c>
      <c r="S1" s="57" t="s">
        <v>137</v>
      </c>
      <c r="T1" s="57" t="s">
        <v>138</v>
      </c>
      <c r="U1" s="57" t="s">
        <v>139</v>
      </c>
      <c r="V1" s="57" t="s">
        <v>140</v>
      </c>
      <c r="W1" s="57" t="s">
        <v>141</v>
      </c>
      <c r="X1" s="57" t="s">
        <v>142</v>
      </c>
      <c r="Y1" s="57" t="s">
        <v>143</v>
      </c>
      <c r="Z1" s="57" t="s">
        <v>144</v>
      </c>
    </row>
    <row r="2">
      <c r="A2" s="59" t="s">
        <v>145</v>
      </c>
      <c r="B2" s="60">
        <v>266.87</v>
      </c>
      <c r="C2" s="60">
        <v>0.0</v>
      </c>
      <c r="D2" s="60">
        <v>0.0</v>
      </c>
      <c r="E2" s="61">
        <v>1.0</v>
      </c>
      <c r="F2" s="61">
        <v>17.0</v>
      </c>
      <c r="G2" s="59" t="s">
        <v>146</v>
      </c>
      <c r="H2" s="61">
        <v>100.0</v>
      </c>
      <c r="I2" s="62" t="s">
        <v>147</v>
      </c>
      <c r="J2" s="59" t="s">
        <v>148</v>
      </c>
      <c r="K2" s="59" t="s">
        <v>149</v>
      </c>
      <c r="L2" s="63"/>
      <c r="M2" s="63"/>
      <c r="N2" s="63"/>
      <c r="O2" s="63"/>
      <c r="P2" s="59" t="s">
        <v>146</v>
      </c>
      <c r="Q2" s="59" t="s">
        <v>150</v>
      </c>
      <c r="R2" s="59" t="s">
        <v>146</v>
      </c>
      <c r="S2" s="64" t="s">
        <v>151</v>
      </c>
      <c r="T2" s="59" t="s">
        <v>152</v>
      </c>
      <c r="U2" s="62" t="s">
        <v>147</v>
      </c>
      <c r="V2" s="59" t="s">
        <v>153</v>
      </c>
      <c r="W2" s="62" t="s">
        <v>147</v>
      </c>
      <c r="X2" s="62" t="s">
        <v>154</v>
      </c>
      <c r="Y2" s="65" t="s">
        <v>155</v>
      </c>
      <c r="Z2" s="62" t="s">
        <v>156</v>
      </c>
    </row>
    <row r="3">
      <c r="A3" s="59" t="s">
        <v>157</v>
      </c>
      <c r="B3" s="60">
        <v>103.94</v>
      </c>
      <c r="C3" s="60">
        <v>0.0</v>
      </c>
      <c r="D3" s="60">
        <v>0.0</v>
      </c>
      <c r="E3" s="61">
        <v>1.0</v>
      </c>
      <c r="F3" s="61">
        <v>1.0</v>
      </c>
      <c r="G3" s="59" t="s">
        <v>146</v>
      </c>
      <c r="H3" s="61">
        <v>1000.0</v>
      </c>
      <c r="I3" s="66" t="s">
        <v>147</v>
      </c>
      <c r="J3" s="59" t="s">
        <v>148</v>
      </c>
      <c r="K3" s="59" t="s">
        <v>149</v>
      </c>
      <c r="L3" s="63"/>
      <c r="M3" s="63"/>
      <c r="N3" s="63"/>
      <c r="O3" s="63"/>
      <c r="P3" s="59" t="s">
        <v>146</v>
      </c>
      <c r="Q3" s="59" t="s">
        <v>158</v>
      </c>
      <c r="R3" s="59" t="s">
        <v>146</v>
      </c>
      <c r="S3" s="64" t="s">
        <v>159</v>
      </c>
      <c r="T3" s="59" t="s">
        <v>160</v>
      </c>
      <c r="U3" s="66" t="s">
        <v>147</v>
      </c>
      <c r="V3" s="59" t="s">
        <v>161</v>
      </c>
      <c r="W3" s="66" t="s">
        <v>147</v>
      </c>
      <c r="X3" s="66" t="s">
        <v>162</v>
      </c>
      <c r="Y3" s="65" t="s">
        <v>155</v>
      </c>
      <c r="Z3" s="66" t="s">
        <v>156</v>
      </c>
    </row>
    <row r="4">
      <c r="A4" s="59" t="s">
        <v>163</v>
      </c>
      <c r="B4" s="60">
        <v>100.0</v>
      </c>
      <c r="C4" s="60">
        <v>0.0</v>
      </c>
      <c r="D4" s="60">
        <v>0.0</v>
      </c>
      <c r="E4" s="61">
        <v>1.0</v>
      </c>
      <c r="F4" s="61">
        <v>0.0</v>
      </c>
      <c r="G4" s="59" t="s">
        <v>146</v>
      </c>
      <c r="H4" s="61">
        <v>1000.0</v>
      </c>
      <c r="I4" s="62" t="s">
        <v>147</v>
      </c>
      <c r="J4" s="59" t="s">
        <v>148</v>
      </c>
      <c r="K4" s="59" t="s">
        <v>149</v>
      </c>
      <c r="L4" s="63"/>
      <c r="M4" s="63"/>
      <c r="N4" s="63"/>
      <c r="O4" s="63"/>
      <c r="P4" s="59" t="s">
        <v>146</v>
      </c>
      <c r="Q4" s="59" t="s">
        <v>158</v>
      </c>
      <c r="R4" s="59" t="s">
        <v>146</v>
      </c>
      <c r="S4" s="64" t="s">
        <v>164</v>
      </c>
      <c r="T4" s="59" t="s">
        <v>160</v>
      </c>
      <c r="U4" s="62" t="s">
        <v>147</v>
      </c>
      <c r="V4" s="59" t="s">
        <v>161</v>
      </c>
      <c r="W4" s="62" t="s">
        <v>147</v>
      </c>
      <c r="X4" s="62" t="s">
        <v>154</v>
      </c>
      <c r="Y4" s="65" t="s">
        <v>155</v>
      </c>
      <c r="Z4" s="62" t="s">
        <v>156</v>
      </c>
    </row>
    <row r="5">
      <c r="A5" s="59" t="s">
        <v>165</v>
      </c>
      <c r="B5" s="60">
        <v>100.0</v>
      </c>
      <c r="C5" s="60">
        <v>0.0</v>
      </c>
      <c r="D5" s="60">
        <v>0.0</v>
      </c>
      <c r="E5" s="61">
        <v>1.0</v>
      </c>
      <c r="F5" s="61">
        <v>0.0</v>
      </c>
      <c r="G5" s="59" t="s">
        <v>146</v>
      </c>
      <c r="H5" s="61">
        <v>500.0</v>
      </c>
      <c r="I5" s="62" t="s">
        <v>147</v>
      </c>
      <c r="J5" s="59" t="s">
        <v>148</v>
      </c>
      <c r="K5" s="59" t="s">
        <v>149</v>
      </c>
      <c r="L5" s="63"/>
      <c r="M5" s="63"/>
      <c r="N5" s="63"/>
      <c r="O5" s="63"/>
      <c r="P5" s="59" t="s">
        <v>146</v>
      </c>
      <c r="Q5" s="59" t="s">
        <v>158</v>
      </c>
      <c r="R5" s="59" t="s">
        <v>146</v>
      </c>
      <c r="S5" s="64" t="s">
        <v>166</v>
      </c>
      <c r="T5" s="59" t="s">
        <v>167</v>
      </c>
      <c r="U5" s="62" t="s">
        <v>147</v>
      </c>
      <c r="V5" s="59" t="s">
        <v>161</v>
      </c>
      <c r="W5" s="62" t="s">
        <v>147</v>
      </c>
      <c r="X5" s="62" t="s">
        <v>154</v>
      </c>
      <c r="Y5" s="65" t="s">
        <v>155</v>
      </c>
      <c r="Z5" s="62" t="s">
        <v>156</v>
      </c>
    </row>
    <row r="6">
      <c r="A6" s="59" t="s">
        <v>168</v>
      </c>
      <c r="B6" s="60">
        <v>100.0</v>
      </c>
      <c r="C6" s="60">
        <v>0.0</v>
      </c>
      <c r="D6" s="60">
        <v>0.0</v>
      </c>
      <c r="E6" s="61">
        <v>1.0</v>
      </c>
      <c r="F6" s="61">
        <v>31.0</v>
      </c>
      <c r="G6" s="59" t="s">
        <v>146</v>
      </c>
      <c r="H6" s="61">
        <v>5000.0</v>
      </c>
      <c r="I6" s="62" t="s">
        <v>147</v>
      </c>
      <c r="J6" s="59" t="s">
        <v>148</v>
      </c>
      <c r="K6" s="59" t="s">
        <v>149</v>
      </c>
      <c r="L6" s="63"/>
      <c r="M6" s="63"/>
      <c r="N6" s="63"/>
      <c r="O6" s="63"/>
      <c r="P6" s="59" t="s">
        <v>146</v>
      </c>
      <c r="Q6" s="59" t="s">
        <v>158</v>
      </c>
      <c r="R6" s="59" t="s">
        <v>146</v>
      </c>
      <c r="S6" s="64" t="s">
        <v>169</v>
      </c>
      <c r="T6" s="59" t="s">
        <v>170</v>
      </c>
      <c r="U6" s="62" t="s">
        <v>147</v>
      </c>
      <c r="V6" s="59" t="s">
        <v>153</v>
      </c>
      <c r="W6" s="62" t="s">
        <v>147</v>
      </c>
      <c r="X6" s="62" t="s">
        <v>154</v>
      </c>
      <c r="Y6" s="65" t="s">
        <v>155</v>
      </c>
      <c r="Z6" s="62" t="s">
        <v>156</v>
      </c>
    </row>
    <row r="7">
      <c r="A7" s="59" t="s">
        <v>171</v>
      </c>
      <c r="B7" s="60">
        <v>100.0</v>
      </c>
      <c r="C7" s="60">
        <v>0.0</v>
      </c>
      <c r="D7" s="60">
        <v>0.0</v>
      </c>
      <c r="E7" s="61">
        <v>1.0</v>
      </c>
      <c r="F7" s="61">
        <v>0.0</v>
      </c>
      <c r="G7" s="59" t="s">
        <v>146</v>
      </c>
      <c r="H7" s="61">
        <v>500.0</v>
      </c>
      <c r="I7" s="62" t="s">
        <v>147</v>
      </c>
      <c r="J7" s="59" t="s">
        <v>148</v>
      </c>
      <c r="K7" s="59" t="s">
        <v>149</v>
      </c>
      <c r="L7" s="63"/>
      <c r="M7" s="63"/>
      <c r="N7" s="63"/>
      <c r="O7" s="63"/>
      <c r="P7" s="59" t="s">
        <v>146</v>
      </c>
      <c r="Q7" s="59" t="s">
        <v>158</v>
      </c>
      <c r="R7" s="59" t="s">
        <v>146</v>
      </c>
      <c r="S7" s="64" t="s">
        <v>172</v>
      </c>
      <c r="T7" s="59" t="s">
        <v>167</v>
      </c>
      <c r="U7" s="62" t="s">
        <v>147</v>
      </c>
      <c r="V7" s="59" t="s">
        <v>161</v>
      </c>
      <c r="W7" s="62" t="s">
        <v>147</v>
      </c>
      <c r="X7" s="62" t="s">
        <v>154</v>
      </c>
      <c r="Y7" s="65" t="s">
        <v>155</v>
      </c>
      <c r="Z7" s="62" t="s">
        <v>156</v>
      </c>
    </row>
    <row r="8">
      <c r="A8" s="59" t="s">
        <v>173</v>
      </c>
      <c r="B8" s="60">
        <v>100.0</v>
      </c>
      <c r="C8" s="60">
        <v>0.0</v>
      </c>
      <c r="D8" s="60">
        <v>0.0</v>
      </c>
      <c r="E8" s="61">
        <v>90.0</v>
      </c>
      <c r="F8" s="61">
        <v>90.0</v>
      </c>
      <c r="G8" s="59" t="s">
        <v>146</v>
      </c>
      <c r="H8" s="61">
        <v>200.0</v>
      </c>
      <c r="I8" s="62" t="s">
        <v>147</v>
      </c>
      <c r="J8" s="59" t="s">
        <v>146</v>
      </c>
      <c r="K8" s="59" t="s">
        <v>174</v>
      </c>
      <c r="L8" s="62" t="s">
        <v>147</v>
      </c>
      <c r="M8" s="62" t="s">
        <v>147</v>
      </c>
      <c r="N8" s="62" t="s">
        <v>147</v>
      </c>
      <c r="O8" s="62" t="s">
        <v>147</v>
      </c>
      <c r="P8" s="59" t="s">
        <v>148</v>
      </c>
      <c r="Q8" s="59" t="s">
        <v>158</v>
      </c>
      <c r="R8" s="59" t="s">
        <v>148</v>
      </c>
      <c r="S8" s="64" t="s">
        <v>175</v>
      </c>
      <c r="T8" s="62" t="s">
        <v>147</v>
      </c>
      <c r="U8" s="62" t="s">
        <v>147</v>
      </c>
      <c r="V8" s="59" t="s">
        <v>153</v>
      </c>
      <c r="W8" s="62" t="s">
        <v>147</v>
      </c>
      <c r="X8" s="62" t="s">
        <v>154</v>
      </c>
      <c r="Y8" s="67" t="s">
        <v>176</v>
      </c>
      <c r="Z8" s="62" t="s">
        <v>177</v>
      </c>
    </row>
    <row r="9">
      <c r="A9" s="59" t="s">
        <v>178</v>
      </c>
      <c r="B9" s="60">
        <v>100.0</v>
      </c>
      <c r="C9" s="60">
        <v>0.0</v>
      </c>
      <c r="D9" s="60">
        <v>0.0</v>
      </c>
      <c r="E9" s="61">
        <v>180.0</v>
      </c>
      <c r="F9" s="61">
        <v>180.0</v>
      </c>
      <c r="G9" s="59" t="s">
        <v>146</v>
      </c>
      <c r="H9" s="61">
        <v>200.0</v>
      </c>
      <c r="I9" s="62" t="s">
        <v>147</v>
      </c>
      <c r="J9" s="59" t="s">
        <v>146</v>
      </c>
      <c r="K9" s="59" t="s">
        <v>174</v>
      </c>
      <c r="L9" s="62" t="s">
        <v>147</v>
      </c>
      <c r="M9" s="62" t="s">
        <v>147</v>
      </c>
      <c r="N9" s="62" t="s">
        <v>147</v>
      </c>
      <c r="O9" s="62" t="s">
        <v>147</v>
      </c>
      <c r="P9" s="59" t="s">
        <v>148</v>
      </c>
      <c r="Q9" s="59" t="s">
        <v>158</v>
      </c>
      <c r="R9" s="59" t="s">
        <v>148</v>
      </c>
      <c r="S9" s="64" t="s">
        <v>175</v>
      </c>
      <c r="T9" s="62" t="s">
        <v>147</v>
      </c>
      <c r="U9" s="62" t="s">
        <v>147</v>
      </c>
      <c r="V9" s="59" t="s">
        <v>153</v>
      </c>
      <c r="W9" s="62" t="s">
        <v>147</v>
      </c>
      <c r="X9" s="62" t="s">
        <v>154</v>
      </c>
      <c r="Y9" s="67" t="s">
        <v>176</v>
      </c>
      <c r="Z9" s="62" t="s">
        <v>177</v>
      </c>
    </row>
    <row r="10">
      <c r="A10" s="59" t="s">
        <v>179</v>
      </c>
      <c r="B10" s="60">
        <v>109.0</v>
      </c>
      <c r="C10" s="60">
        <v>0.0</v>
      </c>
      <c r="D10" s="60">
        <v>0.0</v>
      </c>
      <c r="E10" s="61">
        <v>365.0</v>
      </c>
      <c r="F10" s="61">
        <v>365.0</v>
      </c>
      <c r="G10" s="59" t="s">
        <v>146</v>
      </c>
      <c r="H10" s="61">
        <v>100.0</v>
      </c>
      <c r="I10" s="62" t="s">
        <v>147</v>
      </c>
      <c r="J10" s="59" t="s">
        <v>148</v>
      </c>
      <c r="K10" s="59" t="s">
        <v>174</v>
      </c>
      <c r="L10" s="63"/>
      <c r="M10" s="63"/>
      <c r="N10" s="63"/>
      <c r="O10" s="63"/>
      <c r="P10" s="59" t="s">
        <v>146</v>
      </c>
      <c r="Q10" s="59" t="s">
        <v>158</v>
      </c>
      <c r="R10" s="59" t="s">
        <v>148</v>
      </c>
      <c r="S10" s="64" t="s">
        <v>180</v>
      </c>
      <c r="T10" s="59" t="s">
        <v>181</v>
      </c>
      <c r="U10" s="62" t="s">
        <v>147</v>
      </c>
      <c r="V10" s="59" t="s">
        <v>161</v>
      </c>
      <c r="W10" s="62" t="s">
        <v>147</v>
      </c>
      <c r="X10" s="62" t="s">
        <v>154</v>
      </c>
      <c r="Y10" s="65" t="s">
        <v>155</v>
      </c>
      <c r="Z10" s="62" t="s">
        <v>156</v>
      </c>
    </row>
    <row r="11">
      <c r="A11" s="59" t="s">
        <v>182</v>
      </c>
      <c r="B11" s="60">
        <v>110.0</v>
      </c>
      <c r="C11" s="60">
        <v>0.0</v>
      </c>
      <c r="D11" s="60">
        <v>0.0</v>
      </c>
      <c r="E11" s="61">
        <v>2190.0</v>
      </c>
      <c r="F11" s="61">
        <v>2190.0</v>
      </c>
      <c r="G11" s="59" t="s">
        <v>146</v>
      </c>
      <c r="H11" s="61">
        <v>100.0</v>
      </c>
      <c r="I11" s="62" t="s">
        <v>147</v>
      </c>
      <c r="J11" s="59" t="s">
        <v>148</v>
      </c>
      <c r="K11" s="59" t="s">
        <v>174</v>
      </c>
      <c r="L11" s="63"/>
      <c r="M11" s="63"/>
      <c r="N11" s="63"/>
      <c r="O11" s="63"/>
      <c r="P11" s="59" t="s">
        <v>146</v>
      </c>
      <c r="Q11" s="59" t="s">
        <v>158</v>
      </c>
      <c r="R11" s="59" t="s">
        <v>148</v>
      </c>
      <c r="S11" s="64" t="s">
        <v>183</v>
      </c>
      <c r="T11" s="59" t="s">
        <v>181</v>
      </c>
      <c r="U11" s="62" t="s">
        <v>147</v>
      </c>
      <c r="V11" s="59" t="s">
        <v>184</v>
      </c>
      <c r="W11" s="62" t="s">
        <v>147</v>
      </c>
      <c r="X11" s="62" t="s">
        <v>154</v>
      </c>
      <c r="Y11" s="65" t="s">
        <v>155</v>
      </c>
      <c r="Z11" s="62" t="s">
        <v>156</v>
      </c>
    </row>
    <row r="12">
      <c r="A12" s="59" t="s">
        <v>185</v>
      </c>
      <c r="B12" s="60">
        <v>111.0</v>
      </c>
      <c r="C12" s="60">
        <v>0.0</v>
      </c>
      <c r="D12" s="60">
        <v>0.0</v>
      </c>
      <c r="E12" s="61">
        <v>730.0</v>
      </c>
      <c r="F12" s="61">
        <v>730.0</v>
      </c>
      <c r="G12" s="59" t="s">
        <v>146</v>
      </c>
      <c r="H12" s="61">
        <v>100.0</v>
      </c>
      <c r="I12" s="62" t="s">
        <v>147</v>
      </c>
      <c r="J12" s="59" t="s">
        <v>148</v>
      </c>
      <c r="K12" s="59" t="s">
        <v>174</v>
      </c>
      <c r="L12" s="63"/>
      <c r="M12" s="63"/>
      <c r="N12" s="63"/>
      <c r="O12" s="63"/>
      <c r="P12" s="59" t="s">
        <v>146</v>
      </c>
      <c r="Q12" s="59" t="s">
        <v>158</v>
      </c>
      <c r="R12" s="59" t="s">
        <v>148</v>
      </c>
      <c r="S12" s="64" t="s">
        <v>186</v>
      </c>
      <c r="T12" s="59" t="s">
        <v>181</v>
      </c>
      <c r="U12" s="62" t="s">
        <v>147</v>
      </c>
      <c r="V12" s="59" t="s">
        <v>161</v>
      </c>
      <c r="W12" s="62" t="s">
        <v>147</v>
      </c>
      <c r="X12" s="62" t="s">
        <v>154</v>
      </c>
      <c r="Y12" s="65" t="s">
        <v>155</v>
      </c>
      <c r="Z12" s="62" t="s">
        <v>156</v>
      </c>
    </row>
    <row r="13">
      <c r="A13" s="59" t="s">
        <v>187</v>
      </c>
      <c r="B13" s="60">
        <v>112.0</v>
      </c>
      <c r="C13" s="60">
        <v>0.0</v>
      </c>
      <c r="D13" s="60">
        <v>0.0</v>
      </c>
      <c r="E13" s="61">
        <v>1095.0</v>
      </c>
      <c r="F13" s="61">
        <v>1095.0</v>
      </c>
      <c r="G13" s="59" t="s">
        <v>146</v>
      </c>
      <c r="H13" s="61">
        <v>100.0</v>
      </c>
      <c r="I13" s="62" t="s">
        <v>147</v>
      </c>
      <c r="J13" s="59" t="s">
        <v>148</v>
      </c>
      <c r="K13" s="59" t="s">
        <v>174</v>
      </c>
      <c r="L13" s="63"/>
      <c r="M13" s="63"/>
      <c r="N13" s="63"/>
      <c r="O13" s="63"/>
      <c r="P13" s="59" t="s">
        <v>146</v>
      </c>
      <c r="Q13" s="59" t="s">
        <v>158</v>
      </c>
      <c r="R13" s="59" t="s">
        <v>148</v>
      </c>
      <c r="S13" s="64" t="s">
        <v>186</v>
      </c>
      <c r="T13" s="59" t="s">
        <v>181</v>
      </c>
      <c r="U13" s="62" t="s">
        <v>147</v>
      </c>
      <c r="V13" s="59" t="s">
        <v>161</v>
      </c>
      <c r="W13" s="62" t="s">
        <v>147</v>
      </c>
      <c r="X13" s="62" t="s">
        <v>154</v>
      </c>
      <c r="Y13" s="65" t="s">
        <v>155</v>
      </c>
      <c r="Z13" s="62" t="s">
        <v>156</v>
      </c>
    </row>
    <row r="14">
      <c r="A14" s="59" t="s">
        <v>188</v>
      </c>
      <c r="B14" s="60">
        <v>113.0</v>
      </c>
      <c r="C14" s="60">
        <v>0.0</v>
      </c>
      <c r="D14" s="60">
        <v>0.0</v>
      </c>
      <c r="E14" s="61">
        <v>1460.0</v>
      </c>
      <c r="F14" s="61">
        <v>1460.0</v>
      </c>
      <c r="G14" s="59" t="s">
        <v>146</v>
      </c>
      <c r="H14" s="61">
        <v>100.0</v>
      </c>
      <c r="I14" s="62" t="s">
        <v>147</v>
      </c>
      <c r="J14" s="59" t="s">
        <v>148</v>
      </c>
      <c r="K14" s="59" t="s">
        <v>174</v>
      </c>
      <c r="L14" s="63"/>
      <c r="M14" s="63"/>
      <c r="N14" s="63"/>
      <c r="O14" s="63"/>
      <c r="P14" s="59" t="s">
        <v>146</v>
      </c>
      <c r="Q14" s="59" t="s">
        <v>158</v>
      </c>
      <c r="R14" s="59" t="s">
        <v>148</v>
      </c>
      <c r="S14" s="64" t="s">
        <v>183</v>
      </c>
      <c r="T14" s="59" t="s">
        <v>181</v>
      </c>
      <c r="U14" s="62" t="s">
        <v>147</v>
      </c>
      <c r="V14" s="59" t="s">
        <v>184</v>
      </c>
      <c r="W14" s="62" t="s">
        <v>147</v>
      </c>
      <c r="X14" s="62" t="s">
        <v>154</v>
      </c>
      <c r="Y14" s="65" t="s">
        <v>155</v>
      </c>
      <c r="Z14" s="62" t="s">
        <v>156</v>
      </c>
    </row>
    <row r="15">
      <c r="A15" s="59" t="s">
        <v>189</v>
      </c>
      <c r="B15" s="60">
        <v>114.0</v>
      </c>
      <c r="C15" s="60">
        <v>0.0</v>
      </c>
      <c r="D15" s="60">
        <v>0.0</v>
      </c>
      <c r="E15" s="61">
        <v>1825.0</v>
      </c>
      <c r="F15" s="61">
        <v>1825.0</v>
      </c>
      <c r="G15" s="59" t="s">
        <v>146</v>
      </c>
      <c r="H15" s="61">
        <v>100.0</v>
      </c>
      <c r="I15" s="62" t="s">
        <v>147</v>
      </c>
      <c r="J15" s="59" t="s">
        <v>148</v>
      </c>
      <c r="K15" s="59" t="s">
        <v>174</v>
      </c>
      <c r="L15" s="63"/>
      <c r="M15" s="63"/>
      <c r="N15" s="63"/>
      <c r="O15" s="63"/>
      <c r="P15" s="59" t="s">
        <v>146</v>
      </c>
      <c r="Q15" s="59" t="s">
        <v>158</v>
      </c>
      <c r="R15" s="59" t="s">
        <v>148</v>
      </c>
      <c r="S15" s="64" t="s">
        <v>183</v>
      </c>
      <c r="T15" s="59" t="s">
        <v>181</v>
      </c>
      <c r="U15" s="62" t="s">
        <v>147</v>
      </c>
      <c r="V15" s="59" t="s">
        <v>184</v>
      </c>
      <c r="W15" s="62" t="s">
        <v>147</v>
      </c>
      <c r="X15" s="62" t="s">
        <v>154</v>
      </c>
      <c r="Y15" s="65" t="s">
        <v>155</v>
      </c>
      <c r="Z15" s="62" t="s">
        <v>156</v>
      </c>
    </row>
    <row r="16">
      <c r="A16" s="59" t="s">
        <v>190</v>
      </c>
      <c r="B16" s="60">
        <v>108.0</v>
      </c>
      <c r="C16" s="60">
        <v>0.0</v>
      </c>
      <c r="D16" s="60">
        <v>0.0</v>
      </c>
      <c r="E16" s="61">
        <v>1095.0</v>
      </c>
      <c r="F16" s="61">
        <v>1095.0</v>
      </c>
      <c r="G16" s="59" t="s">
        <v>146</v>
      </c>
      <c r="H16" s="62" t="s">
        <v>147</v>
      </c>
      <c r="I16" s="62" t="s">
        <v>147</v>
      </c>
      <c r="J16" s="59" t="s">
        <v>148</v>
      </c>
      <c r="K16" s="59" t="s">
        <v>174</v>
      </c>
      <c r="L16" s="63"/>
      <c r="M16" s="63"/>
      <c r="N16" s="63"/>
      <c r="O16" s="63"/>
      <c r="P16" s="59" t="s">
        <v>146</v>
      </c>
      <c r="Q16" s="59" t="s">
        <v>158</v>
      </c>
      <c r="R16" s="59" t="s">
        <v>148</v>
      </c>
      <c r="S16" s="64" t="s">
        <v>191</v>
      </c>
      <c r="T16" s="59" t="s">
        <v>181</v>
      </c>
      <c r="U16" s="62" t="s">
        <v>147</v>
      </c>
      <c r="V16" s="59" t="s">
        <v>161</v>
      </c>
      <c r="W16" s="62" t="s">
        <v>147</v>
      </c>
      <c r="X16" s="62" t="s">
        <v>154</v>
      </c>
      <c r="Y16" s="65" t="s">
        <v>155</v>
      </c>
      <c r="Z16" s="62" t="s">
        <v>192</v>
      </c>
    </row>
    <row r="17">
      <c r="A17" s="59" t="s">
        <v>193</v>
      </c>
      <c r="B17" s="60">
        <v>100.0</v>
      </c>
      <c r="C17" s="60">
        <v>13.16</v>
      </c>
      <c r="D17" s="60">
        <v>0.0</v>
      </c>
      <c r="E17" s="61">
        <v>730.0</v>
      </c>
      <c r="F17" s="61">
        <v>730.0</v>
      </c>
      <c r="G17" s="59" t="s">
        <v>146</v>
      </c>
      <c r="H17" s="62" t="s">
        <v>147</v>
      </c>
      <c r="I17" s="62" t="s">
        <v>147</v>
      </c>
      <c r="J17" s="59" t="s">
        <v>148</v>
      </c>
      <c r="K17" s="59" t="s">
        <v>174</v>
      </c>
      <c r="L17" s="63"/>
      <c r="M17" s="63"/>
      <c r="N17" s="63"/>
      <c r="O17" s="63"/>
      <c r="P17" s="59" t="s">
        <v>146</v>
      </c>
      <c r="Q17" s="59" t="s">
        <v>194</v>
      </c>
      <c r="R17" s="59" t="s">
        <v>148</v>
      </c>
      <c r="S17" s="64" t="s">
        <v>195</v>
      </c>
      <c r="T17" s="59" t="s">
        <v>181</v>
      </c>
      <c r="U17" s="62" t="s">
        <v>147</v>
      </c>
      <c r="V17" s="59" t="s">
        <v>161</v>
      </c>
      <c r="W17" s="62" t="s">
        <v>147</v>
      </c>
      <c r="X17" s="62" t="s">
        <v>154</v>
      </c>
      <c r="Y17" s="65" t="s">
        <v>155</v>
      </c>
      <c r="Z17" s="62" t="s">
        <v>192</v>
      </c>
    </row>
    <row r="18">
      <c r="A18" s="59" t="s">
        <v>196</v>
      </c>
      <c r="B18" s="60">
        <v>100.0</v>
      </c>
      <c r="C18" s="60">
        <v>13.12</v>
      </c>
      <c r="D18" s="60">
        <v>0.0</v>
      </c>
      <c r="E18" s="61">
        <v>1095.0</v>
      </c>
      <c r="F18" s="61">
        <v>1095.0</v>
      </c>
      <c r="G18" s="59" t="s">
        <v>146</v>
      </c>
      <c r="H18" s="62" t="s">
        <v>147</v>
      </c>
      <c r="I18" s="62" t="s">
        <v>147</v>
      </c>
      <c r="J18" s="59" t="s">
        <v>148</v>
      </c>
      <c r="K18" s="59" t="s">
        <v>174</v>
      </c>
      <c r="L18" s="63"/>
      <c r="M18" s="63"/>
      <c r="N18" s="63"/>
      <c r="O18" s="63"/>
      <c r="P18" s="59" t="s">
        <v>146</v>
      </c>
      <c r="Q18" s="59" t="s">
        <v>194</v>
      </c>
      <c r="R18" s="59" t="s">
        <v>148</v>
      </c>
      <c r="S18" s="64" t="s">
        <v>197</v>
      </c>
      <c r="T18" s="59" t="s">
        <v>181</v>
      </c>
      <c r="U18" s="62" t="s">
        <v>147</v>
      </c>
      <c r="V18" s="59" t="s">
        <v>161</v>
      </c>
      <c r="W18" s="62" t="s">
        <v>147</v>
      </c>
      <c r="X18" s="62" t="s">
        <v>154</v>
      </c>
      <c r="Y18" s="65" t="s">
        <v>155</v>
      </c>
      <c r="Z18" s="62" t="s">
        <v>192</v>
      </c>
    </row>
    <row r="19">
      <c r="A19" s="59" t="s">
        <v>198</v>
      </c>
      <c r="B19" s="60">
        <v>105.0</v>
      </c>
      <c r="C19" s="60">
        <v>109.0</v>
      </c>
      <c r="D19" s="60">
        <v>0.0</v>
      </c>
      <c r="E19" s="61">
        <v>1825.0</v>
      </c>
      <c r="F19" s="61">
        <v>0.0</v>
      </c>
      <c r="G19" s="59" t="s">
        <v>146</v>
      </c>
      <c r="H19" s="61">
        <v>50.0</v>
      </c>
      <c r="I19" s="68" t="s">
        <v>147</v>
      </c>
      <c r="J19" s="59" t="s">
        <v>148</v>
      </c>
      <c r="K19" s="59" t="s">
        <v>174</v>
      </c>
      <c r="L19" s="63"/>
      <c r="M19" s="63"/>
      <c r="N19" s="63"/>
      <c r="O19" s="63"/>
      <c r="P19" s="59" t="s">
        <v>146</v>
      </c>
      <c r="Q19" s="59" t="s">
        <v>199</v>
      </c>
      <c r="R19" s="59" t="s">
        <v>148</v>
      </c>
      <c r="S19" s="64" t="s">
        <v>200</v>
      </c>
      <c r="T19" s="59" t="s">
        <v>181</v>
      </c>
      <c r="U19" s="68" t="s">
        <v>147</v>
      </c>
      <c r="V19" s="59" t="s">
        <v>161</v>
      </c>
      <c r="W19" s="68" t="s">
        <v>147</v>
      </c>
      <c r="X19" s="68" t="s">
        <v>201</v>
      </c>
      <c r="Y19" s="65" t="s">
        <v>155</v>
      </c>
      <c r="Z19" s="68" t="s">
        <v>156</v>
      </c>
    </row>
    <row r="20">
      <c r="A20" s="59" t="s">
        <v>202</v>
      </c>
      <c r="B20" s="60">
        <v>8.19</v>
      </c>
      <c r="C20" s="60">
        <v>0.0</v>
      </c>
      <c r="D20" s="60">
        <v>0.0</v>
      </c>
      <c r="E20" s="61">
        <v>365.0</v>
      </c>
      <c r="F20" s="61">
        <v>365.0</v>
      </c>
      <c r="G20" s="59" t="s">
        <v>146</v>
      </c>
      <c r="H20" s="61">
        <v>50.0</v>
      </c>
      <c r="I20" s="62" t="s">
        <v>147</v>
      </c>
      <c r="J20" s="59" t="s">
        <v>148</v>
      </c>
      <c r="K20" s="59" t="s">
        <v>174</v>
      </c>
      <c r="L20" s="63"/>
      <c r="M20" s="63"/>
      <c r="N20" s="63"/>
      <c r="O20" s="63"/>
      <c r="P20" s="59" t="s">
        <v>146</v>
      </c>
      <c r="Q20" s="59" t="s">
        <v>203</v>
      </c>
      <c r="R20" s="59" t="s">
        <v>148</v>
      </c>
      <c r="S20" s="64" t="s">
        <v>180</v>
      </c>
      <c r="T20" s="59" t="s">
        <v>181</v>
      </c>
      <c r="U20" s="62" t="s">
        <v>147</v>
      </c>
      <c r="V20" s="59" t="s">
        <v>161</v>
      </c>
      <c r="W20" s="62" t="s">
        <v>147</v>
      </c>
      <c r="X20" s="62" t="s">
        <v>154</v>
      </c>
      <c r="Y20" s="65" t="s">
        <v>155</v>
      </c>
      <c r="Z20" s="62" t="s">
        <v>156</v>
      </c>
    </row>
    <row r="21">
      <c r="A21" s="59" t="s">
        <v>204</v>
      </c>
      <c r="B21" s="60">
        <v>8.65</v>
      </c>
      <c r="C21" s="60">
        <v>0.0</v>
      </c>
      <c r="D21" s="60">
        <v>0.0</v>
      </c>
      <c r="E21" s="61">
        <v>1825.0</v>
      </c>
      <c r="F21" s="61">
        <v>1825.0</v>
      </c>
      <c r="G21" s="59" t="s">
        <v>146</v>
      </c>
      <c r="H21" s="61">
        <v>50.0</v>
      </c>
      <c r="I21" s="62" t="s">
        <v>147</v>
      </c>
      <c r="J21" s="59" t="s">
        <v>148</v>
      </c>
      <c r="K21" s="59" t="s">
        <v>174</v>
      </c>
      <c r="L21" s="63"/>
      <c r="M21" s="63"/>
      <c r="N21" s="63"/>
      <c r="O21" s="63"/>
      <c r="P21" s="59" t="s">
        <v>146</v>
      </c>
      <c r="Q21" s="59" t="s">
        <v>203</v>
      </c>
      <c r="R21" s="59" t="s">
        <v>148</v>
      </c>
      <c r="S21" s="64" t="s">
        <v>183</v>
      </c>
      <c r="T21" s="59" t="s">
        <v>181</v>
      </c>
      <c r="U21" s="62" t="s">
        <v>147</v>
      </c>
      <c r="V21" s="59" t="s">
        <v>184</v>
      </c>
      <c r="W21" s="62" t="s">
        <v>147</v>
      </c>
      <c r="X21" s="62" t="s">
        <v>154</v>
      </c>
      <c r="Y21" s="65" t="s">
        <v>155</v>
      </c>
      <c r="Z21" s="62" t="s">
        <v>156</v>
      </c>
    </row>
    <row r="22">
      <c r="A22" s="59" t="s">
        <v>205</v>
      </c>
      <c r="B22" s="60">
        <v>8.68</v>
      </c>
      <c r="C22" s="60">
        <v>0.0</v>
      </c>
      <c r="D22" s="60">
        <v>0.0</v>
      </c>
      <c r="E22" s="61">
        <v>1095.0</v>
      </c>
      <c r="F22" s="61">
        <v>1095.0</v>
      </c>
      <c r="G22" s="59" t="s">
        <v>146</v>
      </c>
      <c r="H22" s="61">
        <v>50.0</v>
      </c>
      <c r="I22" s="62" t="s">
        <v>147</v>
      </c>
      <c r="J22" s="59" t="s">
        <v>148</v>
      </c>
      <c r="K22" s="59" t="s">
        <v>174</v>
      </c>
      <c r="L22" s="63"/>
      <c r="M22" s="63"/>
      <c r="N22" s="63"/>
      <c r="O22" s="63"/>
      <c r="P22" s="59" t="s">
        <v>146</v>
      </c>
      <c r="Q22" s="59" t="s">
        <v>203</v>
      </c>
      <c r="R22" s="59" t="s">
        <v>148</v>
      </c>
      <c r="S22" s="64" t="s">
        <v>186</v>
      </c>
      <c r="T22" s="59" t="s">
        <v>181</v>
      </c>
      <c r="U22" s="62" t="s">
        <v>147</v>
      </c>
      <c r="V22" s="59" t="s">
        <v>161</v>
      </c>
      <c r="W22" s="62" t="s">
        <v>147</v>
      </c>
      <c r="X22" s="62" t="s">
        <v>154</v>
      </c>
      <c r="Y22" s="65" t="s">
        <v>155</v>
      </c>
      <c r="Z22" s="62" t="s">
        <v>156</v>
      </c>
    </row>
    <row r="23">
      <c r="A23" s="59" t="s">
        <v>206</v>
      </c>
      <c r="B23" s="60">
        <v>8.69</v>
      </c>
      <c r="C23" s="60">
        <v>0.0</v>
      </c>
      <c r="D23" s="60">
        <v>0.0</v>
      </c>
      <c r="E23" s="61">
        <v>1460.0</v>
      </c>
      <c r="F23" s="61">
        <v>1460.0</v>
      </c>
      <c r="G23" s="59" t="s">
        <v>146</v>
      </c>
      <c r="H23" s="61">
        <v>50.0</v>
      </c>
      <c r="I23" s="62" t="s">
        <v>147</v>
      </c>
      <c r="J23" s="59" t="s">
        <v>148</v>
      </c>
      <c r="K23" s="59" t="s">
        <v>174</v>
      </c>
      <c r="L23" s="63"/>
      <c r="M23" s="63"/>
      <c r="N23" s="63"/>
      <c r="O23" s="63"/>
      <c r="P23" s="59" t="s">
        <v>146</v>
      </c>
      <c r="Q23" s="59" t="s">
        <v>203</v>
      </c>
      <c r="R23" s="59" t="s">
        <v>148</v>
      </c>
      <c r="S23" s="64" t="s">
        <v>183</v>
      </c>
      <c r="T23" s="59" t="s">
        <v>181</v>
      </c>
      <c r="U23" s="62" t="s">
        <v>147</v>
      </c>
      <c r="V23" s="59" t="s">
        <v>184</v>
      </c>
      <c r="W23" s="62" t="s">
        <v>147</v>
      </c>
      <c r="X23" s="62" t="s">
        <v>154</v>
      </c>
      <c r="Y23" s="65" t="s">
        <v>155</v>
      </c>
      <c r="Z23" s="62" t="s">
        <v>156</v>
      </c>
    </row>
    <row r="24">
      <c r="A24" s="59" t="s">
        <v>207</v>
      </c>
      <c r="B24" s="60">
        <v>9.01</v>
      </c>
      <c r="C24" s="60">
        <v>0.0</v>
      </c>
      <c r="D24" s="60">
        <v>0.0</v>
      </c>
      <c r="E24" s="61">
        <v>730.0</v>
      </c>
      <c r="F24" s="61">
        <v>730.0</v>
      </c>
      <c r="G24" s="59" t="s">
        <v>146</v>
      </c>
      <c r="H24" s="61">
        <v>50.0</v>
      </c>
      <c r="I24" s="68" t="s">
        <v>147</v>
      </c>
      <c r="J24" s="59" t="s">
        <v>148</v>
      </c>
      <c r="K24" s="59" t="s">
        <v>174</v>
      </c>
      <c r="L24" s="63"/>
      <c r="M24" s="63"/>
      <c r="N24" s="63"/>
      <c r="O24" s="63"/>
      <c r="P24" s="59" t="s">
        <v>146</v>
      </c>
      <c r="Q24" s="59" t="s">
        <v>203</v>
      </c>
      <c r="R24" s="59" t="s">
        <v>148</v>
      </c>
      <c r="S24" s="64" t="s">
        <v>186</v>
      </c>
      <c r="T24" s="59" t="s">
        <v>181</v>
      </c>
      <c r="U24" s="68" t="s">
        <v>147</v>
      </c>
      <c r="V24" s="59" t="s">
        <v>161</v>
      </c>
      <c r="W24" s="68" t="s">
        <v>147</v>
      </c>
      <c r="X24" s="68" t="s">
        <v>201</v>
      </c>
      <c r="Y24" s="65" t="s">
        <v>155</v>
      </c>
      <c r="Z24" s="68" t="s">
        <v>156</v>
      </c>
    </row>
    <row r="25">
      <c r="A25" s="59" t="s">
        <v>208</v>
      </c>
      <c r="B25" s="60">
        <v>14.7</v>
      </c>
      <c r="C25" s="60">
        <v>0.0</v>
      </c>
      <c r="D25" s="60">
        <v>0.0</v>
      </c>
      <c r="E25" s="61">
        <v>365.0</v>
      </c>
      <c r="F25" s="61">
        <v>365.0</v>
      </c>
      <c r="G25" s="59" t="s">
        <v>146</v>
      </c>
      <c r="H25" s="61">
        <v>50.0</v>
      </c>
      <c r="I25" s="62" t="s">
        <v>147</v>
      </c>
      <c r="J25" s="59" t="s">
        <v>148</v>
      </c>
      <c r="K25" s="59" t="s">
        <v>174</v>
      </c>
      <c r="L25" s="63"/>
      <c r="M25" s="63"/>
      <c r="N25" s="63"/>
      <c r="O25" s="63"/>
      <c r="P25" s="59" t="s">
        <v>146</v>
      </c>
      <c r="Q25" s="59" t="s">
        <v>209</v>
      </c>
      <c r="R25" s="59" t="s">
        <v>148</v>
      </c>
      <c r="S25" s="64" t="s">
        <v>180</v>
      </c>
      <c r="T25" s="59" t="s">
        <v>181</v>
      </c>
      <c r="U25" s="62" t="s">
        <v>147</v>
      </c>
      <c r="V25" s="59" t="s">
        <v>161</v>
      </c>
      <c r="W25" s="62" t="s">
        <v>147</v>
      </c>
      <c r="X25" s="62" t="s">
        <v>154</v>
      </c>
      <c r="Y25" s="65" t="s">
        <v>155</v>
      </c>
      <c r="Z25" s="62" t="s">
        <v>156</v>
      </c>
    </row>
    <row r="26">
      <c r="A26" s="59" t="s">
        <v>210</v>
      </c>
      <c r="B26" s="60">
        <v>14.84</v>
      </c>
      <c r="C26" s="60">
        <v>0.0</v>
      </c>
      <c r="D26" s="60">
        <v>0.0</v>
      </c>
      <c r="E26" s="61">
        <v>1095.0</v>
      </c>
      <c r="F26" s="61">
        <v>1095.0</v>
      </c>
      <c r="G26" s="59" t="s">
        <v>146</v>
      </c>
      <c r="H26" s="61">
        <v>50.0</v>
      </c>
      <c r="I26" s="62" t="s">
        <v>147</v>
      </c>
      <c r="J26" s="59" t="s">
        <v>148</v>
      </c>
      <c r="K26" s="59" t="s">
        <v>174</v>
      </c>
      <c r="L26" s="63"/>
      <c r="M26" s="63"/>
      <c r="N26" s="63"/>
      <c r="O26" s="63"/>
      <c r="P26" s="59" t="s">
        <v>146</v>
      </c>
      <c r="Q26" s="59" t="s">
        <v>209</v>
      </c>
      <c r="R26" s="59" t="s">
        <v>148</v>
      </c>
      <c r="S26" s="64" t="s">
        <v>186</v>
      </c>
      <c r="T26" s="59" t="s">
        <v>181</v>
      </c>
      <c r="U26" s="62" t="s">
        <v>147</v>
      </c>
      <c r="V26" s="59" t="s">
        <v>161</v>
      </c>
      <c r="W26" s="62" t="s">
        <v>147</v>
      </c>
      <c r="X26" s="62" t="s">
        <v>154</v>
      </c>
      <c r="Y26" s="65" t="s">
        <v>155</v>
      </c>
      <c r="Z26" s="62" t="s">
        <v>156</v>
      </c>
    </row>
    <row r="27">
      <c r="A27" s="59" t="s">
        <v>211</v>
      </c>
      <c r="B27" s="60">
        <v>14.88</v>
      </c>
      <c r="C27" s="60">
        <v>0.0</v>
      </c>
      <c r="D27" s="60">
        <v>0.0</v>
      </c>
      <c r="E27" s="61">
        <v>730.0</v>
      </c>
      <c r="F27" s="61">
        <v>730.0</v>
      </c>
      <c r="G27" s="59" t="s">
        <v>146</v>
      </c>
      <c r="H27" s="61">
        <v>50.0</v>
      </c>
      <c r="I27" s="62" t="s">
        <v>147</v>
      </c>
      <c r="J27" s="59" t="s">
        <v>148</v>
      </c>
      <c r="K27" s="59" t="s">
        <v>174</v>
      </c>
      <c r="L27" s="63"/>
      <c r="M27" s="63"/>
      <c r="N27" s="63"/>
      <c r="O27" s="63"/>
      <c r="P27" s="59" t="s">
        <v>146</v>
      </c>
      <c r="Q27" s="59" t="s">
        <v>209</v>
      </c>
      <c r="R27" s="59" t="s">
        <v>148</v>
      </c>
      <c r="S27" s="64" t="s">
        <v>186</v>
      </c>
      <c r="T27" s="59" t="s">
        <v>181</v>
      </c>
      <c r="U27" s="62" t="s">
        <v>147</v>
      </c>
      <c r="V27" s="59" t="s">
        <v>161</v>
      </c>
      <c r="W27" s="62" t="s">
        <v>147</v>
      </c>
      <c r="X27" s="62" t="s">
        <v>154</v>
      </c>
      <c r="Y27" s="65" t="s">
        <v>155</v>
      </c>
      <c r="Z27" s="62" t="s">
        <v>156</v>
      </c>
    </row>
    <row r="28">
      <c r="A28" s="59" t="s">
        <v>212</v>
      </c>
      <c r="B28" s="60">
        <v>14.9</v>
      </c>
      <c r="C28" s="60">
        <v>0.0</v>
      </c>
      <c r="D28" s="60">
        <v>0.0</v>
      </c>
      <c r="E28" s="61">
        <v>1460.0</v>
      </c>
      <c r="F28" s="61">
        <v>1460.0</v>
      </c>
      <c r="G28" s="59" t="s">
        <v>146</v>
      </c>
      <c r="H28" s="61">
        <v>50.0</v>
      </c>
      <c r="I28" s="62" t="s">
        <v>147</v>
      </c>
      <c r="J28" s="59" t="s">
        <v>148</v>
      </c>
      <c r="K28" s="59" t="s">
        <v>174</v>
      </c>
      <c r="L28" s="63"/>
      <c r="M28" s="63"/>
      <c r="N28" s="63"/>
      <c r="O28" s="63"/>
      <c r="P28" s="59" t="s">
        <v>146</v>
      </c>
      <c r="Q28" s="59" t="s">
        <v>209</v>
      </c>
      <c r="R28" s="59" t="s">
        <v>148</v>
      </c>
      <c r="S28" s="64" t="s">
        <v>183</v>
      </c>
      <c r="T28" s="59" t="s">
        <v>181</v>
      </c>
      <c r="U28" s="62" t="s">
        <v>147</v>
      </c>
      <c r="V28" s="59" t="s">
        <v>184</v>
      </c>
      <c r="W28" s="62" t="s">
        <v>147</v>
      </c>
      <c r="X28" s="62" t="s">
        <v>154</v>
      </c>
      <c r="Y28" s="65" t="s">
        <v>155</v>
      </c>
      <c r="Z28" s="62" t="s">
        <v>156</v>
      </c>
    </row>
    <row r="29">
      <c r="A29" s="59" t="s">
        <v>213</v>
      </c>
      <c r="B29" s="60">
        <v>14.96</v>
      </c>
      <c r="C29" s="60">
        <v>0.0</v>
      </c>
      <c r="D29" s="60">
        <v>0.0</v>
      </c>
      <c r="E29" s="61">
        <v>1825.0</v>
      </c>
      <c r="F29" s="61">
        <v>1825.0</v>
      </c>
      <c r="G29" s="59" t="s">
        <v>146</v>
      </c>
      <c r="H29" s="61">
        <v>50.0</v>
      </c>
      <c r="I29" s="62" t="s">
        <v>147</v>
      </c>
      <c r="J29" s="59" t="s">
        <v>148</v>
      </c>
      <c r="K29" s="59" t="s">
        <v>174</v>
      </c>
      <c r="L29" s="63"/>
      <c r="M29" s="63"/>
      <c r="N29" s="63"/>
      <c r="O29" s="63"/>
      <c r="P29" s="59" t="s">
        <v>146</v>
      </c>
      <c r="Q29" s="59" t="s">
        <v>209</v>
      </c>
      <c r="R29" s="59" t="s">
        <v>148</v>
      </c>
      <c r="S29" s="64" t="s">
        <v>183</v>
      </c>
      <c r="T29" s="59" t="s">
        <v>181</v>
      </c>
      <c r="U29" s="62" t="s">
        <v>147</v>
      </c>
      <c r="V29" s="59" t="s">
        <v>184</v>
      </c>
      <c r="W29" s="62" t="s">
        <v>147</v>
      </c>
      <c r="X29" s="62" t="s">
        <v>154</v>
      </c>
      <c r="Y29" s="65" t="s">
        <v>155</v>
      </c>
      <c r="Z29" s="62" t="s">
        <v>156</v>
      </c>
    </row>
    <row r="30">
      <c r="A30" s="59" t="s">
        <v>214</v>
      </c>
      <c r="B30" s="60">
        <v>107.0</v>
      </c>
      <c r="C30" s="60">
        <v>0.0</v>
      </c>
      <c r="D30" s="60">
        <v>0.0</v>
      </c>
      <c r="E30" s="61">
        <v>1096.0</v>
      </c>
      <c r="F30" s="61">
        <v>0.0</v>
      </c>
      <c r="G30" s="59" t="s">
        <v>146</v>
      </c>
      <c r="H30" s="61">
        <v>50.0</v>
      </c>
      <c r="I30" s="61">
        <v>5.0E8</v>
      </c>
      <c r="J30" s="59" t="s">
        <v>148</v>
      </c>
      <c r="K30" s="59" t="s">
        <v>174</v>
      </c>
      <c r="L30" s="63"/>
      <c r="M30" s="63"/>
      <c r="N30" s="63"/>
      <c r="O30" s="63"/>
      <c r="P30" s="59" t="s">
        <v>146</v>
      </c>
      <c r="Q30" s="59" t="s">
        <v>215</v>
      </c>
      <c r="R30" s="59" t="s">
        <v>148</v>
      </c>
      <c r="S30" s="64" t="s">
        <v>216</v>
      </c>
      <c r="T30" s="59" t="s">
        <v>181</v>
      </c>
      <c r="U30" s="68" t="s">
        <v>147</v>
      </c>
      <c r="V30" s="59" t="s">
        <v>153</v>
      </c>
      <c r="W30" s="68" t="s">
        <v>147</v>
      </c>
      <c r="X30" s="68" t="s">
        <v>201</v>
      </c>
      <c r="Y30" s="69" t="s">
        <v>217</v>
      </c>
      <c r="Z30" s="68" t="s">
        <v>218</v>
      </c>
    </row>
    <row r="31">
      <c r="A31" s="59" t="s">
        <v>219</v>
      </c>
      <c r="B31" s="60">
        <v>15.0</v>
      </c>
      <c r="C31" s="60">
        <v>0.0</v>
      </c>
      <c r="D31" s="60">
        <v>0.0</v>
      </c>
      <c r="E31" s="61">
        <v>90.0</v>
      </c>
      <c r="F31" s="61">
        <v>90.0</v>
      </c>
      <c r="G31" s="59" t="s">
        <v>146</v>
      </c>
      <c r="H31" s="61">
        <v>1000.0</v>
      </c>
      <c r="I31" s="62" t="s">
        <v>147</v>
      </c>
      <c r="J31" s="59" t="s">
        <v>148</v>
      </c>
      <c r="K31" s="59" t="s">
        <v>174</v>
      </c>
      <c r="L31" s="63"/>
      <c r="M31" s="63"/>
      <c r="N31" s="63"/>
      <c r="O31" s="63"/>
      <c r="P31" s="59" t="s">
        <v>146</v>
      </c>
      <c r="Q31" s="59" t="s">
        <v>220</v>
      </c>
      <c r="R31" s="59" t="s">
        <v>148</v>
      </c>
      <c r="S31" s="64" t="s">
        <v>221</v>
      </c>
      <c r="T31" s="59" t="s">
        <v>167</v>
      </c>
      <c r="U31" s="62" t="s">
        <v>147</v>
      </c>
      <c r="V31" s="59" t="s">
        <v>161</v>
      </c>
      <c r="W31" s="62" t="s">
        <v>147</v>
      </c>
      <c r="X31" s="62" t="s">
        <v>154</v>
      </c>
      <c r="Y31" s="65" t="s">
        <v>155</v>
      </c>
      <c r="Z31" s="62" t="s">
        <v>156</v>
      </c>
    </row>
    <row r="32">
      <c r="A32" s="59" t="s">
        <v>222</v>
      </c>
      <c r="B32" s="60">
        <v>104.0</v>
      </c>
      <c r="C32" s="60">
        <v>0.0</v>
      </c>
      <c r="D32" s="60">
        <v>0.0</v>
      </c>
      <c r="E32" s="61">
        <v>720.0</v>
      </c>
      <c r="F32" s="61">
        <v>0.0</v>
      </c>
      <c r="G32" s="59" t="s">
        <v>146</v>
      </c>
      <c r="H32" s="61">
        <v>1000.0</v>
      </c>
      <c r="I32" s="66" t="s">
        <v>147</v>
      </c>
      <c r="J32" s="59" t="s">
        <v>148</v>
      </c>
      <c r="K32" s="59" t="s">
        <v>174</v>
      </c>
      <c r="L32" s="63"/>
      <c r="M32" s="63"/>
      <c r="N32" s="63"/>
      <c r="O32" s="63"/>
      <c r="P32" s="59" t="s">
        <v>146</v>
      </c>
      <c r="Q32" s="59" t="s">
        <v>158</v>
      </c>
      <c r="R32" s="59" t="s">
        <v>148</v>
      </c>
      <c r="S32" s="64" t="s">
        <v>223</v>
      </c>
      <c r="T32" s="59" t="s">
        <v>224</v>
      </c>
      <c r="U32" s="66" t="s">
        <v>147</v>
      </c>
      <c r="V32" s="59" t="s">
        <v>161</v>
      </c>
      <c r="W32" s="66" t="s">
        <v>147</v>
      </c>
      <c r="X32" s="66" t="s">
        <v>162</v>
      </c>
      <c r="Y32" s="65" t="s">
        <v>155</v>
      </c>
      <c r="Z32" s="66" t="s">
        <v>156</v>
      </c>
    </row>
    <row r="33">
      <c r="A33" s="59" t="s">
        <v>225</v>
      </c>
      <c r="B33" s="60">
        <v>140.0</v>
      </c>
      <c r="C33" s="60">
        <v>0.0</v>
      </c>
      <c r="D33" s="60">
        <v>0.0</v>
      </c>
      <c r="E33" s="61">
        <v>360.0</v>
      </c>
      <c r="F33" s="61">
        <v>360.0</v>
      </c>
      <c r="G33" s="59" t="s">
        <v>146</v>
      </c>
      <c r="H33" s="61">
        <v>1000.0</v>
      </c>
      <c r="I33" s="62" t="s">
        <v>147</v>
      </c>
      <c r="J33" s="59" t="s">
        <v>148</v>
      </c>
      <c r="K33" s="59" t="s">
        <v>174</v>
      </c>
      <c r="L33" s="63"/>
      <c r="M33" s="63"/>
      <c r="N33" s="63"/>
      <c r="O33" s="63"/>
      <c r="P33" s="59" t="s">
        <v>146</v>
      </c>
      <c r="Q33" s="59" t="s">
        <v>158</v>
      </c>
      <c r="R33" s="59" t="s">
        <v>148</v>
      </c>
      <c r="S33" s="64" t="s">
        <v>226</v>
      </c>
      <c r="T33" s="59" t="s">
        <v>227</v>
      </c>
      <c r="U33" s="62" t="s">
        <v>147</v>
      </c>
      <c r="V33" s="59" t="s">
        <v>153</v>
      </c>
      <c r="W33" s="62" t="s">
        <v>147</v>
      </c>
      <c r="X33" s="62" t="s">
        <v>154</v>
      </c>
      <c r="Y33" s="65" t="s">
        <v>155</v>
      </c>
      <c r="Z33" s="62" t="s">
        <v>156</v>
      </c>
    </row>
    <row r="34">
      <c r="A34" s="59" t="s">
        <v>228</v>
      </c>
      <c r="B34" s="60">
        <v>106.0</v>
      </c>
      <c r="C34" s="60">
        <v>0.0</v>
      </c>
      <c r="D34" s="60">
        <v>0.0</v>
      </c>
      <c r="E34" s="61">
        <v>91.0</v>
      </c>
      <c r="F34" s="61">
        <v>31.0</v>
      </c>
      <c r="G34" s="59" t="s">
        <v>146</v>
      </c>
      <c r="H34" s="61">
        <v>1.0</v>
      </c>
      <c r="I34" s="66" t="s">
        <v>147</v>
      </c>
      <c r="J34" s="59" t="s">
        <v>148</v>
      </c>
      <c r="K34" s="59" t="s">
        <v>174</v>
      </c>
      <c r="L34" s="63"/>
      <c r="M34" s="63"/>
      <c r="N34" s="63"/>
      <c r="O34" s="63"/>
      <c r="P34" s="59" t="s">
        <v>146</v>
      </c>
      <c r="Q34" s="59" t="s">
        <v>158</v>
      </c>
      <c r="R34" s="59" t="s">
        <v>148</v>
      </c>
      <c r="S34" s="64" t="s">
        <v>229</v>
      </c>
      <c r="T34" s="59" t="s">
        <v>230</v>
      </c>
      <c r="U34" s="66" t="s">
        <v>147</v>
      </c>
      <c r="V34" s="59" t="s">
        <v>153</v>
      </c>
      <c r="W34" s="66" t="s">
        <v>147</v>
      </c>
      <c r="X34" s="66" t="s">
        <v>162</v>
      </c>
      <c r="Y34" s="65" t="s">
        <v>155</v>
      </c>
      <c r="Z34" s="66" t="s">
        <v>156</v>
      </c>
    </row>
    <row r="35">
      <c r="A35" s="59" t="s">
        <v>231</v>
      </c>
      <c r="B35" s="60">
        <v>7.9</v>
      </c>
      <c r="C35" s="60">
        <v>0.0</v>
      </c>
      <c r="D35" s="60">
        <v>0.0</v>
      </c>
      <c r="E35" s="61">
        <v>1080.0</v>
      </c>
      <c r="F35" s="61">
        <v>1080.0</v>
      </c>
      <c r="G35" s="59" t="s">
        <v>146</v>
      </c>
      <c r="H35" s="61">
        <v>1000.0</v>
      </c>
      <c r="I35" s="62" t="s">
        <v>147</v>
      </c>
      <c r="J35" s="59" t="s">
        <v>148</v>
      </c>
      <c r="K35" s="59" t="s">
        <v>174</v>
      </c>
      <c r="L35" s="63"/>
      <c r="M35" s="63"/>
      <c r="N35" s="63"/>
      <c r="O35" s="63"/>
      <c r="P35" s="59" t="s">
        <v>146</v>
      </c>
      <c r="Q35" s="59" t="s">
        <v>232</v>
      </c>
      <c r="R35" s="59" t="s">
        <v>148</v>
      </c>
      <c r="S35" s="64" t="s">
        <v>233</v>
      </c>
      <c r="T35" s="62" t="s">
        <v>147</v>
      </c>
      <c r="U35" s="62" t="s">
        <v>147</v>
      </c>
      <c r="V35" s="59" t="s">
        <v>153</v>
      </c>
      <c r="W35" s="62" t="s">
        <v>147</v>
      </c>
      <c r="X35" s="62" t="s">
        <v>154</v>
      </c>
      <c r="Y35" s="67" t="s">
        <v>176</v>
      </c>
      <c r="Z35" s="62" t="s">
        <v>234</v>
      </c>
    </row>
    <row r="36">
      <c r="A36" s="59" t="s">
        <v>235</v>
      </c>
      <c r="B36" s="60">
        <v>8.3</v>
      </c>
      <c r="C36" s="60">
        <v>0.0</v>
      </c>
      <c r="D36" s="60">
        <v>0.0</v>
      </c>
      <c r="E36" s="61">
        <v>720.0</v>
      </c>
      <c r="F36" s="61">
        <v>720.0</v>
      </c>
      <c r="G36" s="59" t="s">
        <v>146</v>
      </c>
      <c r="H36" s="61">
        <v>1000.0</v>
      </c>
      <c r="I36" s="62" t="s">
        <v>147</v>
      </c>
      <c r="J36" s="59" t="s">
        <v>148</v>
      </c>
      <c r="K36" s="59" t="s">
        <v>174</v>
      </c>
      <c r="L36" s="63"/>
      <c r="M36" s="63"/>
      <c r="N36" s="63"/>
      <c r="O36" s="63"/>
      <c r="P36" s="59" t="s">
        <v>146</v>
      </c>
      <c r="Q36" s="59" t="s">
        <v>232</v>
      </c>
      <c r="R36" s="59" t="s">
        <v>148</v>
      </c>
      <c r="S36" s="64" t="s">
        <v>236</v>
      </c>
      <c r="T36" s="62" t="s">
        <v>147</v>
      </c>
      <c r="U36" s="62" t="s">
        <v>147</v>
      </c>
      <c r="V36" s="59" t="s">
        <v>153</v>
      </c>
      <c r="W36" s="62" t="s">
        <v>147</v>
      </c>
      <c r="X36" s="62" t="s">
        <v>154</v>
      </c>
      <c r="Y36" s="67" t="s">
        <v>176</v>
      </c>
      <c r="Z36" s="62" t="s">
        <v>234</v>
      </c>
    </row>
    <row r="37">
      <c r="A37" s="59" t="s">
        <v>237</v>
      </c>
      <c r="B37" s="60">
        <v>103.0</v>
      </c>
      <c r="C37" s="60">
        <v>0.0</v>
      </c>
      <c r="D37" s="60">
        <v>0.0</v>
      </c>
      <c r="E37" s="61">
        <v>730.0</v>
      </c>
      <c r="F37" s="61">
        <v>1.0</v>
      </c>
      <c r="G37" s="59" t="s">
        <v>146</v>
      </c>
      <c r="H37" s="61">
        <v>1.0</v>
      </c>
      <c r="I37" s="61">
        <v>1.0E7</v>
      </c>
      <c r="J37" s="59" t="s">
        <v>148</v>
      </c>
      <c r="K37" s="59" t="s">
        <v>174</v>
      </c>
      <c r="L37" s="63"/>
      <c r="M37" s="63"/>
      <c r="N37" s="63"/>
      <c r="O37" s="63"/>
      <c r="P37" s="59" t="s">
        <v>146</v>
      </c>
      <c r="Q37" s="59" t="s">
        <v>158</v>
      </c>
      <c r="R37" s="59" t="s">
        <v>148</v>
      </c>
      <c r="S37" s="64" t="s">
        <v>238</v>
      </c>
      <c r="T37" s="62" t="s">
        <v>147</v>
      </c>
      <c r="U37" s="62" t="s">
        <v>147</v>
      </c>
      <c r="V37" s="59" t="s">
        <v>239</v>
      </c>
      <c r="W37" s="62" t="s">
        <v>147</v>
      </c>
      <c r="X37" s="62" t="s">
        <v>154</v>
      </c>
      <c r="Y37" s="65" t="s">
        <v>155</v>
      </c>
      <c r="Z37" s="62" t="s">
        <v>240</v>
      </c>
    </row>
    <row r="38">
      <c r="A38" s="59" t="s">
        <v>241</v>
      </c>
      <c r="B38" s="60">
        <v>100.0</v>
      </c>
      <c r="C38" s="60">
        <v>113.0</v>
      </c>
      <c r="D38" s="60">
        <v>0.0</v>
      </c>
      <c r="E38" s="61">
        <v>730.0</v>
      </c>
      <c r="F38" s="61">
        <v>0.0</v>
      </c>
      <c r="G38" s="59" t="s">
        <v>146</v>
      </c>
      <c r="H38" s="61">
        <v>1.0</v>
      </c>
      <c r="I38" s="62" t="s">
        <v>147</v>
      </c>
      <c r="J38" s="59" t="s">
        <v>148</v>
      </c>
      <c r="K38" s="59" t="s">
        <v>174</v>
      </c>
      <c r="L38" s="63"/>
      <c r="M38" s="63"/>
      <c r="N38" s="63"/>
      <c r="O38" s="63"/>
      <c r="P38" s="59" t="s">
        <v>146</v>
      </c>
      <c r="Q38" s="59" t="s">
        <v>199</v>
      </c>
      <c r="R38" s="59" t="s">
        <v>148</v>
      </c>
      <c r="S38" s="64" t="s">
        <v>242</v>
      </c>
      <c r="T38" s="59" t="s">
        <v>243</v>
      </c>
      <c r="U38" s="62" t="s">
        <v>147</v>
      </c>
      <c r="V38" s="59" t="s">
        <v>161</v>
      </c>
      <c r="W38" s="62" t="s">
        <v>147</v>
      </c>
      <c r="X38" s="62" t="s">
        <v>154</v>
      </c>
      <c r="Y38" s="65" t="s">
        <v>155</v>
      </c>
      <c r="Z38" s="62" t="s">
        <v>156</v>
      </c>
    </row>
    <row r="39">
      <c r="A39" s="59" t="s">
        <v>244</v>
      </c>
      <c r="B39" s="60">
        <v>113.0</v>
      </c>
      <c r="C39" s="60">
        <v>0.0</v>
      </c>
      <c r="D39" s="60">
        <v>0.0</v>
      </c>
      <c r="E39" s="61">
        <v>1095.0</v>
      </c>
      <c r="F39" s="61">
        <v>0.0</v>
      </c>
      <c r="G39" s="59" t="s">
        <v>146</v>
      </c>
      <c r="H39" s="61">
        <v>1.0</v>
      </c>
      <c r="I39" s="61">
        <v>250000.0</v>
      </c>
      <c r="J39" s="59" t="s">
        <v>148</v>
      </c>
      <c r="K39" s="59" t="s">
        <v>174</v>
      </c>
      <c r="L39" s="63"/>
      <c r="M39" s="63"/>
      <c r="N39" s="63"/>
      <c r="O39" s="63"/>
      <c r="P39" s="59" t="s">
        <v>146</v>
      </c>
      <c r="Q39" s="59" t="s">
        <v>158</v>
      </c>
      <c r="R39" s="59" t="s">
        <v>148</v>
      </c>
      <c r="S39" s="64" t="s">
        <v>245</v>
      </c>
      <c r="T39" s="59" t="s">
        <v>243</v>
      </c>
      <c r="U39" s="62" t="s">
        <v>147</v>
      </c>
      <c r="V39" s="59" t="s">
        <v>161</v>
      </c>
      <c r="W39" s="62" t="s">
        <v>147</v>
      </c>
      <c r="X39" s="62" t="s">
        <v>154</v>
      </c>
      <c r="Y39" s="69" t="s">
        <v>217</v>
      </c>
      <c r="Z39" s="62" t="s">
        <v>218</v>
      </c>
    </row>
    <row r="40">
      <c r="A40" s="59" t="s">
        <v>246</v>
      </c>
      <c r="B40" s="60">
        <v>112.0</v>
      </c>
      <c r="C40" s="60">
        <v>0.0</v>
      </c>
      <c r="D40" s="60">
        <v>0.0</v>
      </c>
      <c r="E40" s="61">
        <v>90.0</v>
      </c>
      <c r="F40" s="61">
        <v>90.0</v>
      </c>
      <c r="G40" s="59" t="s">
        <v>146</v>
      </c>
      <c r="H40" s="61">
        <v>100.0</v>
      </c>
      <c r="I40" s="61">
        <v>500000.0</v>
      </c>
      <c r="J40" s="59" t="s">
        <v>148</v>
      </c>
      <c r="K40" s="59" t="s">
        <v>174</v>
      </c>
      <c r="L40" s="63"/>
      <c r="M40" s="63"/>
      <c r="N40" s="63"/>
      <c r="O40" s="63"/>
      <c r="P40" s="59" t="s">
        <v>146</v>
      </c>
      <c r="Q40" s="59" t="s">
        <v>158</v>
      </c>
      <c r="R40" s="59" t="s">
        <v>148</v>
      </c>
      <c r="S40" s="64" t="s">
        <v>247</v>
      </c>
      <c r="T40" s="59" t="s">
        <v>243</v>
      </c>
      <c r="U40" s="68" t="s">
        <v>147</v>
      </c>
      <c r="V40" s="59" t="s">
        <v>161</v>
      </c>
      <c r="W40" s="68" t="s">
        <v>147</v>
      </c>
      <c r="X40" s="68" t="s">
        <v>201</v>
      </c>
      <c r="Y40" s="69" t="s">
        <v>217</v>
      </c>
      <c r="Z40" s="68" t="s">
        <v>218</v>
      </c>
    </row>
    <row r="41">
      <c r="A41" s="59" t="s">
        <v>248</v>
      </c>
      <c r="B41" s="60">
        <v>116.0</v>
      </c>
      <c r="C41" s="60">
        <v>0.0</v>
      </c>
      <c r="D41" s="60">
        <v>0.0</v>
      </c>
      <c r="E41" s="61">
        <v>181.0</v>
      </c>
      <c r="F41" s="61">
        <v>181.0</v>
      </c>
      <c r="G41" s="59" t="s">
        <v>146</v>
      </c>
      <c r="H41" s="61">
        <v>100.0</v>
      </c>
      <c r="I41" s="61">
        <v>500000.0</v>
      </c>
      <c r="J41" s="59" t="s">
        <v>148</v>
      </c>
      <c r="K41" s="59" t="s">
        <v>174</v>
      </c>
      <c r="L41" s="63"/>
      <c r="M41" s="63"/>
      <c r="N41" s="63"/>
      <c r="O41" s="63"/>
      <c r="P41" s="59" t="s">
        <v>146</v>
      </c>
      <c r="Q41" s="59" t="s">
        <v>158</v>
      </c>
      <c r="R41" s="59" t="s">
        <v>148</v>
      </c>
      <c r="S41" s="64" t="s">
        <v>249</v>
      </c>
      <c r="T41" s="59" t="s">
        <v>243</v>
      </c>
      <c r="U41" s="68" t="s">
        <v>147</v>
      </c>
      <c r="V41" s="59" t="s">
        <v>161</v>
      </c>
      <c r="W41" s="68" t="s">
        <v>147</v>
      </c>
      <c r="X41" s="68" t="s">
        <v>201</v>
      </c>
      <c r="Y41" s="69" t="s">
        <v>217</v>
      </c>
      <c r="Z41" s="68" t="s">
        <v>218</v>
      </c>
    </row>
    <row r="42">
      <c r="A42" s="59" t="s">
        <v>250</v>
      </c>
      <c r="B42" s="60">
        <v>119.0</v>
      </c>
      <c r="C42" s="60">
        <v>0.0</v>
      </c>
      <c r="D42" s="60">
        <v>0.0</v>
      </c>
      <c r="E42" s="61">
        <v>361.0</v>
      </c>
      <c r="F42" s="61">
        <v>361.0</v>
      </c>
      <c r="G42" s="59" t="s">
        <v>146</v>
      </c>
      <c r="H42" s="61">
        <v>100.0</v>
      </c>
      <c r="I42" s="61">
        <v>500000.0</v>
      </c>
      <c r="J42" s="59" t="s">
        <v>148</v>
      </c>
      <c r="K42" s="59" t="s">
        <v>174</v>
      </c>
      <c r="L42" s="63"/>
      <c r="M42" s="63"/>
      <c r="N42" s="63"/>
      <c r="O42" s="63"/>
      <c r="P42" s="59" t="s">
        <v>146</v>
      </c>
      <c r="Q42" s="59" t="s">
        <v>158</v>
      </c>
      <c r="R42" s="59" t="s">
        <v>148</v>
      </c>
      <c r="S42" s="64" t="s">
        <v>251</v>
      </c>
      <c r="T42" s="59" t="s">
        <v>243</v>
      </c>
      <c r="U42" s="68" t="s">
        <v>147</v>
      </c>
      <c r="V42" s="59" t="s">
        <v>161</v>
      </c>
      <c r="W42" s="68" t="s">
        <v>147</v>
      </c>
      <c r="X42" s="68" t="s">
        <v>201</v>
      </c>
      <c r="Y42" s="69" t="s">
        <v>217</v>
      </c>
      <c r="Z42" s="68" t="s">
        <v>218</v>
      </c>
    </row>
    <row r="43">
      <c r="A43" s="59" t="s">
        <v>252</v>
      </c>
      <c r="B43" s="60">
        <v>120.0</v>
      </c>
      <c r="C43" s="60">
        <v>0.0</v>
      </c>
      <c r="D43" s="60">
        <v>0.0</v>
      </c>
      <c r="E43" s="61">
        <v>721.0</v>
      </c>
      <c r="F43" s="61">
        <v>721.0</v>
      </c>
      <c r="G43" s="59" t="s">
        <v>146</v>
      </c>
      <c r="H43" s="61">
        <v>100.0</v>
      </c>
      <c r="I43" s="61">
        <v>500000.0</v>
      </c>
      <c r="J43" s="59" t="s">
        <v>148</v>
      </c>
      <c r="K43" s="59" t="s">
        <v>174</v>
      </c>
      <c r="L43" s="63"/>
      <c r="M43" s="63"/>
      <c r="N43" s="63"/>
      <c r="O43" s="63"/>
      <c r="P43" s="59" t="s">
        <v>146</v>
      </c>
      <c r="Q43" s="59" t="s">
        <v>158</v>
      </c>
      <c r="R43" s="59" t="s">
        <v>148</v>
      </c>
      <c r="S43" s="64" t="s">
        <v>253</v>
      </c>
      <c r="T43" s="59" t="s">
        <v>243</v>
      </c>
      <c r="U43" s="68" t="s">
        <v>147</v>
      </c>
      <c r="V43" s="59" t="s">
        <v>161</v>
      </c>
      <c r="W43" s="68" t="s">
        <v>147</v>
      </c>
      <c r="X43" s="68" t="s">
        <v>201</v>
      </c>
      <c r="Y43" s="69" t="s">
        <v>217</v>
      </c>
      <c r="Z43" s="68" t="s">
        <v>218</v>
      </c>
    </row>
    <row r="44">
      <c r="A44" s="59" t="s">
        <v>254</v>
      </c>
      <c r="B44" s="60">
        <v>150.0</v>
      </c>
      <c r="C44" s="60">
        <v>0.0</v>
      </c>
      <c r="D44" s="60">
        <v>0.0</v>
      </c>
      <c r="E44" s="61">
        <v>60.0</v>
      </c>
      <c r="F44" s="61">
        <v>60.0</v>
      </c>
      <c r="G44" s="59" t="s">
        <v>146</v>
      </c>
      <c r="H44" s="61">
        <v>100.0</v>
      </c>
      <c r="I44" s="61">
        <v>20000.0</v>
      </c>
      <c r="J44" s="59" t="s">
        <v>148</v>
      </c>
      <c r="K44" s="59" t="s">
        <v>174</v>
      </c>
      <c r="L44" s="63"/>
      <c r="M44" s="63"/>
      <c r="N44" s="63"/>
      <c r="O44" s="63"/>
      <c r="P44" s="59" t="s">
        <v>146</v>
      </c>
      <c r="Q44" s="59" t="s">
        <v>158</v>
      </c>
      <c r="R44" s="59" t="s">
        <v>148</v>
      </c>
      <c r="S44" s="64" t="s">
        <v>255</v>
      </c>
      <c r="T44" s="59" t="s">
        <v>243</v>
      </c>
      <c r="U44" s="68" t="s">
        <v>147</v>
      </c>
      <c r="V44" s="59" t="s">
        <v>161</v>
      </c>
      <c r="W44" s="68" t="s">
        <v>147</v>
      </c>
      <c r="X44" s="68" t="s">
        <v>201</v>
      </c>
      <c r="Y44" s="69" t="s">
        <v>217</v>
      </c>
      <c r="Z44" s="68" t="s">
        <v>218</v>
      </c>
    </row>
    <row r="45">
      <c r="A45" s="59" t="s">
        <v>256</v>
      </c>
      <c r="B45" s="60">
        <v>100.0</v>
      </c>
      <c r="C45" s="60">
        <v>0.0</v>
      </c>
      <c r="D45" s="60">
        <v>0.0</v>
      </c>
      <c r="E45" s="61">
        <v>1095.0</v>
      </c>
      <c r="F45" s="61">
        <v>0.0</v>
      </c>
      <c r="G45" s="59" t="s">
        <v>146</v>
      </c>
      <c r="H45" s="61">
        <v>1.0</v>
      </c>
      <c r="I45" s="62" t="s">
        <v>147</v>
      </c>
      <c r="J45" s="59" t="s">
        <v>148</v>
      </c>
      <c r="K45" s="59" t="s">
        <v>174</v>
      </c>
      <c r="L45" s="63"/>
      <c r="M45" s="63"/>
      <c r="N45" s="63"/>
      <c r="O45" s="63"/>
      <c r="P45" s="59" t="s">
        <v>146</v>
      </c>
      <c r="Q45" s="59" t="s">
        <v>158</v>
      </c>
      <c r="R45" s="59" t="s">
        <v>148</v>
      </c>
      <c r="S45" s="64" t="s">
        <v>257</v>
      </c>
      <c r="T45" s="59" t="s">
        <v>243</v>
      </c>
      <c r="U45" s="62" t="s">
        <v>147</v>
      </c>
      <c r="V45" s="59" t="s">
        <v>161</v>
      </c>
      <c r="W45" s="62" t="s">
        <v>147</v>
      </c>
      <c r="X45" s="62" t="s">
        <v>154</v>
      </c>
      <c r="Y45" s="65" t="s">
        <v>155</v>
      </c>
      <c r="Z45" s="62" t="s">
        <v>156</v>
      </c>
    </row>
    <row r="46">
      <c r="A46" s="59" t="s">
        <v>258</v>
      </c>
      <c r="B46" s="60">
        <v>104.0</v>
      </c>
      <c r="C46" s="60">
        <v>0.0</v>
      </c>
      <c r="D46" s="60">
        <v>0.0</v>
      </c>
      <c r="E46" s="61">
        <v>90.0</v>
      </c>
      <c r="F46" s="61">
        <v>90.0</v>
      </c>
      <c r="G46" s="59" t="s">
        <v>146</v>
      </c>
      <c r="H46" s="61">
        <v>1.0</v>
      </c>
      <c r="I46" s="61">
        <v>1.0E7</v>
      </c>
      <c r="J46" s="59" t="s">
        <v>148</v>
      </c>
      <c r="K46" s="59" t="s">
        <v>174</v>
      </c>
      <c r="L46" s="63"/>
      <c r="M46" s="63"/>
      <c r="N46" s="63"/>
      <c r="O46" s="63"/>
      <c r="P46" s="59" t="s">
        <v>146</v>
      </c>
      <c r="Q46" s="59" t="s">
        <v>158</v>
      </c>
      <c r="R46" s="59" t="s">
        <v>148</v>
      </c>
      <c r="S46" s="64" t="s">
        <v>259</v>
      </c>
      <c r="T46" s="62" t="s">
        <v>147</v>
      </c>
      <c r="U46" s="62" t="s">
        <v>147</v>
      </c>
      <c r="V46" s="59" t="s">
        <v>239</v>
      </c>
      <c r="W46" s="62" t="s">
        <v>147</v>
      </c>
      <c r="X46" s="62" t="s">
        <v>154</v>
      </c>
      <c r="Y46" s="65" t="s">
        <v>155</v>
      </c>
      <c r="Z46" s="62" t="s">
        <v>240</v>
      </c>
    </row>
    <row r="47">
      <c r="A47" s="59" t="s">
        <v>260</v>
      </c>
      <c r="B47" s="60">
        <v>105.0</v>
      </c>
      <c r="C47" s="60">
        <v>0.0</v>
      </c>
      <c r="D47" s="60">
        <v>0.0</v>
      </c>
      <c r="E47" s="61">
        <v>180.0</v>
      </c>
      <c r="F47" s="61">
        <v>180.0</v>
      </c>
      <c r="G47" s="59" t="s">
        <v>146</v>
      </c>
      <c r="H47" s="61">
        <v>500.0</v>
      </c>
      <c r="I47" s="61">
        <v>1.0E7</v>
      </c>
      <c r="J47" s="59" t="s">
        <v>148</v>
      </c>
      <c r="K47" s="59" t="s">
        <v>174</v>
      </c>
      <c r="L47" s="63"/>
      <c r="M47" s="63"/>
      <c r="N47" s="63"/>
      <c r="O47" s="63"/>
      <c r="P47" s="59" t="s">
        <v>146</v>
      </c>
      <c r="Q47" s="59" t="s">
        <v>158</v>
      </c>
      <c r="R47" s="59" t="s">
        <v>148</v>
      </c>
      <c r="S47" s="64" t="s">
        <v>261</v>
      </c>
      <c r="T47" s="62" t="s">
        <v>147</v>
      </c>
      <c r="U47" s="62" t="s">
        <v>147</v>
      </c>
      <c r="V47" s="59" t="s">
        <v>239</v>
      </c>
      <c r="W47" s="62" t="s">
        <v>147</v>
      </c>
      <c r="X47" s="62" t="s">
        <v>154</v>
      </c>
      <c r="Y47" s="65" t="s">
        <v>155</v>
      </c>
      <c r="Z47" s="62" t="s">
        <v>240</v>
      </c>
    </row>
    <row r="48">
      <c r="A48" s="59" t="s">
        <v>262</v>
      </c>
      <c r="B48" s="60">
        <v>106.0</v>
      </c>
      <c r="C48" s="60">
        <v>0.0</v>
      </c>
      <c r="D48" s="60">
        <v>0.0</v>
      </c>
      <c r="E48" s="61">
        <v>365.0</v>
      </c>
      <c r="F48" s="61">
        <v>365.0</v>
      </c>
      <c r="G48" s="59" t="s">
        <v>146</v>
      </c>
      <c r="H48" s="61">
        <v>500.0</v>
      </c>
      <c r="I48" s="61">
        <v>1.0E7</v>
      </c>
      <c r="J48" s="59" t="s">
        <v>148</v>
      </c>
      <c r="K48" s="59" t="s">
        <v>174</v>
      </c>
      <c r="L48" s="63"/>
      <c r="M48" s="63"/>
      <c r="N48" s="63"/>
      <c r="O48" s="63"/>
      <c r="P48" s="59" t="s">
        <v>146</v>
      </c>
      <c r="Q48" s="59" t="s">
        <v>158</v>
      </c>
      <c r="R48" s="59" t="s">
        <v>148</v>
      </c>
      <c r="S48" s="64" t="s">
        <v>263</v>
      </c>
      <c r="T48" s="62" t="s">
        <v>147</v>
      </c>
      <c r="U48" s="62" t="s">
        <v>147</v>
      </c>
      <c r="V48" s="59" t="s">
        <v>239</v>
      </c>
      <c r="W48" s="62" t="s">
        <v>147</v>
      </c>
      <c r="X48" s="62" t="s">
        <v>154</v>
      </c>
      <c r="Y48" s="65" t="s">
        <v>155</v>
      </c>
      <c r="Z48" s="62" t="s">
        <v>240</v>
      </c>
    </row>
    <row r="49">
      <c r="A49" s="59" t="s">
        <v>264</v>
      </c>
      <c r="B49" s="60">
        <v>107.5</v>
      </c>
      <c r="C49" s="60">
        <v>0.0</v>
      </c>
      <c r="D49" s="60">
        <v>0.0</v>
      </c>
      <c r="E49" s="61">
        <v>1095.0</v>
      </c>
      <c r="F49" s="61">
        <v>1095.0</v>
      </c>
      <c r="G49" s="59" t="s">
        <v>146</v>
      </c>
      <c r="H49" s="61">
        <v>500.0</v>
      </c>
      <c r="I49" s="61">
        <v>1.0E7</v>
      </c>
      <c r="J49" s="59" t="s">
        <v>148</v>
      </c>
      <c r="K49" s="59" t="s">
        <v>174</v>
      </c>
      <c r="L49" s="63"/>
      <c r="M49" s="63"/>
      <c r="N49" s="63"/>
      <c r="O49" s="63"/>
      <c r="P49" s="59" t="s">
        <v>146</v>
      </c>
      <c r="Q49" s="59" t="s">
        <v>158</v>
      </c>
      <c r="R49" s="59" t="s">
        <v>148</v>
      </c>
      <c r="S49" s="64" t="s">
        <v>265</v>
      </c>
      <c r="T49" s="62" t="s">
        <v>147</v>
      </c>
      <c r="U49" s="62" t="s">
        <v>147</v>
      </c>
      <c r="V49" s="59" t="s">
        <v>161</v>
      </c>
      <c r="W49" s="62" t="s">
        <v>147</v>
      </c>
      <c r="X49" s="62" t="s">
        <v>154</v>
      </c>
      <c r="Y49" s="65" t="s">
        <v>155</v>
      </c>
      <c r="Z49" s="62" t="s">
        <v>240</v>
      </c>
    </row>
    <row r="50">
      <c r="A50" s="59" t="s">
        <v>266</v>
      </c>
      <c r="B50" s="60">
        <v>107.0</v>
      </c>
      <c r="C50" s="60">
        <v>0.0</v>
      </c>
      <c r="D50" s="60">
        <v>0.0</v>
      </c>
      <c r="E50" s="61">
        <v>720.0</v>
      </c>
      <c r="F50" s="61">
        <v>720.0</v>
      </c>
      <c r="G50" s="59" t="s">
        <v>146</v>
      </c>
      <c r="H50" s="61">
        <v>500.0</v>
      </c>
      <c r="I50" s="61">
        <v>1.0E7</v>
      </c>
      <c r="J50" s="59" t="s">
        <v>148</v>
      </c>
      <c r="K50" s="59" t="s">
        <v>174</v>
      </c>
      <c r="L50" s="63"/>
      <c r="M50" s="63"/>
      <c r="N50" s="63"/>
      <c r="O50" s="63"/>
      <c r="P50" s="59" t="s">
        <v>146</v>
      </c>
      <c r="Q50" s="59" t="s">
        <v>158</v>
      </c>
      <c r="R50" s="59" t="s">
        <v>148</v>
      </c>
      <c r="S50" s="64" t="s">
        <v>267</v>
      </c>
      <c r="T50" s="62" t="s">
        <v>147</v>
      </c>
      <c r="U50" s="62" t="s">
        <v>147</v>
      </c>
      <c r="V50" s="59" t="s">
        <v>239</v>
      </c>
      <c r="W50" s="62" t="s">
        <v>147</v>
      </c>
      <c r="X50" s="62" t="s">
        <v>154</v>
      </c>
      <c r="Y50" s="65" t="s">
        <v>155</v>
      </c>
      <c r="Z50" s="62" t="s">
        <v>240</v>
      </c>
    </row>
    <row r="51">
      <c r="A51" s="59" t="s">
        <v>268</v>
      </c>
      <c r="B51" s="60">
        <v>108.5</v>
      </c>
      <c r="C51" s="60">
        <v>0.0</v>
      </c>
      <c r="D51" s="60">
        <v>0.0</v>
      </c>
      <c r="E51" s="61">
        <v>1460.0</v>
      </c>
      <c r="F51" s="61">
        <v>1460.0</v>
      </c>
      <c r="G51" s="59" t="s">
        <v>146</v>
      </c>
      <c r="H51" s="61">
        <v>500.0</v>
      </c>
      <c r="I51" s="61">
        <v>1.0E7</v>
      </c>
      <c r="J51" s="59" t="s">
        <v>148</v>
      </c>
      <c r="K51" s="59" t="s">
        <v>174</v>
      </c>
      <c r="L51" s="63"/>
      <c r="M51" s="63"/>
      <c r="N51" s="63"/>
      <c r="O51" s="63"/>
      <c r="P51" s="59" t="s">
        <v>146</v>
      </c>
      <c r="Q51" s="59" t="s">
        <v>158</v>
      </c>
      <c r="R51" s="59" t="s">
        <v>148</v>
      </c>
      <c r="S51" s="64" t="s">
        <v>269</v>
      </c>
      <c r="T51" s="62" t="s">
        <v>147</v>
      </c>
      <c r="U51" s="62" t="s">
        <v>147</v>
      </c>
      <c r="V51" s="59" t="s">
        <v>161</v>
      </c>
      <c r="W51" s="62" t="s">
        <v>147</v>
      </c>
      <c r="X51" s="62" t="s">
        <v>154</v>
      </c>
      <c r="Y51" s="65" t="s">
        <v>155</v>
      </c>
      <c r="Z51" s="62" t="s">
        <v>240</v>
      </c>
    </row>
    <row r="52">
      <c r="A52" s="59" t="s">
        <v>270</v>
      </c>
      <c r="B52" s="60">
        <v>14.8</v>
      </c>
      <c r="C52" s="60">
        <v>0.0</v>
      </c>
      <c r="D52" s="60">
        <v>0.0</v>
      </c>
      <c r="E52" s="61">
        <v>720.0</v>
      </c>
      <c r="F52" s="61">
        <v>720.0</v>
      </c>
      <c r="G52" s="59" t="s">
        <v>146</v>
      </c>
      <c r="H52" s="61">
        <v>500.0</v>
      </c>
      <c r="I52" s="61">
        <v>1.0E7</v>
      </c>
      <c r="J52" s="59" t="s">
        <v>148</v>
      </c>
      <c r="K52" s="59" t="s">
        <v>174</v>
      </c>
      <c r="L52" s="63"/>
      <c r="M52" s="63"/>
      <c r="N52" s="63"/>
      <c r="O52" s="63"/>
      <c r="P52" s="59" t="s">
        <v>146</v>
      </c>
      <c r="Q52" s="59" t="s">
        <v>220</v>
      </c>
      <c r="R52" s="59" t="s">
        <v>148</v>
      </c>
      <c r="S52" s="64" t="s">
        <v>271</v>
      </c>
      <c r="T52" s="62" t="s">
        <v>147</v>
      </c>
      <c r="U52" s="62" t="s">
        <v>147</v>
      </c>
      <c r="V52" s="59" t="s">
        <v>239</v>
      </c>
      <c r="W52" s="62" t="s">
        <v>147</v>
      </c>
      <c r="X52" s="62" t="s">
        <v>154</v>
      </c>
      <c r="Y52" s="65" t="s">
        <v>155</v>
      </c>
      <c r="Z52" s="62" t="s">
        <v>240</v>
      </c>
    </row>
    <row r="53">
      <c r="A53" s="59" t="s">
        <v>272</v>
      </c>
      <c r="B53" s="60">
        <v>14.9</v>
      </c>
      <c r="C53" s="60">
        <v>0.0</v>
      </c>
      <c r="D53" s="60">
        <v>0.0</v>
      </c>
      <c r="E53" s="61">
        <v>365.0</v>
      </c>
      <c r="F53" s="61">
        <v>365.0</v>
      </c>
      <c r="G53" s="59" t="s">
        <v>146</v>
      </c>
      <c r="H53" s="61">
        <v>500.0</v>
      </c>
      <c r="I53" s="61">
        <v>1.0E7</v>
      </c>
      <c r="J53" s="59" t="s">
        <v>148</v>
      </c>
      <c r="K53" s="59" t="s">
        <v>174</v>
      </c>
      <c r="L53" s="63"/>
      <c r="M53" s="63"/>
      <c r="N53" s="63"/>
      <c r="O53" s="63"/>
      <c r="P53" s="59" t="s">
        <v>146</v>
      </c>
      <c r="Q53" s="59" t="s">
        <v>220</v>
      </c>
      <c r="R53" s="59" t="s">
        <v>148</v>
      </c>
      <c r="S53" s="64" t="s">
        <v>273</v>
      </c>
      <c r="T53" s="66" t="s">
        <v>147</v>
      </c>
      <c r="U53" s="66" t="s">
        <v>147</v>
      </c>
      <c r="V53" s="59" t="s">
        <v>239</v>
      </c>
      <c r="W53" s="66" t="s">
        <v>147</v>
      </c>
      <c r="X53" s="66" t="s">
        <v>162</v>
      </c>
      <c r="Y53" s="65" t="s">
        <v>155</v>
      </c>
      <c r="Z53" s="66" t="s">
        <v>240</v>
      </c>
    </row>
    <row r="54">
      <c r="A54" s="59" t="s">
        <v>274</v>
      </c>
      <c r="B54" s="60">
        <v>15.0</v>
      </c>
      <c r="C54" s="60">
        <v>0.0</v>
      </c>
      <c r="D54" s="60">
        <v>0.0</v>
      </c>
      <c r="E54" s="61">
        <v>180.0</v>
      </c>
      <c r="F54" s="61">
        <v>180.0</v>
      </c>
      <c r="G54" s="59" t="s">
        <v>146</v>
      </c>
      <c r="H54" s="61">
        <v>500.0</v>
      </c>
      <c r="I54" s="61">
        <v>1.0E7</v>
      </c>
      <c r="J54" s="59" t="s">
        <v>148</v>
      </c>
      <c r="K54" s="59" t="s">
        <v>174</v>
      </c>
      <c r="L54" s="63"/>
      <c r="M54" s="63"/>
      <c r="N54" s="63"/>
      <c r="O54" s="63"/>
      <c r="P54" s="59" t="s">
        <v>146</v>
      </c>
      <c r="Q54" s="59" t="s">
        <v>220</v>
      </c>
      <c r="R54" s="59" t="s">
        <v>148</v>
      </c>
      <c r="S54" s="64" t="s">
        <v>275</v>
      </c>
      <c r="T54" s="62" t="s">
        <v>147</v>
      </c>
      <c r="U54" s="62" t="s">
        <v>147</v>
      </c>
      <c r="V54" s="59" t="s">
        <v>239</v>
      </c>
      <c r="W54" s="62" t="s">
        <v>147</v>
      </c>
      <c r="X54" s="62" t="s">
        <v>154</v>
      </c>
      <c r="Y54" s="65" t="s">
        <v>155</v>
      </c>
      <c r="Z54" s="62" t="s">
        <v>240</v>
      </c>
    </row>
    <row r="55">
      <c r="A55" s="59" t="s">
        <v>276</v>
      </c>
      <c r="B55" s="60">
        <v>102.25</v>
      </c>
      <c r="C55" s="60">
        <v>0.0</v>
      </c>
      <c r="D55" s="60">
        <v>0.0</v>
      </c>
      <c r="E55" s="61">
        <v>90.0</v>
      </c>
      <c r="F55" s="61">
        <v>90.0</v>
      </c>
      <c r="G55" s="59" t="s">
        <v>146</v>
      </c>
      <c r="H55" s="61">
        <v>100.0</v>
      </c>
      <c r="I55" s="61">
        <v>1.0E7</v>
      </c>
      <c r="J55" s="59" t="s">
        <v>148</v>
      </c>
      <c r="K55" s="59" t="s">
        <v>174</v>
      </c>
      <c r="L55" s="63"/>
      <c r="M55" s="63"/>
      <c r="N55" s="63"/>
      <c r="O55" s="63"/>
      <c r="P55" s="59" t="s">
        <v>146</v>
      </c>
      <c r="Q55" s="59" t="s">
        <v>158</v>
      </c>
      <c r="R55" s="59" t="s">
        <v>148</v>
      </c>
      <c r="S55" s="64" t="s">
        <v>277</v>
      </c>
      <c r="T55" s="62" t="s">
        <v>147</v>
      </c>
      <c r="U55" s="62" t="s">
        <v>147</v>
      </c>
      <c r="V55" s="59" t="s">
        <v>239</v>
      </c>
      <c r="W55" s="62" t="s">
        <v>147</v>
      </c>
      <c r="X55" s="62" t="s">
        <v>154</v>
      </c>
      <c r="Y55" s="65" t="s">
        <v>155</v>
      </c>
      <c r="Z55" s="62" t="s">
        <v>240</v>
      </c>
    </row>
    <row r="56">
      <c r="A56" s="59" t="s">
        <v>278</v>
      </c>
      <c r="B56" s="60">
        <v>8.3</v>
      </c>
      <c r="C56" s="60">
        <v>0.0</v>
      </c>
      <c r="D56" s="60">
        <v>0.0</v>
      </c>
      <c r="E56" s="61">
        <v>720.0</v>
      </c>
      <c r="F56" s="61">
        <v>720.0</v>
      </c>
      <c r="G56" s="59" t="s">
        <v>146</v>
      </c>
      <c r="H56" s="61">
        <v>500.0</v>
      </c>
      <c r="I56" s="61">
        <v>1.0E7</v>
      </c>
      <c r="J56" s="59" t="s">
        <v>148</v>
      </c>
      <c r="K56" s="59" t="s">
        <v>174</v>
      </c>
      <c r="L56" s="63"/>
      <c r="M56" s="63"/>
      <c r="N56" s="63"/>
      <c r="O56" s="63"/>
      <c r="P56" s="59" t="s">
        <v>146</v>
      </c>
      <c r="Q56" s="59" t="s">
        <v>232</v>
      </c>
      <c r="R56" s="59" t="s">
        <v>148</v>
      </c>
      <c r="S56" s="64" t="s">
        <v>279</v>
      </c>
      <c r="T56" s="62" t="s">
        <v>147</v>
      </c>
      <c r="U56" s="62" t="s">
        <v>147</v>
      </c>
      <c r="V56" s="59" t="s">
        <v>239</v>
      </c>
      <c r="W56" s="62" t="s">
        <v>147</v>
      </c>
      <c r="X56" s="62" t="s">
        <v>154</v>
      </c>
      <c r="Y56" s="65" t="s">
        <v>155</v>
      </c>
      <c r="Z56" s="62" t="s">
        <v>240</v>
      </c>
    </row>
    <row r="57">
      <c r="A57" s="59" t="s">
        <v>280</v>
      </c>
      <c r="B57" s="60">
        <v>8.4</v>
      </c>
      <c r="C57" s="60">
        <v>0.0</v>
      </c>
      <c r="D57" s="60">
        <v>0.0</v>
      </c>
      <c r="E57" s="61">
        <v>365.0</v>
      </c>
      <c r="F57" s="61">
        <v>365.0</v>
      </c>
      <c r="G57" s="59" t="s">
        <v>146</v>
      </c>
      <c r="H57" s="61">
        <v>500.0</v>
      </c>
      <c r="I57" s="61">
        <v>1.0E7</v>
      </c>
      <c r="J57" s="59" t="s">
        <v>148</v>
      </c>
      <c r="K57" s="59" t="s">
        <v>174</v>
      </c>
      <c r="L57" s="63"/>
      <c r="M57" s="63"/>
      <c r="N57" s="63"/>
      <c r="O57" s="63"/>
      <c r="P57" s="59" t="s">
        <v>146</v>
      </c>
      <c r="Q57" s="59" t="s">
        <v>232</v>
      </c>
      <c r="R57" s="59" t="s">
        <v>148</v>
      </c>
      <c r="S57" s="64" t="s">
        <v>281</v>
      </c>
      <c r="T57" s="66" t="s">
        <v>147</v>
      </c>
      <c r="U57" s="66" t="s">
        <v>147</v>
      </c>
      <c r="V57" s="59" t="s">
        <v>239</v>
      </c>
      <c r="W57" s="66" t="s">
        <v>147</v>
      </c>
      <c r="X57" s="66" t="s">
        <v>162</v>
      </c>
      <c r="Y57" s="65" t="s">
        <v>155</v>
      </c>
      <c r="Z57" s="66" t="s">
        <v>240</v>
      </c>
    </row>
    <row r="58">
      <c r="A58" s="59" t="s">
        <v>282</v>
      </c>
      <c r="B58" s="60">
        <v>102.0</v>
      </c>
      <c r="C58" s="60">
        <v>0.0</v>
      </c>
      <c r="D58" s="60">
        <v>0.0</v>
      </c>
      <c r="E58" s="61">
        <v>1440.0</v>
      </c>
      <c r="F58" s="61">
        <v>0.0</v>
      </c>
      <c r="G58" s="59" t="s">
        <v>146</v>
      </c>
      <c r="H58" s="61">
        <v>100.0</v>
      </c>
      <c r="I58" s="61">
        <v>1.0E7</v>
      </c>
      <c r="J58" s="59" t="s">
        <v>148</v>
      </c>
      <c r="K58" s="59" t="s">
        <v>174</v>
      </c>
      <c r="L58" s="63"/>
      <c r="M58" s="63"/>
      <c r="N58" s="63"/>
      <c r="O58" s="63"/>
      <c r="P58" s="59" t="s">
        <v>146</v>
      </c>
      <c r="Q58" s="59" t="s">
        <v>158</v>
      </c>
      <c r="R58" s="59" t="s">
        <v>148</v>
      </c>
      <c r="S58" s="64" t="s">
        <v>283</v>
      </c>
      <c r="T58" s="62" t="s">
        <v>147</v>
      </c>
      <c r="U58" s="62" t="s">
        <v>147</v>
      </c>
      <c r="V58" s="59" t="s">
        <v>239</v>
      </c>
      <c r="W58" s="62" t="s">
        <v>147</v>
      </c>
      <c r="X58" s="62" t="s">
        <v>154</v>
      </c>
      <c r="Y58" s="65" t="s">
        <v>155</v>
      </c>
      <c r="Z58" s="62" t="s">
        <v>240</v>
      </c>
    </row>
    <row r="59">
      <c r="A59" s="59" t="s">
        <v>284</v>
      </c>
      <c r="B59" s="60">
        <v>100.0</v>
      </c>
      <c r="C59" s="60">
        <v>0.0</v>
      </c>
      <c r="D59" s="60">
        <v>0.0</v>
      </c>
      <c r="E59" s="61">
        <v>90.0</v>
      </c>
      <c r="F59" s="61">
        <v>90.0</v>
      </c>
      <c r="G59" s="59" t="s">
        <v>146</v>
      </c>
      <c r="H59" s="61">
        <v>200.0</v>
      </c>
      <c r="I59" s="62" t="s">
        <v>147</v>
      </c>
      <c r="J59" s="59" t="s">
        <v>146</v>
      </c>
      <c r="K59" s="59" t="s">
        <v>174</v>
      </c>
      <c r="L59" s="62" t="s">
        <v>147</v>
      </c>
      <c r="M59" s="62" t="s">
        <v>147</v>
      </c>
      <c r="N59" s="62" t="s">
        <v>147</v>
      </c>
      <c r="O59" s="62" t="s">
        <v>147</v>
      </c>
      <c r="P59" s="59" t="s">
        <v>148</v>
      </c>
      <c r="Q59" s="59" t="s">
        <v>158</v>
      </c>
      <c r="R59" s="59" t="s">
        <v>148</v>
      </c>
      <c r="S59" s="64" t="s">
        <v>285</v>
      </c>
      <c r="T59" s="59" t="s">
        <v>286</v>
      </c>
      <c r="U59" s="62" t="s">
        <v>147</v>
      </c>
      <c r="V59" s="59" t="s">
        <v>161</v>
      </c>
      <c r="W59" s="62" t="s">
        <v>147</v>
      </c>
      <c r="X59" s="62" t="s">
        <v>154</v>
      </c>
      <c r="Y59" s="67" t="s">
        <v>176</v>
      </c>
      <c r="Z59" s="62" t="s">
        <v>287</v>
      </c>
    </row>
    <row r="60">
      <c r="A60" s="59" t="s">
        <v>288</v>
      </c>
      <c r="B60" s="60">
        <v>115.0</v>
      </c>
      <c r="C60" s="60">
        <v>0.0</v>
      </c>
      <c r="D60" s="60">
        <v>0.0</v>
      </c>
      <c r="E60" s="61">
        <v>90.0</v>
      </c>
      <c r="F60" s="61">
        <v>90.0</v>
      </c>
      <c r="G60" s="59" t="s">
        <v>146</v>
      </c>
      <c r="H60" s="61">
        <v>100.0</v>
      </c>
      <c r="I60" s="62" t="s">
        <v>147</v>
      </c>
      <c r="J60" s="59" t="s">
        <v>146</v>
      </c>
      <c r="K60" s="59" t="s">
        <v>174</v>
      </c>
      <c r="L60" s="62" t="s">
        <v>147</v>
      </c>
      <c r="M60" s="62" t="s">
        <v>147</v>
      </c>
      <c r="N60" s="62" t="s">
        <v>147</v>
      </c>
      <c r="O60" s="62" t="s">
        <v>147</v>
      </c>
      <c r="P60" s="59" t="s">
        <v>148</v>
      </c>
      <c r="Q60" s="59" t="s">
        <v>158</v>
      </c>
      <c r="R60" s="59" t="s">
        <v>148</v>
      </c>
      <c r="S60" s="64" t="s">
        <v>289</v>
      </c>
      <c r="T60" s="59" t="s">
        <v>286</v>
      </c>
      <c r="U60" s="62" t="s">
        <v>147</v>
      </c>
      <c r="V60" s="59" t="s">
        <v>161</v>
      </c>
      <c r="W60" s="62" t="s">
        <v>147</v>
      </c>
      <c r="X60" s="62" t="s">
        <v>154</v>
      </c>
      <c r="Y60" s="67" t="s">
        <v>176</v>
      </c>
      <c r="Z60" s="62" t="s">
        <v>287</v>
      </c>
    </row>
    <row r="61">
      <c r="A61" s="59" t="s">
        <v>290</v>
      </c>
      <c r="B61" s="60">
        <v>120.0</v>
      </c>
      <c r="C61" s="60">
        <v>0.0</v>
      </c>
      <c r="D61" s="60">
        <v>0.0</v>
      </c>
      <c r="E61" s="61">
        <v>90.0</v>
      </c>
      <c r="F61" s="61">
        <v>90.0</v>
      </c>
      <c r="G61" s="59" t="s">
        <v>146</v>
      </c>
      <c r="H61" s="61">
        <v>100.0</v>
      </c>
      <c r="I61" s="62" t="s">
        <v>147</v>
      </c>
      <c r="J61" s="59" t="s">
        <v>146</v>
      </c>
      <c r="K61" s="59" t="s">
        <v>174</v>
      </c>
      <c r="L61" s="62" t="s">
        <v>147</v>
      </c>
      <c r="M61" s="62" t="s">
        <v>147</v>
      </c>
      <c r="N61" s="62" t="s">
        <v>147</v>
      </c>
      <c r="O61" s="62" t="s">
        <v>147</v>
      </c>
      <c r="P61" s="59" t="s">
        <v>148</v>
      </c>
      <c r="Q61" s="59" t="s">
        <v>158</v>
      </c>
      <c r="R61" s="59" t="s">
        <v>148</v>
      </c>
      <c r="S61" s="64" t="s">
        <v>291</v>
      </c>
      <c r="T61" s="59" t="s">
        <v>286</v>
      </c>
      <c r="U61" s="62" t="s">
        <v>147</v>
      </c>
      <c r="V61" s="59" t="s">
        <v>161</v>
      </c>
      <c r="W61" s="62" t="s">
        <v>147</v>
      </c>
      <c r="X61" s="62" t="s">
        <v>154</v>
      </c>
      <c r="Y61" s="67" t="s">
        <v>176</v>
      </c>
      <c r="Z61" s="62" t="s">
        <v>287</v>
      </c>
    </row>
    <row r="62">
      <c r="A62" s="59" t="s">
        <v>292</v>
      </c>
      <c r="B62" s="60">
        <v>120.0</v>
      </c>
      <c r="C62" s="60">
        <v>0.0</v>
      </c>
      <c r="D62" s="60">
        <v>0.0</v>
      </c>
      <c r="E62" s="61">
        <v>180.0</v>
      </c>
      <c r="F62" s="61">
        <v>180.0</v>
      </c>
      <c r="G62" s="59" t="s">
        <v>146</v>
      </c>
      <c r="H62" s="61">
        <v>100.0</v>
      </c>
      <c r="I62" s="62" t="s">
        <v>147</v>
      </c>
      <c r="J62" s="59" t="s">
        <v>146</v>
      </c>
      <c r="K62" s="59" t="s">
        <v>174</v>
      </c>
      <c r="L62" s="62" t="s">
        <v>147</v>
      </c>
      <c r="M62" s="62" t="s">
        <v>147</v>
      </c>
      <c r="N62" s="62" t="s">
        <v>147</v>
      </c>
      <c r="O62" s="62" t="s">
        <v>147</v>
      </c>
      <c r="P62" s="59" t="s">
        <v>148</v>
      </c>
      <c r="Q62" s="59" t="s">
        <v>158</v>
      </c>
      <c r="R62" s="59" t="s">
        <v>148</v>
      </c>
      <c r="S62" s="64" t="s">
        <v>293</v>
      </c>
      <c r="T62" s="59" t="s">
        <v>286</v>
      </c>
      <c r="U62" s="62" t="s">
        <v>147</v>
      </c>
      <c r="V62" s="59" t="s">
        <v>161</v>
      </c>
      <c r="W62" s="62" t="s">
        <v>147</v>
      </c>
      <c r="X62" s="62" t="s">
        <v>154</v>
      </c>
      <c r="Y62" s="67" t="s">
        <v>176</v>
      </c>
      <c r="Z62" s="62" t="s">
        <v>287</v>
      </c>
    </row>
    <row r="63">
      <c r="A63" s="59" t="s">
        <v>294</v>
      </c>
      <c r="B63" s="60">
        <v>106.0</v>
      </c>
      <c r="C63" s="60">
        <v>0.0</v>
      </c>
      <c r="D63" s="60">
        <v>0.0</v>
      </c>
      <c r="E63" s="61">
        <v>365.0</v>
      </c>
      <c r="F63" s="61">
        <v>365.0</v>
      </c>
      <c r="G63" s="59" t="s">
        <v>146</v>
      </c>
      <c r="H63" s="61">
        <v>100.0</v>
      </c>
      <c r="I63" s="62" t="s">
        <v>147</v>
      </c>
      <c r="J63" s="59" t="s">
        <v>148</v>
      </c>
      <c r="K63" s="59" t="s">
        <v>174</v>
      </c>
      <c r="L63" s="63"/>
      <c r="M63" s="63"/>
      <c r="N63" s="63"/>
      <c r="O63" s="63"/>
      <c r="P63" s="59" t="s">
        <v>146</v>
      </c>
      <c r="Q63" s="59" t="s">
        <v>158</v>
      </c>
      <c r="R63" s="59" t="s">
        <v>148</v>
      </c>
      <c r="S63" s="64" t="s">
        <v>295</v>
      </c>
      <c r="T63" s="59" t="s">
        <v>286</v>
      </c>
      <c r="U63" s="62" t="s">
        <v>147</v>
      </c>
      <c r="V63" s="59" t="s">
        <v>161</v>
      </c>
      <c r="W63" s="62" t="s">
        <v>147</v>
      </c>
      <c r="X63" s="62" t="s">
        <v>154</v>
      </c>
      <c r="Y63" s="65" t="s">
        <v>155</v>
      </c>
      <c r="Z63" s="62" t="s">
        <v>156</v>
      </c>
    </row>
    <row r="64">
      <c r="A64" s="59" t="s">
        <v>296</v>
      </c>
      <c r="B64" s="60">
        <v>107.25</v>
      </c>
      <c r="C64" s="60">
        <v>0.0</v>
      </c>
      <c r="D64" s="60">
        <v>0.0</v>
      </c>
      <c r="E64" s="61">
        <v>540.0</v>
      </c>
      <c r="F64" s="61">
        <v>540.0</v>
      </c>
      <c r="G64" s="59" t="s">
        <v>146</v>
      </c>
      <c r="H64" s="61">
        <v>100.0</v>
      </c>
      <c r="I64" s="62" t="s">
        <v>147</v>
      </c>
      <c r="J64" s="59" t="s">
        <v>148</v>
      </c>
      <c r="K64" s="59" t="s">
        <v>174</v>
      </c>
      <c r="L64" s="63"/>
      <c r="M64" s="63"/>
      <c r="N64" s="63"/>
      <c r="O64" s="63"/>
      <c r="P64" s="59" t="s">
        <v>146</v>
      </c>
      <c r="Q64" s="59" t="s">
        <v>158</v>
      </c>
      <c r="R64" s="59" t="s">
        <v>148</v>
      </c>
      <c r="S64" s="64" t="s">
        <v>297</v>
      </c>
      <c r="T64" s="59" t="s">
        <v>286</v>
      </c>
      <c r="U64" s="62" t="s">
        <v>147</v>
      </c>
      <c r="V64" s="59" t="s">
        <v>161</v>
      </c>
      <c r="W64" s="62" t="s">
        <v>147</v>
      </c>
      <c r="X64" s="62" t="s">
        <v>154</v>
      </c>
      <c r="Y64" s="65" t="s">
        <v>155</v>
      </c>
      <c r="Z64" s="62" t="s">
        <v>156</v>
      </c>
    </row>
    <row r="65">
      <c r="A65" s="59" t="s">
        <v>298</v>
      </c>
      <c r="B65" s="60">
        <v>108.0</v>
      </c>
      <c r="C65" s="60">
        <v>0.0</v>
      </c>
      <c r="D65" s="60">
        <v>0.0</v>
      </c>
      <c r="E65" s="61">
        <v>730.0</v>
      </c>
      <c r="F65" s="61">
        <v>730.0</v>
      </c>
      <c r="G65" s="59" t="s">
        <v>146</v>
      </c>
      <c r="H65" s="61">
        <v>100.0</v>
      </c>
      <c r="I65" s="66" t="s">
        <v>147</v>
      </c>
      <c r="J65" s="59" t="s">
        <v>148</v>
      </c>
      <c r="K65" s="59" t="s">
        <v>174</v>
      </c>
      <c r="L65" s="63"/>
      <c r="M65" s="63"/>
      <c r="N65" s="63"/>
      <c r="O65" s="63"/>
      <c r="P65" s="59" t="s">
        <v>146</v>
      </c>
      <c r="Q65" s="59" t="s">
        <v>158</v>
      </c>
      <c r="R65" s="59" t="s">
        <v>148</v>
      </c>
      <c r="S65" s="64" t="s">
        <v>299</v>
      </c>
      <c r="T65" s="59" t="s">
        <v>286</v>
      </c>
      <c r="U65" s="66" t="s">
        <v>147</v>
      </c>
      <c r="V65" s="59" t="s">
        <v>161</v>
      </c>
      <c r="W65" s="66" t="s">
        <v>147</v>
      </c>
      <c r="X65" s="66" t="s">
        <v>162</v>
      </c>
      <c r="Y65" s="65" t="s">
        <v>155</v>
      </c>
      <c r="Z65" s="66" t="s">
        <v>156</v>
      </c>
    </row>
    <row r="66">
      <c r="A66" s="59" t="s">
        <v>300</v>
      </c>
      <c r="B66" s="60">
        <v>108.75</v>
      </c>
      <c r="C66" s="60">
        <v>0.0</v>
      </c>
      <c r="D66" s="60">
        <v>0.0</v>
      </c>
      <c r="E66" s="61">
        <v>1095.0</v>
      </c>
      <c r="F66" s="61">
        <v>1095.0</v>
      </c>
      <c r="G66" s="59" t="s">
        <v>146</v>
      </c>
      <c r="H66" s="61">
        <v>100.0</v>
      </c>
      <c r="I66" s="62" t="s">
        <v>147</v>
      </c>
      <c r="J66" s="59" t="s">
        <v>148</v>
      </c>
      <c r="K66" s="59" t="s">
        <v>174</v>
      </c>
      <c r="L66" s="63"/>
      <c r="M66" s="63"/>
      <c r="N66" s="63"/>
      <c r="O66" s="63"/>
      <c r="P66" s="59" t="s">
        <v>146</v>
      </c>
      <c r="Q66" s="59" t="s">
        <v>158</v>
      </c>
      <c r="R66" s="59" t="s">
        <v>148</v>
      </c>
      <c r="S66" s="64" t="s">
        <v>301</v>
      </c>
      <c r="T66" s="59" t="s">
        <v>286</v>
      </c>
      <c r="U66" s="62" t="s">
        <v>147</v>
      </c>
      <c r="V66" s="59" t="s">
        <v>161</v>
      </c>
      <c r="W66" s="62" t="s">
        <v>147</v>
      </c>
      <c r="X66" s="62" t="s">
        <v>154</v>
      </c>
      <c r="Y66" s="65" t="s">
        <v>155</v>
      </c>
      <c r="Z66" s="62" t="s">
        <v>156</v>
      </c>
    </row>
    <row r="67">
      <c r="A67" s="59" t="s">
        <v>302</v>
      </c>
      <c r="B67" s="60">
        <v>102.25</v>
      </c>
      <c r="C67" s="60">
        <v>0.0</v>
      </c>
      <c r="D67" s="60">
        <v>0.0</v>
      </c>
      <c r="E67" s="61">
        <v>90.0</v>
      </c>
      <c r="F67" s="61">
        <v>90.0</v>
      </c>
      <c r="G67" s="59" t="s">
        <v>146</v>
      </c>
      <c r="H67" s="61">
        <v>100.0</v>
      </c>
      <c r="I67" s="62" t="s">
        <v>147</v>
      </c>
      <c r="J67" s="59" t="s">
        <v>148</v>
      </c>
      <c r="K67" s="59" t="s">
        <v>174</v>
      </c>
      <c r="L67" s="63"/>
      <c r="M67" s="63"/>
      <c r="N67" s="63"/>
      <c r="O67" s="63"/>
      <c r="P67" s="59" t="s">
        <v>146</v>
      </c>
      <c r="Q67" s="59" t="s">
        <v>158</v>
      </c>
      <c r="R67" s="59" t="s">
        <v>148</v>
      </c>
      <c r="S67" s="64" t="s">
        <v>303</v>
      </c>
      <c r="T67" s="59" t="s">
        <v>286</v>
      </c>
      <c r="U67" s="62" t="s">
        <v>147</v>
      </c>
      <c r="V67" s="59" t="s">
        <v>161</v>
      </c>
      <c r="W67" s="62" t="s">
        <v>147</v>
      </c>
      <c r="X67" s="62" t="s">
        <v>154</v>
      </c>
      <c r="Y67" s="65" t="s">
        <v>155</v>
      </c>
      <c r="Z67" s="62" t="s">
        <v>156</v>
      </c>
    </row>
    <row r="68">
      <c r="A68" s="59" t="s">
        <v>304</v>
      </c>
      <c r="B68" s="60">
        <v>109.0</v>
      </c>
      <c r="C68" s="60">
        <v>0.0</v>
      </c>
      <c r="D68" s="60">
        <v>0.0</v>
      </c>
      <c r="E68" s="61">
        <v>1460.0</v>
      </c>
      <c r="F68" s="61">
        <v>1460.0</v>
      </c>
      <c r="G68" s="59" t="s">
        <v>146</v>
      </c>
      <c r="H68" s="61">
        <v>100.0</v>
      </c>
      <c r="I68" s="62" t="s">
        <v>147</v>
      </c>
      <c r="J68" s="59" t="s">
        <v>148</v>
      </c>
      <c r="K68" s="59" t="s">
        <v>174</v>
      </c>
      <c r="L68" s="63"/>
      <c r="M68" s="63"/>
      <c r="N68" s="63"/>
      <c r="O68" s="63"/>
      <c r="P68" s="59" t="s">
        <v>146</v>
      </c>
      <c r="Q68" s="59" t="s">
        <v>158</v>
      </c>
      <c r="R68" s="59" t="s">
        <v>148</v>
      </c>
      <c r="S68" s="64" t="s">
        <v>305</v>
      </c>
      <c r="T68" s="59" t="s">
        <v>286</v>
      </c>
      <c r="U68" s="62" t="s">
        <v>147</v>
      </c>
      <c r="V68" s="59" t="s">
        <v>161</v>
      </c>
      <c r="W68" s="62" t="s">
        <v>147</v>
      </c>
      <c r="X68" s="62" t="s">
        <v>154</v>
      </c>
      <c r="Y68" s="65" t="s">
        <v>155</v>
      </c>
      <c r="Z68" s="62" t="s">
        <v>156</v>
      </c>
    </row>
    <row r="69">
      <c r="A69" s="59" t="s">
        <v>306</v>
      </c>
      <c r="B69" s="60">
        <v>110.0</v>
      </c>
      <c r="C69" s="60">
        <v>0.0</v>
      </c>
      <c r="D69" s="60">
        <v>0.0</v>
      </c>
      <c r="E69" s="61">
        <v>1825.0</v>
      </c>
      <c r="F69" s="61">
        <v>1825.0</v>
      </c>
      <c r="G69" s="59" t="s">
        <v>146</v>
      </c>
      <c r="H69" s="61">
        <v>100.0</v>
      </c>
      <c r="I69" s="62" t="s">
        <v>147</v>
      </c>
      <c r="J69" s="59" t="s">
        <v>148</v>
      </c>
      <c r="K69" s="59" t="s">
        <v>174</v>
      </c>
      <c r="L69" s="63"/>
      <c r="M69" s="63"/>
      <c r="N69" s="63"/>
      <c r="O69" s="63"/>
      <c r="P69" s="59" t="s">
        <v>146</v>
      </c>
      <c r="Q69" s="59" t="s">
        <v>158</v>
      </c>
      <c r="R69" s="59" t="s">
        <v>148</v>
      </c>
      <c r="S69" s="64" t="s">
        <v>307</v>
      </c>
      <c r="T69" s="59" t="s">
        <v>286</v>
      </c>
      <c r="U69" s="62" t="s">
        <v>147</v>
      </c>
      <c r="V69" s="59" t="s">
        <v>161</v>
      </c>
      <c r="W69" s="62" t="s">
        <v>147</v>
      </c>
      <c r="X69" s="62" t="s">
        <v>154</v>
      </c>
      <c r="Y69" s="65" t="s">
        <v>155</v>
      </c>
      <c r="Z69" s="62" t="s">
        <v>156</v>
      </c>
    </row>
    <row r="70">
      <c r="A70" s="59" t="s">
        <v>308</v>
      </c>
      <c r="B70" s="60">
        <v>103.25</v>
      </c>
      <c r="C70" s="60">
        <v>0.0</v>
      </c>
      <c r="D70" s="60">
        <v>0.0</v>
      </c>
      <c r="E70" s="61">
        <v>180.0</v>
      </c>
      <c r="F70" s="61">
        <v>180.0</v>
      </c>
      <c r="G70" s="59" t="s">
        <v>146</v>
      </c>
      <c r="H70" s="61">
        <v>100.0</v>
      </c>
      <c r="I70" s="62" t="s">
        <v>147</v>
      </c>
      <c r="J70" s="59" t="s">
        <v>148</v>
      </c>
      <c r="K70" s="59" t="s">
        <v>174</v>
      </c>
      <c r="L70" s="63"/>
      <c r="M70" s="63"/>
      <c r="N70" s="63"/>
      <c r="O70" s="63"/>
      <c r="P70" s="59" t="s">
        <v>146</v>
      </c>
      <c r="Q70" s="59" t="s">
        <v>158</v>
      </c>
      <c r="R70" s="59" t="s">
        <v>148</v>
      </c>
      <c r="S70" s="64" t="s">
        <v>309</v>
      </c>
      <c r="T70" s="59" t="s">
        <v>286</v>
      </c>
      <c r="U70" s="62" t="s">
        <v>147</v>
      </c>
      <c r="V70" s="59" t="s">
        <v>161</v>
      </c>
      <c r="W70" s="62" t="s">
        <v>147</v>
      </c>
      <c r="X70" s="62" t="s">
        <v>154</v>
      </c>
      <c r="Y70" s="65" t="s">
        <v>155</v>
      </c>
      <c r="Z70" s="62" t="s">
        <v>156</v>
      </c>
    </row>
    <row r="71">
      <c r="A71" s="59" t="s">
        <v>310</v>
      </c>
      <c r="B71" s="60">
        <v>102.0</v>
      </c>
      <c r="C71" s="60">
        <v>0.0</v>
      </c>
      <c r="D71" s="60">
        <v>0.0</v>
      </c>
      <c r="E71" s="61">
        <v>1440.0</v>
      </c>
      <c r="F71" s="61">
        <v>0.0</v>
      </c>
      <c r="G71" s="59" t="s">
        <v>146</v>
      </c>
      <c r="H71" s="61">
        <v>100.0</v>
      </c>
      <c r="I71" s="62" t="s">
        <v>147</v>
      </c>
      <c r="J71" s="59" t="s">
        <v>148</v>
      </c>
      <c r="K71" s="59" t="s">
        <v>174</v>
      </c>
      <c r="L71" s="63"/>
      <c r="M71" s="63"/>
      <c r="N71" s="63"/>
      <c r="O71" s="63"/>
      <c r="P71" s="59" t="s">
        <v>146</v>
      </c>
      <c r="Q71" s="59" t="s">
        <v>158</v>
      </c>
      <c r="R71" s="59" t="s">
        <v>148</v>
      </c>
      <c r="S71" s="64" t="s">
        <v>311</v>
      </c>
      <c r="T71" s="59" t="s">
        <v>286</v>
      </c>
      <c r="U71" s="62" t="s">
        <v>147</v>
      </c>
      <c r="V71" s="59" t="s">
        <v>161</v>
      </c>
      <c r="W71" s="62" t="s">
        <v>147</v>
      </c>
      <c r="X71" s="62" t="s">
        <v>154</v>
      </c>
      <c r="Y71" s="65" t="s">
        <v>155</v>
      </c>
      <c r="Z71" s="62" t="s">
        <v>156</v>
      </c>
    </row>
    <row r="72">
      <c r="A72" s="59" t="s">
        <v>312</v>
      </c>
      <c r="B72" s="60">
        <v>8.5</v>
      </c>
      <c r="C72" s="60">
        <v>0.0</v>
      </c>
      <c r="D72" s="60">
        <v>0.0</v>
      </c>
      <c r="E72" s="61">
        <v>720.0</v>
      </c>
      <c r="F72" s="61">
        <v>720.0</v>
      </c>
      <c r="G72" s="59" t="s">
        <v>146</v>
      </c>
      <c r="H72" s="61">
        <v>1000.0</v>
      </c>
      <c r="I72" s="66" t="s">
        <v>147</v>
      </c>
      <c r="J72" s="59" t="s">
        <v>148</v>
      </c>
      <c r="K72" s="59" t="s">
        <v>174</v>
      </c>
      <c r="L72" s="63"/>
      <c r="M72" s="63"/>
      <c r="N72" s="63"/>
      <c r="O72" s="63"/>
      <c r="P72" s="59" t="s">
        <v>146</v>
      </c>
      <c r="Q72" s="59" t="s">
        <v>232</v>
      </c>
      <c r="R72" s="59" t="s">
        <v>148</v>
      </c>
      <c r="S72" s="64" t="s">
        <v>313</v>
      </c>
      <c r="T72" s="59" t="s">
        <v>314</v>
      </c>
      <c r="U72" s="66" t="s">
        <v>147</v>
      </c>
      <c r="V72" s="59" t="s">
        <v>153</v>
      </c>
      <c r="W72" s="66" t="s">
        <v>147</v>
      </c>
      <c r="X72" s="66" t="s">
        <v>162</v>
      </c>
      <c r="Y72" s="65" t="s">
        <v>155</v>
      </c>
      <c r="Z72" s="66" t="s">
        <v>156</v>
      </c>
    </row>
    <row r="73">
      <c r="A73" s="59" t="s">
        <v>315</v>
      </c>
      <c r="B73" s="60">
        <v>13.5</v>
      </c>
      <c r="C73" s="60">
        <v>0.0</v>
      </c>
      <c r="D73" s="60">
        <v>0.0</v>
      </c>
      <c r="E73" s="61">
        <v>720.0</v>
      </c>
      <c r="F73" s="61">
        <v>720.0</v>
      </c>
      <c r="G73" s="59" t="s">
        <v>146</v>
      </c>
      <c r="H73" s="61">
        <v>1000.0</v>
      </c>
      <c r="I73" s="62" t="s">
        <v>147</v>
      </c>
      <c r="J73" s="59" t="s">
        <v>148</v>
      </c>
      <c r="K73" s="59" t="s">
        <v>174</v>
      </c>
      <c r="L73" s="63"/>
      <c r="M73" s="63"/>
      <c r="N73" s="63"/>
      <c r="O73" s="63"/>
      <c r="P73" s="59" t="s">
        <v>146</v>
      </c>
      <c r="Q73" s="59" t="s">
        <v>220</v>
      </c>
      <c r="R73" s="59" t="s">
        <v>148</v>
      </c>
      <c r="S73" s="64" t="s">
        <v>316</v>
      </c>
      <c r="T73" s="62" t="s">
        <v>147</v>
      </c>
      <c r="U73" s="62" t="s">
        <v>147</v>
      </c>
      <c r="V73" s="59" t="s">
        <v>153</v>
      </c>
      <c r="W73" s="62" t="s">
        <v>147</v>
      </c>
      <c r="X73" s="62" t="s">
        <v>154</v>
      </c>
      <c r="Y73" s="67" t="s">
        <v>176</v>
      </c>
      <c r="Z73" s="62" t="s">
        <v>234</v>
      </c>
    </row>
    <row r="74">
      <c r="A74" s="59" t="s">
        <v>317</v>
      </c>
      <c r="B74" s="60">
        <v>13.76</v>
      </c>
      <c r="C74" s="60">
        <v>0.0</v>
      </c>
      <c r="D74" s="60">
        <v>0.0</v>
      </c>
      <c r="E74" s="61">
        <v>360.0</v>
      </c>
      <c r="F74" s="61">
        <v>360.0</v>
      </c>
      <c r="G74" s="59" t="s">
        <v>146</v>
      </c>
      <c r="H74" s="61">
        <v>1000.0</v>
      </c>
      <c r="I74" s="62" t="s">
        <v>147</v>
      </c>
      <c r="J74" s="59" t="s">
        <v>148</v>
      </c>
      <c r="K74" s="59" t="s">
        <v>174</v>
      </c>
      <c r="L74" s="63"/>
      <c r="M74" s="63"/>
      <c r="N74" s="63"/>
      <c r="O74" s="63"/>
      <c r="P74" s="59" t="s">
        <v>146</v>
      </c>
      <c r="Q74" s="59" t="s">
        <v>220</v>
      </c>
      <c r="R74" s="59" t="s">
        <v>148</v>
      </c>
      <c r="S74" s="64" t="s">
        <v>318</v>
      </c>
      <c r="T74" s="62" t="s">
        <v>147</v>
      </c>
      <c r="U74" s="62" t="s">
        <v>147</v>
      </c>
      <c r="V74" s="59" t="s">
        <v>153</v>
      </c>
      <c r="W74" s="62" t="s">
        <v>147</v>
      </c>
      <c r="X74" s="62" t="s">
        <v>154</v>
      </c>
      <c r="Y74" s="67" t="s">
        <v>176</v>
      </c>
      <c r="Z74" s="62" t="s">
        <v>234</v>
      </c>
    </row>
    <row r="75">
      <c r="A75" s="59" t="s">
        <v>319</v>
      </c>
      <c r="B75" s="60">
        <v>102.0</v>
      </c>
      <c r="C75" s="60">
        <v>0.0</v>
      </c>
      <c r="D75" s="60">
        <v>0.0</v>
      </c>
      <c r="E75" s="61">
        <v>366.0</v>
      </c>
      <c r="F75" s="61">
        <v>366.0</v>
      </c>
      <c r="G75" s="59" t="s">
        <v>146</v>
      </c>
      <c r="H75" s="61">
        <v>1.0</v>
      </c>
      <c r="I75" s="62" t="s">
        <v>147</v>
      </c>
      <c r="J75" s="59" t="s">
        <v>148</v>
      </c>
      <c r="K75" s="59" t="s">
        <v>174</v>
      </c>
      <c r="L75" s="63"/>
      <c r="M75" s="63"/>
      <c r="N75" s="63"/>
      <c r="O75" s="63"/>
      <c r="P75" s="59" t="s">
        <v>146</v>
      </c>
      <c r="Q75" s="59" t="s">
        <v>158</v>
      </c>
      <c r="R75" s="59" t="s">
        <v>148</v>
      </c>
      <c r="S75" s="64" t="s">
        <v>320</v>
      </c>
      <c r="T75" s="59" t="s">
        <v>321</v>
      </c>
      <c r="U75" s="62" t="s">
        <v>147</v>
      </c>
      <c r="V75" s="59" t="s">
        <v>161</v>
      </c>
      <c r="W75" s="62" t="s">
        <v>147</v>
      </c>
      <c r="X75" s="62" t="s">
        <v>154</v>
      </c>
      <c r="Y75" s="65" t="s">
        <v>155</v>
      </c>
      <c r="Z75" s="62" t="s">
        <v>156</v>
      </c>
    </row>
    <row r="76">
      <c r="A76" s="59" t="s">
        <v>322</v>
      </c>
      <c r="B76" s="60">
        <v>102.0</v>
      </c>
      <c r="C76" s="60">
        <v>0.0</v>
      </c>
      <c r="D76" s="60">
        <v>0.0</v>
      </c>
      <c r="E76" s="61">
        <v>546.0</v>
      </c>
      <c r="F76" s="61">
        <v>546.0</v>
      </c>
      <c r="G76" s="59" t="s">
        <v>146</v>
      </c>
      <c r="H76" s="61">
        <v>1.0</v>
      </c>
      <c r="I76" s="62" t="s">
        <v>147</v>
      </c>
      <c r="J76" s="59" t="s">
        <v>148</v>
      </c>
      <c r="K76" s="59" t="s">
        <v>174</v>
      </c>
      <c r="L76" s="63"/>
      <c r="M76" s="63"/>
      <c r="N76" s="63"/>
      <c r="O76" s="63"/>
      <c r="P76" s="59" t="s">
        <v>146</v>
      </c>
      <c r="Q76" s="59" t="s">
        <v>158</v>
      </c>
      <c r="R76" s="59" t="s">
        <v>148</v>
      </c>
      <c r="S76" s="64" t="s">
        <v>323</v>
      </c>
      <c r="T76" s="59" t="s">
        <v>321</v>
      </c>
      <c r="U76" s="62" t="s">
        <v>147</v>
      </c>
      <c r="V76" s="59" t="s">
        <v>161</v>
      </c>
      <c r="W76" s="62" t="s">
        <v>147</v>
      </c>
      <c r="X76" s="62" t="s">
        <v>154</v>
      </c>
      <c r="Y76" s="65" t="s">
        <v>155</v>
      </c>
      <c r="Z76" s="62" t="s">
        <v>156</v>
      </c>
    </row>
    <row r="77">
      <c r="A77" s="59" t="s">
        <v>324</v>
      </c>
      <c r="B77" s="60">
        <v>104.0</v>
      </c>
      <c r="C77" s="60">
        <v>0.0</v>
      </c>
      <c r="D77" s="60">
        <v>0.0</v>
      </c>
      <c r="E77" s="61">
        <v>726.0</v>
      </c>
      <c r="F77" s="61">
        <v>726.0</v>
      </c>
      <c r="G77" s="59" t="s">
        <v>146</v>
      </c>
      <c r="H77" s="61">
        <v>1.0</v>
      </c>
      <c r="I77" s="62" t="s">
        <v>147</v>
      </c>
      <c r="J77" s="59" t="s">
        <v>148</v>
      </c>
      <c r="K77" s="59" t="s">
        <v>174</v>
      </c>
      <c r="L77" s="63"/>
      <c r="M77" s="63"/>
      <c r="N77" s="63"/>
      <c r="O77" s="63"/>
      <c r="P77" s="59" t="s">
        <v>146</v>
      </c>
      <c r="Q77" s="59" t="s">
        <v>158</v>
      </c>
      <c r="R77" s="59" t="s">
        <v>148</v>
      </c>
      <c r="S77" s="64" t="s">
        <v>325</v>
      </c>
      <c r="T77" s="59" t="s">
        <v>321</v>
      </c>
      <c r="U77" s="62" t="s">
        <v>147</v>
      </c>
      <c r="V77" s="59" t="s">
        <v>161</v>
      </c>
      <c r="W77" s="62" t="s">
        <v>147</v>
      </c>
      <c r="X77" s="62" t="s">
        <v>154</v>
      </c>
      <c r="Y77" s="65" t="s">
        <v>155</v>
      </c>
      <c r="Z77" s="62" t="s">
        <v>156</v>
      </c>
    </row>
    <row r="78">
      <c r="A78" s="59" t="s">
        <v>73</v>
      </c>
      <c r="B78" s="60">
        <v>105.0</v>
      </c>
      <c r="C78" s="60">
        <v>0.0</v>
      </c>
      <c r="D78" s="60">
        <v>0.0</v>
      </c>
      <c r="E78" s="61">
        <v>1080.0</v>
      </c>
      <c r="F78" s="61">
        <v>0.0</v>
      </c>
      <c r="G78" s="59" t="s">
        <v>146</v>
      </c>
      <c r="H78" s="61">
        <v>1.0</v>
      </c>
      <c r="I78" s="62" t="s">
        <v>147</v>
      </c>
      <c r="J78" s="59" t="s">
        <v>148</v>
      </c>
      <c r="K78" s="59" t="s">
        <v>174</v>
      </c>
      <c r="L78" s="63"/>
      <c r="M78" s="63"/>
      <c r="N78" s="63"/>
      <c r="O78" s="63"/>
      <c r="P78" s="59" t="s">
        <v>146</v>
      </c>
      <c r="Q78" s="59" t="s">
        <v>158</v>
      </c>
      <c r="R78" s="59" t="s">
        <v>148</v>
      </c>
      <c r="S78" s="64" t="s">
        <v>326</v>
      </c>
      <c r="T78" s="59" t="s">
        <v>321</v>
      </c>
      <c r="U78" s="62" t="s">
        <v>147</v>
      </c>
      <c r="V78" s="59" t="s">
        <v>161</v>
      </c>
      <c r="W78" s="62" t="s">
        <v>147</v>
      </c>
      <c r="X78" s="62" t="s">
        <v>154</v>
      </c>
      <c r="Y78" s="65" t="s">
        <v>155</v>
      </c>
      <c r="Z78" s="62" t="s">
        <v>156</v>
      </c>
    </row>
    <row r="79">
      <c r="A79" s="59" t="s">
        <v>327</v>
      </c>
      <c r="B79" s="60">
        <v>106.0</v>
      </c>
      <c r="C79" s="60">
        <v>0.0</v>
      </c>
      <c r="D79" s="60">
        <v>0.0</v>
      </c>
      <c r="E79" s="61">
        <v>1086.0</v>
      </c>
      <c r="F79" s="61">
        <v>1086.0</v>
      </c>
      <c r="G79" s="59" t="s">
        <v>146</v>
      </c>
      <c r="H79" s="61">
        <v>1.0</v>
      </c>
      <c r="I79" s="62" t="s">
        <v>147</v>
      </c>
      <c r="J79" s="59" t="s">
        <v>148</v>
      </c>
      <c r="K79" s="59" t="s">
        <v>174</v>
      </c>
      <c r="L79" s="63"/>
      <c r="M79" s="63"/>
      <c r="N79" s="63"/>
      <c r="O79" s="63"/>
      <c r="P79" s="59" t="s">
        <v>146</v>
      </c>
      <c r="Q79" s="59" t="s">
        <v>158</v>
      </c>
      <c r="R79" s="59" t="s">
        <v>148</v>
      </c>
      <c r="S79" s="64" t="s">
        <v>328</v>
      </c>
      <c r="T79" s="59" t="s">
        <v>321</v>
      </c>
      <c r="U79" s="62" t="s">
        <v>147</v>
      </c>
      <c r="V79" s="59" t="s">
        <v>161</v>
      </c>
      <c r="W79" s="62" t="s">
        <v>147</v>
      </c>
      <c r="X79" s="62" t="s">
        <v>154</v>
      </c>
      <c r="Y79" s="65" t="s">
        <v>155</v>
      </c>
      <c r="Z79" s="62" t="s">
        <v>156</v>
      </c>
    </row>
    <row r="80">
      <c r="A80" s="59" t="s">
        <v>329</v>
      </c>
      <c r="B80" s="60">
        <v>107.0</v>
      </c>
      <c r="C80" s="60">
        <v>0.0</v>
      </c>
      <c r="D80" s="60">
        <v>0.0</v>
      </c>
      <c r="E80" s="61">
        <v>1466.0</v>
      </c>
      <c r="F80" s="61">
        <v>1466.0</v>
      </c>
      <c r="G80" s="59" t="s">
        <v>146</v>
      </c>
      <c r="H80" s="61">
        <v>1.0</v>
      </c>
      <c r="I80" s="62" t="s">
        <v>147</v>
      </c>
      <c r="J80" s="59" t="s">
        <v>148</v>
      </c>
      <c r="K80" s="59" t="s">
        <v>174</v>
      </c>
      <c r="L80" s="63"/>
      <c r="M80" s="63"/>
      <c r="N80" s="63"/>
      <c r="O80" s="63"/>
      <c r="P80" s="59" t="s">
        <v>146</v>
      </c>
      <c r="Q80" s="59" t="s">
        <v>158</v>
      </c>
      <c r="R80" s="59" t="s">
        <v>148</v>
      </c>
      <c r="S80" s="64" t="s">
        <v>330</v>
      </c>
      <c r="T80" s="59" t="s">
        <v>321</v>
      </c>
      <c r="U80" s="62" t="s">
        <v>147</v>
      </c>
      <c r="V80" s="59" t="s">
        <v>153</v>
      </c>
      <c r="W80" s="62" t="s">
        <v>147</v>
      </c>
      <c r="X80" s="62" t="s">
        <v>154</v>
      </c>
      <c r="Y80" s="65" t="s">
        <v>155</v>
      </c>
      <c r="Z80" s="62" t="s">
        <v>156</v>
      </c>
    </row>
    <row r="81">
      <c r="A81" s="59" t="s">
        <v>331</v>
      </c>
      <c r="B81" s="60">
        <v>108.0</v>
      </c>
      <c r="C81" s="60">
        <v>0.0</v>
      </c>
      <c r="D81" s="60">
        <v>0.0</v>
      </c>
      <c r="E81" s="61">
        <v>1806.0</v>
      </c>
      <c r="F81" s="61">
        <v>1806.0</v>
      </c>
      <c r="G81" s="59" t="s">
        <v>146</v>
      </c>
      <c r="H81" s="61">
        <v>1.0</v>
      </c>
      <c r="I81" s="62" t="s">
        <v>147</v>
      </c>
      <c r="J81" s="59" t="s">
        <v>148</v>
      </c>
      <c r="K81" s="59" t="s">
        <v>174</v>
      </c>
      <c r="L81" s="63"/>
      <c r="M81" s="63"/>
      <c r="N81" s="63"/>
      <c r="O81" s="63"/>
      <c r="P81" s="59" t="s">
        <v>146</v>
      </c>
      <c r="Q81" s="59" t="s">
        <v>158</v>
      </c>
      <c r="R81" s="59" t="s">
        <v>148</v>
      </c>
      <c r="S81" s="64" t="s">
        <v>332</v>
      </c>
      <c r="T81" s="59" t="s">
        <v>321</v>
      </c>
      <c r="U81" s="62" t="s">
        <v>147</v>
      </c>
      <c r="V81" s="59" t="s">
        <v>153</v>
      </c>
      <c r="W81" s="62" t="s">
        <v>147</v>
      </c>
      <c r="X81" s="62" t="s">
        <v>154</v>
      </c>
      <c r="Y81" s="65" t="s">
        <v>155</v>
      </c>
      <c r="Z81" s="62" t="s">
        <v>156</v>
      </c>
    </row>
    <row r="82">
      <c r="A82" s="59" t="s">
        <v>333</v>
      </c>
      <c r="B82" s="60">
        <v>14.1</v>
      </c>
      <c r="C82" s="60">
        <v>0.0</v>
      </c>
      <c r="D82" s="60">
        <v>0.0</v>
      </c>
      <c r="E82" s="61">
        <v>186.0</v>
      </c>
      <c r="F82" s="61">
        <v>186.0</v>
      </c>
      <c r="G82" s="59" t="s">
        <v>146</v>
      </c>
      <c r="H82" s="61">
        <v>1.0</v>
      </c>
      <c r="I82" s="62" t="s">
        <v>147</v>
      </c>
      <c r="J82" s="59" t="s">
        <v>148</v>
      </c>
      <c r="K82" s="59" t="s">
        <v>174</v>
      </c>
      <c r="L82" s="63"/>
      <c r="M82" s="63"/>
      <c r="N82" s="63"/>
      <c r="O82" s="63"/>
      <c r="P82" s="59" t="s">
        <v>146</v>
      </c>
      <c r="Q82" s="59" t="s">
        <v>220</v>
      </c>
      <c r="R82" s="59" t="s">
        <v>148</v>
      </c>
      <c r="S82" s="64" t="s">
        <v>334</v>
      </c>
      <c r="T82" s="59" t="s">
        <v>321</v>
      </c>
      <c r="U82" s="62" t="s">
        <v>147</v>
      </c>
      <c r="V82" s="59" t="s">
        <v>161</v>
      </c>
      <c r="W82" s="62" t="s">
        <v>147</v>
      </c>
      <c r="X82" s="62" t="s">
        <v>154</v>
      </c>
      <c r="Y82" s="65" t="s">
        <v>155</v>
      </c>
      <c r="Z82" s="62" t="s">
        <v>156</v>
      </c>
    </row>
    <row r="83">
      <c r="A83" s="59" t="s">
        <v>335</v>
      </c>
      <c r="B83" s="60">
        <v>14.1</v>
      </c>
      <c r="C83" s="60">
        <v>0.0</v>
      </c>
      <c r="D83" s="60">
        <v>0.0</v>
      </c>
      <c r="E83" s="61">
        <v>726.0</v>
      </c>
      <c r="F83" s="61">
        <v>726.0</v>
      </c>
      <c r="G83" s="59" t="s">
        <v>146</v>
      </c>
      <c r="H83" s="61">
        <v>1.0</v>
      </c>
      <c r="I83" s="62" t="s">
        <v>147</v>
      </c>
      <c r="J83" s="59" t="s">
        <v>148</v>
      </c>
      <c r="K83" s="59" t="s">
        <v>174</v>
      </c>
      <c r="L83" s="63"/>
      <c r="M83" s="63"/>
      <c r="N83" s="63"/>
      <c r="O83" s="63"/>
      <c r="P83" s="59" t="s">
        <v>146</v>
      </c>
      <c r="Q83" s="59" t="s">
        <v>220</v>
      </c>
      <c r="R83" s="59" t="s">
        <v>148</v>
      </c>
      <c r="S83" s="64" t="s">
        <v>336</v>
      </c>
      <c r="T83" s="59" t="s">
        <v>321</v>
      </c>
      <c r="U83" s="62" t="s">
        <v>147</v>
      </c>
      <c r="V83" s="59" t="s">
        <v>161</v>
      </c>
      <c r="W83" s="62" t="s">
        <v>147</v>
      </c>
      <c r="X83" s="62" t="s">
        <v>154</v>
      </c>
      <c r="Y83" s="65" t="s">
        <v>155</v>
      </c>
      <c r="Z83" s="62" t="s">
        <v>156</v>
      </c>
    </row>
    <row r="84">
      <c r="A84" s="59" t="s">
        <v>337</v>
      </c>
      <c r="B84" s="60">
        <v>14.2</v>
      </c>
      <c r="C84" s="60">
        <v>0.0</v>
      </c>
      <c r="D84" s="60">
        <v>0.0</v>
      </c>
      <c r="E84" s="61">
        <v>366.0</v>
      </c>
      <c r="F84" s="61">
        <v>366.0</v>
      </c>
      <c r="G84" s="59" t="s">
        <v>146</v>
      </c>
      <c r="H84" s="61">
        <v>1.0</v>
      </c>
      <c r="I84" s="62" t="s">
        <v>147</v>
      </c>
      <c r="J84" s="59" t="s">
        <v>148</v>
      </c>
      <c r="K84" s="59" t="s">
        <v>174</v>
      </c>
      <c r="L84" s="63"/>
      <c r="M84" s="63"/>
      <c r="N84" s="63"/>
      <c r="O84" s="63"/>
      <c r="P84" s="59" t="s">
        <v>146</v>
      </c>
      <c r="Q84" s="59" t="s">
        <v>220</v>
      </c>
      <c r="R84" s="59" t="s">
        <v>148</v>
      </c>
      <c r="S84" s="64" t="s">
        <v>338</v>
      </c>
      <c r="T84" s="59" t="s">
        <v>321</v>
      </c>
      <c r="U84" s="62" t="s">
        <v>147</v>
      </c>
      <c r="V84" s="59" t="s">
        <v>161</v>
      </c>
      <c r="W84" s="62" t="s">
        <v>147</v>
      </c>
      <c r="X84" s="62" t="s">
        <v>154</v>
      </c>
      <c r="Y84" s="65" t="s">
        <v>155</v>
      </c>
      <c r="Z84" s="62" t="s">
        <v>156</v>
      </c>
    </row>
    <row r="85">
      <c r="A85" s="59" t="s">
        <v>339</v>
      </c>
      <c r="B85" s="60">
        <v>14.3</v>
      </c>
      <c r="C85" s="60">
        <v>0.0</v>
      </c>
      <c r="D85" s="60">
        <v>0.0</v>
      </c>
      <c r="E85" s="61">
        <v>1086.0</v>
      </c>
      <c r="F85" s="61">
        <v>1086.0</v>
      </c>
      <c r="G85" s="59" t="s">
        <v>146</v>
      </c>
      <c r="H85" s="61">
        <v>1.0</v>
      </c>
      <c r="I85" s="62" t="s">
        <v>147</v>
      </c>
      <c r="J85" s="59" t="s">
        <v>148</v>
      </c>
      <c r="K85" s="59" t="s">
        <v>174</v>
      </c>
      <c r="L85" s="63"/>
      <c r="M85" s="63"/>
      <c r="N85" s="63"/>
      <c r="O85" s="63"/>
      <c r="P85" s="59" t="s">
        <v>146</v>
      </c>
      <c r="Q85" s="59" t="s">
        <v>220</v>
      </c>
      <c r="R85" s="59" t="s">
        <v>148</v>
      </c>
      <c r="S85" s="64" t="s">
        <v>340</v>
      </c>
      <c r="T85" s="59" t="s">
        <v>321</v>
      </c>
      <c r="U85" s="62" t="s">
        <v>147</v>
      </c>
      <c r="V85" s="59" t="s">
        <v>161</v>
      </c>
      <c r="W85" s="62" t="s">
        <v>147</v>
      </c>
      <c r="X85" s="62" t="s">
        <v>154</v>
      </c>
      <c r="Y85" s="65" t="s">
        <v>155</v>
      </c>
      <c r="Z85" s="62" t="s">
        <v>156</v>
      </c>
    </row>
    <row r="86">
      <c r="A86" s="59" t="s">
        <v>341</v>
      </c>
      <c r="B86" s="60">
        <v>14.6</v>
      </c>
      <c r="C86" s="60">
        <v>0.0</v>
      </c>
      <c r="D86" s="60">
        <v>0.0</v>
      </c>
      <c r="E86" s="61">
        <v>1466.0</v>
      </c>
      <c r="F86" s="61">
        <v>1466.0</v>
      </c>
      <c r="G86" s="59" t="s">
        <v>146</v>
      </c>
      <c r="H86" s="61">
        <v>1.0</v>
      </c>
      <c r="I86" s="62" t="s">
        <v>147</v>
      </c>
      <c r="J86" s="59" t="s">
        <v>148</v>
      </c>
      <c r="K86" s="59" t="s">
        <v>174</v>
      </c>
      <c r="L86" s="63"/>
      <c r="M86" s="63"/>
      <c r="N86" s="63"/>
      <c r="O86" s="63"/>
      <c r="P86" s="59" t="s">
        <v>146</v>
      </c>
      <c r="Q86" s="59" t="s">
        <v>220</v>
      </c>
      <c r="R86" s="59" t="s">
        <v>148</v>
      </c>
      <c r="S86" s="64" t="s">
        <v>342</v>
      </c>
      <c r="T86" s="59" t="s">
        <v>321</v>
      </c>
      <c r="U86" s="62" t="s">
        <v>147</v>
      </c>
      <c r="V86" s="59" t="s">
        <v>153</v>
      </c>
      <c r="W86" s="62" t="s">
        <v>147</v>
      </c>
      <c r="X86" s="62" t="s">
        <v>154</v>
      </c>
      <c r="Y86" s="65" t="s">
        <v>155</v>
      </c>
      <c r="Z86" s="62" t="s">
        <v>156</v>
      </c>
    </row>
    <row r="87">
      <c r="A87" s="59" t="s">
        <v>343</v>
      </c>
      <c r="B87" s="60">
        <v>14.7</v>
      </c>
      <c r="C87" s="60">
        <v>0.0</v>
      </c>
      <c r="D87" s="60">
        <v>0.0</v>
      </c>
      <c r="E87" s="61">
        <v>1806.0</v>
      </c>
      <c r="F87" s="61">
        <v>1806.0</v>
      </c>
      <c r="G87" s="59" t="s">
        <v>146</v>
      </c>
      <c r="H87" s="61">
        <v>1.0</v>
      </c>
      <c r="I87" s="62" t="s">
        <v>147</v>
      </c>
      <c r="J87" s="59" t="s">
        <v>148</v>
      </c>
      <c r="K87" s="59" t="s">
        <v>174</v>
      </c>
      <c r="L87" s="63"/>
      <c r="M87" s="63"/>
      <c r="N87" s="63"/>
      <c r="O87" s="63"/>
      <c r="P87" s="59" t="s">
        <v>146</v>
      </c>
      <c r="Q87" s="59" t="s">
        <v>220</v>
      </c>
      <c r="R87" s="59" t="s">
        <v>148</v>
      </c>
      <c r="S87" s="64" t="s">
        <v>344</v>
      </c>
      <c r="T87" s="59" t="s">
        <v>321</v>
      </c>
      <c r="U87" s="62" t="s">
        <v>147</v>
      </c>
      <c r="V87" s="59" t="s">
        <v>153</v>
      </c>
      <c r="W87" s="62" t="s">
        <v>147</v>
      </c>
      <c r="X87" s="62" t="s">
        <v>154</v>
      </c>
      <c r="Y87" s="65" t="s">
        <v>155</v>
      </c>
      <c r="Z87" s="62" t="s">
        <v>156</v>
      </c>
    </row>
    <row r="88">
      <c r="A88" s="59" t="s">
        <v>345</v>
      </c>
      <c r="B88" s="60">
        <v>7.5</v>
      </c>
      <c r="C88" s="60">
        <v>0.0</v>
      </c>
      <c r="D88" s="60">
        <v>0.0</v>
      </c>
      <c r="E88" s="61">
        <v>1806.0</v>
      </c>
      <c r="F88" s="61">
        <v>1806.0</v>
      </c>
      <c r="G88" s="59" t="s">
        <v>146</v>
      </c>
      <c r="H88" s="61">
        <v>1.0</v>
      </c>
      <c r="I88" s="62" t="s">
        <v>147</v>
      </c>
      <c r="J88" s="59" t="s">
        <v>148</v>
      </c>
      <c r="K88" s="59" t="s">
        <v>174</v>
      </c>
      <c r="L88" s="63"/>
      <c r="M88" s="63"/>
      <c r="N88" s="63"/>
      <c r="O88" s="63"/>
      <c r="P88" s="59" t="s">
        <v>146</v>
      </c>
      <c r="Q88" s="59" t="s">
        <v>232</v>
      </c>
      <c r="R88" s="59" t="s">
        <v>148</v>
      </c>
      <c r="S88" s="64" t="s">
        <v>346</v>
      </c>
      <c r="T88" s="59" t="s">
        <v>321</v>
      </c>
      <c r="U88" s="62" t="s">
        <v>147</v>
      </c>
      <c r="V88" s="59" t="s">
        <v>153</v>
      </c>
      <c r="W88" s="62" t="s">
        <v>147</v>
      </c>
      <c r="X88" s="62" t="s">
        <v>154</v>
      </c>
      <c r="Y88" s="65" t="s">
        <v>155</v>
      </c>
      <c r="Z88" s="62" t="s">
        <v>156</v>
      </c>
    </row>
    <row r="89">
      <c r="A89" s="59" t="s">
        <v>347</v>
      </c>
      <c r="B89" s="60">
        <v>7.6</v>
      </c>
      <c r="C89" s="60">
        <v>0.0</v>
      </c>
      <c r="D89" s="60">
        <v>0.0</v>
      </c>
      <c r="E89" s="61">
        <v>1086.0</v>
      </c>
      <c r="F89" s="61">
        <v>1086.0</v>
      </c>
      <c r="G89" s="59" t="s">
        <v>146</v>
      </c>
      <c r="H89" s="61">
        <v>1.0</v>
      </c>
      <c r="I89" s="62" t="s">
        <v>147</v>
      </c>
      <c r="J89" s="59" t="s">
        <v>148</v>
      </c>
      <c r="K89" s="59" t="s">
        <v>174</v>
      </c>
      <c r="L89" s="63"/>
      <c r="M89" s="63"/>
      <c r="N89" s="63"/>
      <c r="O89" s="63"/>
      <c r="P89" s="59" t="s">
        <v>146</v>
      </c>
      <c r="Q89" s="59" t="s">
        <v>232</v>
      </c>
      <c r="R89" s="59" t="s">
        <v>148</v>
      </c>
      <c r="S89" s="64" t="s">
        <v>348</v>
      </c>
      <c r="T89" s="59" t="s">
        <v>321</v>
      </c>
      <c r="U89" s="62" t="s">
        <v>147</v>
      </c>
      <c r="V89" s="59" t="s">
        <v>153</v>
      </c>
      <c r="W89" s="62" t="s">
        <v>147</v>
      </c>
      <c r="X89" s="62" t="s">
        <v>154</v>
      </c>
      <c r="Y89" s="65" t="s">
        <v>155</v>
      </c>
      <c r="Z89" s="62" t="s">
        <v>156</v>
      </c>
    </row>
    <row r="90">
      <c r="A90" s="59" t="s">
        <v>349</v>
      </c>
      <c r="B90" s="60">
        <v>7.7</v>
      </c>
      <c r="C90" s="60">
        <v>0.0</v>
      </c>
      <c r="D90" s="60">
        <v>0.0</v>
      </c>
      <c r="E90" s="61">
        <v>1466.0</v>
      </c>
      <c r="F90" s="61">
        <v>1466.0</v>
      </c>
      <c r="G90" s="59" t="s">
        <v>146</v>
      </c>
      <c r="H90" s="61">
        <v>1.0</v>
      </c>
      <c r="I90" s="62" t="s">
        <v>147</v>
      </c>
      <c r="J90" s="59" t="s">
        <v>148</v>
      </c>
      <c r="K90" s="59" t="s">
        <v>174</v>
      </c>
      <c r="L90" s="63"/>
      <c r="M90" s="63"/>
      <c r="N90" s="63"/>
      <c r="O90" s="63"/>
      <c r="P90" s="59" t="s">
        <v>146</v>
      </c>
      <c r="Q90" s="59" t="s">
        <v>232</v>
      </c>
      <c r="R90" s="59" t="s">
        <v>148</v>
      </c>
      <c r="S90" s="64" t="s">
        <v>350</v>
      </c>
      <c r="T90" s="59" t="s">
        <v>321</v>
      </c>
      <c r="U90" s="62" t="s">
        <v>147</v>
      </c>
      <c r="V90" s="59" t="s">
        <v>153</v>
      </c>
      <c r="W90" s="62" t="s">
        <v>147</v>
      </c>
      <c r="X90" s="62" t="s">
        <v>154</v>
      </c>
      <c r="Y90" s="65" t="s">
        <v>155</v>
      </c>
      <c r="Z90" s="62" t="s">
        <v>156</v>
      </c>
    </row>
    <row r="91">
      <c r="A91" s="59" t="s">
        <v>351</v>
      </c>
      <c r="B91" s="60">
        <v>8.1</v>
      </c>
      <c r="C91" s="60">
        <v>0.0</v>
      </c>
      <c r="D91" s="60">
        <v>0.0</v>
      </c>
      <c r="E91" s="61">
        <v>366.0</v>
      </c>
      <c r="F91" s="61">
        <v>366.0</v>
      </c>
      <c r="G91" s="59" t="s">
        <v>146</v>
      </c>
      <c r="H91" s="61">
        <v>1.0</v>
      </c>
      <c r="I91" s="62" t="s">
        <v>147</v>
      </c>
      <c r="J91" s="59" t="s">
        <v>148</v>
      </c>
      <c r="K91" s="59" t="s">
        <v>174</v>
      </c>
      <c r="L91" s="63"/>
      <c r="M91" s="63"/>
      <c r="N91" s="63"/>
      <c r="O91" s="63"/>
      <c r="P91" s="59" t="s">
        <v>146</v>
      </c>
      <c r="Q91" s="59" t="s">
        <v>232</v>
      </c>
      <c r="R91" s="59" t="s">
        <v>148</v>
      </c>
      <c r="S91" s="64" t="s">
        <v>352</v>
      </c>
      <c r="T91" s="59" t="s">
        <v>321</v>
      </c>
      <c r="U91" s="62" t="s">
        <v>147</v>
      </c>
      <c r="V91" s="59" t="s">
        <v>153</v>
      </c>
      <c r="W91" s="62" t="s">
        <v>147</v>
      </c>
      <c r="X91" s="62" t="s">
        <v>154</v>
      </c>
      <c r="Y91" s="65" t="s">
        <v>155</v>
      </c>
      <c r="Z91" s="62" t="s">
        <v>156</v>
      </c>
    </row>
    <row r="92">
      <c r="A92" s="59" t="s">
        <v>353</v>
      </c>
      <c r="B92" s="60">
        <v>8.2</v>
      </c>
      <c r="C92" s="60">
        <v>0.0</v>
      </c>
      <c r="D92" s="60">
        <v>0.0</v>
      </c>
      <c r="E92" s="61">
        <v>726.0</v>
      </c>
      <c r="F92" s="61">
        <v>726.0</v>
      </c>
      <c r="G92" s="59" t="s">
        <v>146</v>
      </c>
      <c r="H92" s="61">
        <v>1.0</v>
      </c>
      <c r="I92" s="62" t="s">
        <v>147</v>
      </c>
      <c r="J92" s="59" t="s">
        <v>148</v>
      </c>
      <c r="K92" s="59" t="s">
        <v>174</v>
      </c>
      <c r="L92" s="63"/>
      <c r="M92" s="63"/>
      <c r="N92" s="63"/>
      <c r="O92" s="63"/>
      <c r="P92" s="59" t="s">
        <v>146</v>
      </c>
      <c r="Q92" s="59" t="s">
        <v>232</v>
      </c>
      <c r="R92" s="59" t="s">
        <v>148</v>
      </c>
      <c r="S92" s="64" t="s">
        <v>354</v>
      </c>
      <c r="T92" s="59" t="s">
        <v>321</v>
      </c>
      <c r="U92" s="62" t="s">
        <v>147</v>
      </c>
      <c r="V92" s="59" t="s">
        <v>153</v>
      </c>
      <c r="W92" s="62" t="s">
        <v>147</v>
      </c>
      <c r="X92" s="62" t="s">
        <v>154</v>
      </c>
      <c r="Y92" s="65" t="s">
        <v>155</v>
      </c>
      <c r="Z92" s="62" t="s">
        <v>156</v>
      </c>
    </row>
    <row r="93">
      <c r="A93" s="59" t="s">
        <v>355</v>
      </c>
      <c r="B93" s="60">
        <v>105.0</v>
      </c>
      <c r="C93" s="60">
        <v>0.0</v>
      </c>
      <c r="D93" s="60">
        <v>0.0</v>
      </c>
      <c r="E93" s="61">
        <v>1086.0</v>
      </c>
      <c r="F93" s="61">
        <v>0.0</v>
      </c>
      <c r="G93" s="59" t="s">
        <v>146</v>
      </c>
      <c r="H93" s="61">
        <v>1.0</v>
      </c>
      <c r="I93" s="68" t="s">
        <v>147</v>
      </c>
      <c r="J93" s="59" t="s">
        <v>148</v>
      </c>
      <c r="K93" s="59" t="s">
        <v>174</v>
      </c>
      <c r="L93" s="63"/>
      <c r="M93" s="63"/>
      <c r="N93" s="63"/>
      <c r="O93" s="63"/>
      <c r="P93" s="59" t="s">
        <v>146</v>
      </c>
      <c r="Q93" s="59" t="s">
        <v>158</v>
      </c>
      <c r="R93" s="59" t="s">
        <v>148</v>
      </c>
      <c r="S93" s="64" t="s">
        <v>356</v>
      </c>
      <c r="T93" s="59" t="s">
        <v>321</v>
      </c>
      <c r="U93" s="68" t="s">
        <v>147</v>
      </c>
      <c r="V93" s="59" t="s">
        <v>161</v>
      </c>
      <c r="W93" s="68" t="s">
        <v>147</v>
      </c>
      <c r="X93" s="68" t="s">
        <v>201</v>
      </c>
      <c r="Y93" s="65" t="s">
        <v>155</v>
      </c>
      <c r="Z93" s="68" t="s">
        <v>156</v>
      </c>
    </row>
    <row r="94">
      <c r="A94" s="59" t="s">
        <v>67</v>
      </c>
      <c r="B94" s="60">
        <v>103.0</v>
      </c>
      <c r="C94" s="60">
        <v>130.0</v>
      </c>
      <c r="D94" s="60">
        <v>30.0</v>
      </c>
      <c r="E94" s="61">
        <v>30.0</v>
      </c>
      <c r="F94" s="61">
        <v>0.0</v>
      </c>
      <c r="G94" s="59" t="s">
        <v>146</v>
      </c>
      <c r="H94" s="61">
        <v>1.0</v>
      </c>
      <c r="I94" s="62" t="s">
        <v>147</v>
      </c>
      <c r="J94" s="59" t="s">
        <v>146</v>
      </c>
      <c r="K94" s="59" t="s">
        <v>174</v>
      </c>
      <c r="L94" s="63"/>
      <c r="M94" s="63"/>
      <c r="N94" s="63"/>
      <c r="O94" s="63"/>
      <c r="P94" s="59" t="s">
        <v>146</v>
      </c>
      <c r="Q94" s="59" t="s">
        <v>158</v>
      </c>
      <c r="R94" s="59" t="s">
        <v>148</v>
      </c>
      <c r="S94" s="64" t="s">
        <v>357</v>
      </c>
      <c r="T94" s="62" t="s">
        <v>147</v>
      </c>
      <c r="U94" s="62" t="s">
        <v>147</v>
      </c>
      <c r="V94" s="59" t="s">
        <v>153</v>
      </c>
      <c r="W94" s="62" t="s">
        <v>147</v>
      </c>
      <c r="X94" s="62" t="s">
        <v>154</v>
      </c>
      <c r="Y94" s="67" t="s">
        <v>176</v>
      </c>
      <c r="Z94" s="62" t="s">
        <v>234</v>
      </c>
    </row>
    <row r="95">
      <c r="A95" s="59" t="s">
        <v>358</v>
      </c>
      <c r="B95" s="60">
        <v>150.0</v>
      </c>
      <c r="C95" s="60">
        <v>0.0</v>
      </c>
      <c r="D95" s="60">
        <v>0.0</v>
      </c>
      <c r="E95" s="61">
        <v>60.0</v>
      </c>
      <c r="F95" s="61">
        <v>0.0</v>
      </c>
      <c r="G95" s="59" t="s">
        <v>146</v>
      </c>
      <c r="H95" s="61">
        <v>10000.0</v>
      </c>
      <c r="I95" s="61">
        <v>60000.0</v>
      </c>
      <c r="J95" s="59" t="s">
        <v>148</v>
      </c>
      <c r="K95" s="59" t="s">
        <v>174</v>
      </c>
      <c r="L95" s="63"/>
      <c r="M95" s="63"/>
      <c r="N95" s="63"/>
      <c r="O95" s="63"/>
      <c r="P95" s="59" t="s">
        <v>146</v>
      </c>
      <c r="Q95" s="59" t="s">
        <v>158</v>
      </c>
      <c r="R95" s="59" t="s">
        <v>148</v>
      </c>
      <c r="S95" s="64" t="s">
        <v>359</v>
      </c>
      <c r="T95" s="59" t="s">
        <v>360</v>
      </c>
      <c r="U95" s="62" t="s">
        <v>147</v>
      </c>
      <c r="V95" s="59" t="s">
        <v>161</v>
      </c>
      <c r="W95" s="62" t="s">
        <v>147</v>
      </c>
      <c r="X95" s="62" t="s">
        <v>154</v>
      </c>
      <c r="Y95" s="69" t="s">
        <v>217</v>
      </c>
      <c r="Z95" s="62" t="s">
        <v>218</v>
      </c>
    </row>
    <row r="96">
      <c r="A96" s="59" t="s">
        <v>69</v>
      </c>
      <c r="B96" s="60">
        <v>230.0</v>
      </c>
      <c r="C96" s="60">
        <v>0.0</v>
      </c>
      <c r="D96" s="60">
        <v>0.0</v>
      </c>
      <c r="E96" s="61">
        <v>60.0</v>
      </c>
      <c r="F96" s="61">
        <v>0.0</v>
      </c>
      <c r="G96" s="59" t="s">
        <v>146</v>
      </c>
      <c r="H96" s="61">
        <v>100.0</v>
      </c>
      <c r="I96" s="61">
        <v>3000.0</v>
      </c>
      <c r="J96" s="59" t="s">
        <v>146</v>
      </c>
      <c r="K96" s="59" t="s">
        <v>174</v>
      </c>
      <c r="L96" s="63"/>
      <c r="M96" s="63"/>
      <c r="N96" s="63"/>
      <c r="O96" s="63"/>
      <c r="P96" s="59" t="s">
        <v>146</v>
      </c>
      <c r="Q96" s="59" t="s">
        <v>158</v>
      </c>
      <c r="R96" s="59" t="s">
        <v>148</v>
      </c>
      <c r="S96" s="64" t="s">
        <v>361</v>
      </c>
      <c r="T96" s="59" t="s">
        <v>360</v>
      </c>
      <c r="U96" s="62" t="s">
        <v>147</v>
      </c>
      <c r="V96" s="59" t="s">
        <v>161</v>
      </c>
      <c r="W96" s="62" t="s">
        <v>147</v>
      </c>
      <c r="X96" s="62" t="s">
        <v>154</v>
      </c>
      <c r="Y96" s="67" t="s">
        <v>176</v>
      </c>
      <c r="Z96" s="62" t="s">
        <v>218</v>
      </c>
    </row>
    <row r="97">
      <c r="A97" s="59" t="s">
        <v>362</v>
      </c>
      <c r="B97" s="60">
        <v>100.0</v>
      </c>
      <c r="C97" s="60">
        <v>115.0</v>
      </c>
      <c r="D97" s="60">
        <v>0.0</v>
      </c>
      <c r="E97" s="61">
        <v>90.0</v>
      </c>
      <c r="F97" s="61">
        <v>0.0</v>
      </c>
      <c r="G97" s="59" t="s">
        <v>146</v>
      </c>
      <c r="H97" s="61">
        <v>300.0</v>
      </c>
      <c r="I97" s="70" t="s">
        <v>147</v>
      </c>
      <c r="J97" s="59" t="s">
        <v>148</v>
      </c>
      <c r="K97" s="59" t="s">
        <v>363</v>
      </c>
      <c r="L97" s="59" t="s">
        <v>364</v>
      </c>
      <c r="M97" s="59" t="s">
        <v>365</v>
      </c>
      <c r="N97" s="61">
        <v>2.0</v>
      </c>
      <c r="O97" s="61">
        <v>1.0</v>
      </c>
      <c r="P97" s="59" t="s">
        <v>146</v>
      </c>
      <c r="Q97" s="59" t="s">
        <v>158</v>
      </c>
      <c r="R97" s="59" t="s">
        <v>148</v>
      </c>
      <c r="S97" s="64" t="s">
        <v>366</v>
      </c>
      <c r="T97" s="59" t="s">
        <v>367</v>
      </c>
      <c r="U97" s="70" t="s">
        <v>147</v>
      </c>
      <c r="V97" s="59" t="s">
        <v>161</v>
      </c>
      <c r="W97" s="70" t="s">
        <v>147</v>
      </c>
      <c r="X97" s="70" t="s">
        <v>368</v>
      </c>
      <c r="Y97" s="67" t="s">
        <v>176</v>
      </c>
      <c r="Z97" s="70" t="s">
        <v>156</v>
      </c>
    </row>
    <row r="98">
      <c r="A98" s="59" t="s">
        <v>369</v>
      </c>
      <c r="B98" s="60">
        <v>100.0</v>
      </c>
      <c r="C98" s="60">
        <v>120.0</v>
      </c>
      <c r="D98" s="60">
        <v>0.0</v>
      </c>
      <c r="E98" s="61">
        <v>90.0</v>
      </c>
      <c r="F98" s="61">
        <v>0.0</v>
      </c>
      <c r="G98" s="59" t="s">
        <v>146</v>
      </c>
      <c r="H98" s="70" t="s">
        <v>147</v>
      </c>
      <c r="I98" s="70" t="s">
        <v>147</v>
      </c>
      <c r="J98" s="59" t="s">
        <v>148</v>
      </c>
      <c r="K98" s="59" t="s">
        <v>363</v>
      </c>
      <c r="L98" s="59" t="s">
        <v>364</v>
      </c>
      <c r="M98" s="59" t="s">
        <v>370</v>
      </c>
      <c r="N98" s="70" t="s">
        <v>147</v>
      </c>
      <c r="O98" s="70" t="s">
        <v>147</v>
      </c>
      <c r="P98" s="59" t="s">
        <v>146</v>
      </c>
      <c r="Q98" s="59" t="s">
        <v>158</v>
      </c>
      <c r="R98" s="59" t="s">
        <v>148</v>
      </c>
      <c r="S98" s="64" t="s">
        <v>371</v>
      </c>
      <c r="T98" s="59" t="s">
        <v>367</v>
      </c>
      <c r="U98" s="70" t="s">
        <v>147</v>
      </c>
      <c r="V98" s="59" t="s">
        <v>161</v>
      </c>
      <c r="W98" s="70" t="s">
        <v>147</v>
      </c>
      <c r="X98" s="70" t="s">
        <v>368</v>
      </c>
      <c r="Y98" s="67" t="s">
        <v>176</v>
      </c>
      <c r="Z98" s="70" t="s">
        <v>372</v>
      </c>
    </row>
    <row r="99">
      <c r="A99" s="59" t="s">
        <v>373</v>
      </c>
      <c r="B99" s="60">
        <v>100.0</v>
      </c>
      <c r="C99" s="60">
        <v>120.0</v>
      </c>
      <c r="D99" s="60">
        <v>0.0</v>
      </c>
      <c r="E99" s="61">
        <v>180.0</v>
      </c>
      <c r="F99" s="61">
        <v>0.0</v>
      </c>
      <c r="G99" s="59" t="s">
        <v>146</v>
      </c>
      <c r="H99" s="70" t="s">
        <v>147</v>
      </c>
      <c r="I99" s="70" t="s">
        <v>147</v>
      </c>
      <c r="J99" s="59" t="s">
        <v>148</v>
      </c>
      <c r="K99" s="59" t="s">
        <v>363</v>
      </c>
      <c r="L99" s="59" t="s">
        <v>364</v>
      </c>
      <c r="M99" s="59" t="s">
        <v>374</v>
      </c>
      <c r="N99" s="70" t="s">
        <v>147</v>
      </c>
      <c r="O99" s="70" t="s">
        <v>147</v>
      </c>
      <c r="P99" s="59" t="s">
        <v>146</v>
      </c>
      <c r="Q99" s="59" t="s">
        <v>158</v>
      </c>
      <c r="R99" s="59" t="s">
        <v>148</v>
      </c>
      <c r="S99" s="64" t="s">
        <v>375</v>
      </c>
      <c r="T99" s="59" t="s">
        <v>367</v>
      </c>
      <c r="U99" s="70" t="s">
        <v>147</v>
      </c>
      <c r="V99" s="59" t="s">
        <v>161</v>
      </c>
      <c r="W99" s="70" t="s">
        <v>147</v>
      </c>
      <c r="X99" s="70" t="s">
        <v>368</v>
      </c>
      <c r="Y99" s="67" t="s">
        <v>176</v>
      </c>
      <c r="Z99" s="70" t="s">
        <v>372</v>
      </c>
    </row>
    <row r="100">
      <c r="A100" s="59" t="s">
        <v>376</v>
      </c>
      <c r="B100" s="60">
        <v>102.24</v>
      </c>
      <c r="C100" s="60">
        <v>0.0</v>
      </c>
      <c r="D100" s="60">
        <v>0.0</v>
      </c>
      <c r="E100" s="61">
        <v>1.0</v>
      </c>
      <c r="F100" s="61">
        <v>1.0</v>
      </c>
      <c r="G100" s="59" t="s">
        <v>146</v>
      </c>
      <c r="H100" s="61">
        <v>500.0</v>
      </c>
      <c r="I100" s="62" t="s">
        <v>147</v>
      </c>
      <c r="J100" s="59" t="s">
        <v>148</v>
      </c>
      <c r="K100" s="59" t="s">
        <v>149</v>
      </c>
      <c r="L100" s="63"/>
      <c r="M100" s="63"/>
      <c r="N100" s="63"/>
      <c r="O100" s="63"/>
      <c r="P100" s="59" t="s">
        <v>146</v>
      </c>
      <c r="Q100" s="59" t="s">
        <v>158</v>
      </c>
      <c r="R100" s="59" t="s">
        <v>146</v>
      </c>
      <c r="S100" s="64" t="s">
        <v>377</v>
      </c>
      <c r="T100" s="59" t="s">
        <v>378</v>
      </c>
      <c r="U100" s="62" t="s">
        <v>147</v>
      </c>
      <c r="V100" s="59" t="s">
        <v>161</v>
      </c>
      <c r="W100" s="62" t="s">
        <v>147</v>
      </c>
      <c r="X100" s="62" t="s">
        <v>154</v>
      </c>
      <c r="Y100" s="65" t="s">
        <v>155</v>
      </c>
      <c r="Z100" s="62" t="s">
        <v>156</v>
      </c>
    </row>
    <row r="101">
      <c r="A101" s="59" t="s">
        <v>379</v>
      </c>
      <c r="B101" s="60">
        <v>80.0</v>
      </c>
      <c r="C101" s="60">
        <v>0.0</v>
      </c>
      <c r="D101" s="60">
        <v>0.0</v>
      </c>
      <c r="E101" s="61">
        <v>2.0</v>
      </c>
      <c r="F101" s="61">
        <v>2.0</v>
      </c>
      <c r="G101" s="59" t="s">
        <v>146</v>
      </c>
      <c r="H101" s="61">
        <v>50000.0</v>
      </c>
      <c r="I101" s="62" t="s">
        <v>147</v>
      </c>
      <c r="J101" s="59" t="s">
        <v>148</v>
      </c>
      <c r="K101" s="59" t="s">
        <v>380</v>
      </c>
      <c r="L101" s="63"/>
      <c r="M101" s="63"/>
      <c r="N101" s="63"/>
      <c r="O101" s="63"/>
      <c r="P101" s="59" t="s">
        <v>146</v>
      </c>
      <c r="Q101" s="59" t="s">
        <v>158</v>
      </c>
      <c r="R101" s="59" t="s">
        <v>146</v>
      </c>
      <c r="S101" s="64" t="s">
        <v>381</v>
      </c>
      <c r="T101" s="59" t="s">
        <v>382</v>
      </c>
      <c r="U101" s="62" t="s">
        <v>147</v>
      </c>
      <c r="V101" s="59" t="s">
        <v>239</v>
      </c>
      <c r="W101" s="62" t="s">
        <v>147</v>
      </c>
      <c r="X101" s="62" t="s">
        <v>154</v>
      </c>
      <c r="Y101" s="65" t="s">
        <v>155</v>
      </c>
      <c r="Z101" s="62" t="s">
        <v>156</v>
      </c>
    </row>
    <row r="102">
      <c r="A102" s="59" t="s">
        <v>383</v>
      </c>
      <c r="B102" s="60">
        <v>83.0</v>
      </c>
      <c r="C102" s="60">
        <v>0.0</v>
      </c>
      <c r="D102" s="60">
        <v>0.0</v>
      </c>
      <c r="E102" s="61">
        <v>2.0</v>
      </c>
      <c r="F102" s="61">
        <v>2.0</v>
      </c>
      <c r="G102" s="59" t="s">
        <v>146</v>
      </c>
      <c r="H102" s="61">
        <v>500000.0</v>
      </c>
      <c r="I102" s="62" t="s">
        <v>147</v>
      </c>
      <c r="J102" s="59" t="s">
        <v>148</v>
      </c>
      <c r="K102" s="59" t="s">
        <v>380</v>
      </c>
      <c r="L102" s="63"/>
      <c r="M102" s="63"/>
      <c r="N102" s="63"/>
      <c r="O102" s="63"/>
      <c r="P102" s="59" t="s">
        <v>146</v>
      </c>
      <c r="Q102" s="59" t="s">
        <v>158</v>
      </c>
      <c r="R102" s="59" t="s">
        <v>146</v>
      </c>
      <c r="S102" s="64" t="s">
        <v>384</v>
      </c>
      <c r="T102" s="62" t="s">
        <v>147</v>
      </c>
      <c r="U102" s="62" t="s">
        <v>147</v>
      </c>
      <c r="V102" s="59" t="s">
        <v>239</v>
      </c>
      <c r="W102" s="62" t="s">
        <v>147</v>
      </c>
      <c r="X102" s="62" t="s">
        <v>154</v>
      </c>
      <c r="Y102" s="65" t="s">
        <v>155</v>
      </c>
      <c r="Z102" s="62" t="s">
        <v>234</v>
      </c>
    </row>
    <row r="103">
      <c r="A103" s="59" t="s">
        <v>385</v>
      </c>
      <c r="B103" s="60">
        <v>85.0</v>
      </c>
      <c r="C103" s="60">
        <v>0.0</v>
      </c>
      <c r="D103" s="60">
        <v>0.0</v>
      </c>
      <c r="E103" s="61">
        <v>2.0</v>
      </c>
      <c r="F103" s="61">
        <v>2.0</v>
      </c>
      <c r="G103" s="59" t="s">
        <v>146</v>
      </c>
      <c r="H103" s="61">
        <v>1000000.0</v>
      </c>
      <c r="I103" s="62" t="s">
        <v>147</v>
      </c>
      <c r="J103" s="59" t="s">
        <v>148</v>
      </c>
      <c r="K103" s="59" t="s">
        <v>380</v>
      </c>
      <c r="L103" s="63"/>
      <c r="M103" s="63"/>
      <c r="N103" s="63"/>
      <c r="O103" s="63"/>
      <c r="P103" s="59" t="s">
        <v>146</v>
      </c>
      <c r="Q103" s="59" t="s">
        <v>158</v>
      </c>
      <c r="R103" s="59" t="s">
        <v>146</v>
      </c>
      <c r="S103" s="64" t="s">
        <v>386</v>
      </c>
      <c r="T103" s="62" t="s">
        <v>147</v>
      </c>
      <c r="U103" s="62" t="s">
        <v>147</v>
      </c>
      <c r="V103" s="59" t="s">
        <v>239</v>
      </c>
      <c r="W103" s="62" t="s">
        <v>147</v>
      </c>
      <c r="X103" s="62" t="s">
        <v>154</v>
      </c>
      <c r="Y103" s="65" t="s">
        <v>155</v>
      </c>
      <c r="Z103" s="62" t="s">
        <v>234</v>
      </c>
    </row>
    <row r="104">
      <c r="A104" s="59" t="s">
        <v>387</v>
      </c>
      <c r="B104" s="60">
        <v>88.0</v>
      </c>
      <c r="C104" s="60">
        <v>0.0</v>
      </c>
      <c r="D104" s="60">
        <v>0.0</v>
      </c>
      <c r="E104" s="61">
        <v>2.0</v>
      </c>
      <c r="F104" s="61">
        <v>2.0</v>
      </c>
      <c r="G104" s="59" t="s">
        <v>146</v>
      </c>
      <c r="H104" s="61">
        <v>2500000.0</v>
      </c>
      <c r="I104" s="62" t="s">
        <v>147</v>
      </c>
      <c r="J104" s="59" t="s">
        <v>148</v>
      </c>
      <c r="K104" s="59" t="s">
        <v>380</v>
      </c>
      <c r="L104" s="63"/>
      <c r="M104" s="63"/>
      <c r="N104" s="63"/>
      <c r="O104" s="63"/>
      <c r="P104" s="59" t="s">
        <v>146</v>
      </c>
      <c r="Q104" s="59" t="s">
        <v>158</v>
      </c>
      <c r="R104" s="59" t="s">
        <v>146</v>
      </c>
      <c r="S104" s="64" t="s">
        <v>388</v>
      </c>
      <c r="T104" s="62" t="s">
        <v>147</v>
      </c>
      <c r="U104" s="62" t="s">
        <v>147</v>
      </c>
      <c r="V104" s="59" t="s">
        <v>239</v>
      </c>
      <c r="W104" s="62" t="s">
        <v>147</v>
      </c>
      <c r="X104" s="62" t="s">
        <v>154</v>
      </c>
      <c r="Y104" s="65" t="s">
        <v>155</v>
      </c>
      <c r="Z104" s="62" t="s">
        <v>234</v>
      </c>
    </row>
    <row r="105">
      <c r="A105" s="59" t="s">
        <v>389</v>
      </c>
      <c r="B105" s="60">
        <v>90.0</v>
      </c>
      <c r="C105" s="60">
        <v>0.0</v>
      </c>
      <c r="D105" s="60">
        <v>0.0</v>
      </c>
      <c r="E105" s="61">
        <v>2.0</v>
      </c>
      <c r="F105" s="61">
        <v>2.0</v>
      </c>
      <c r="G105" s="59" t="s">
        <v>146</v>
      </c>
      <c r="H105" s="61">
        <v>5000000.0</v>
      </c>
      <c r="I105" s="62" t="s">
        <v>147</v>
      </c>
      <c r="J105" s="59" t="s">
        <v>148</v>
      </c>
      <c r="K105" s="59" t="s">
        <v>380</v>
      </c>
      <c r="L105" s="63"/>
      <c r="M105" s="63"/>
      <c r="N105" s="63"/>
      <c r="O105" s="63"/>
      <c r="P105" s="59" t="s">
        <v>146</v>
      </c>
      <c r="Q105" s="59" t="s">
        <v>158</v>
      </c>
      <c r="R105" s="59" t="s">
        <v>146</v>
      </c>
      <c r="S105" s="64" t="s">
        <v>390</v>
      </c>
      <c r="T105" s="62" t="s">
        <v>147</v>
      </c>
      <c r="U105" s="62" t="s">
        <v>147</v>
      </c>
      <c r="V105" s="59" t="s">
        <v>239</v>
      </c>
      <c r="W105" s="62" t="s">
        <v>147</v>
      </c>
      <c r="X105" s="62" t="s">
        <v>154</v>
      </c>
      <c r="Y105" s="65" t="s">
        <v>155</v>
      </c>
      <c r="Z105" s="62" t="s">
        <v>234</v>
      </c>
    </row>
    <row r="106">
      <c r="A106" s="59" t="s">
        <v>391</v>
      </c>
      <c r="B106" s="60">
        <v>60.64</v>
      </c>
      <c r="C106" s="60">
        <v>0.0</v>
      </c>
      <c r="D106" s="60">
        <v>0.0</v>
      </c>
      <c r="E106" s="61">
        <v>1.0</v>
      </c>
      <c r="F106" s="61">
        <v>0.0</v>
      </c>
      <c r="G106" s="59" t="s">
        <v>146</v>
      </c>
      <c r="H106" s="61">
        <v>100.0</v>
      </c>
      <c r="I106" s="62" t="s">
        <v>147</v>
      </c>
      <c r="J106" s="59" t="s">
        <v>148</v>
      </c>
      <c r="K106" s="59" t="s">
        <v>392</v>
      </c>
      <c r="L106" s="63"/>
      <c r="M106" s="63"/>
      <c r="N106" s="63"/>
      <c r="O106" s="63"/>
      <c r="P106" s="59" t="s">
        <v>146</v>
      </c>
      <c r="Q106" s="59" t="s">
        <v>158</v>
      </c>
      <c r="R106" s="59" t="s">
        <v>146</v>
      </c>
      <c r="S106" s="64" t="s">
        <v>393</v>
      </c>
      <c r="T106" s="59" t="s">
        <v>394</v>
      </c>
      <c r="U106" s="62" t="s">
        <v>147</v>
      </c>
      <c r="V106" s="59" t="s">
        <v>161</v>
      </c>
      <c r="W106" s="62" t="s">
        <v>147</v>
      </c>
      <c r="X106" s="62" t="s">
        <v>154</v>
      </c>
      <c r="Y106" s="65" t="s">
        <v>155</v>
      </c>
      <c r="Z106" s="62" t="s">
        <v>156</v>
      </c>
    </row>
    <row r="107">
      <c r="A107" s="59" t="s">
        <v>395</v>
      </c>
      <c r="B107" s="60">
        <v>100.0</v>
      </c>
      <c r="C107" s="60">
        <v>0.0</v>
      </c>
      <c r="D107" s="60">
        <v>0.0</v>
      </c>
      <c r="E107" s="61">
        <v>1.0</v>
      </c>
      <c r="F107" s="61">
        <v>0.0</v>
      </c>
      <c r="G107" s="59" t="s">
        <v>146</v>
      </c>
      <c r="H107" s="61">
        <v>1000.0</v>
      </c>
      <c r="I107" s="62" t="s">
        <v>147</v>
      </c>
      <c r="J107" s="59" t="s">
        <v>148</v>
      </c>
      <c r="K107" s="59" t="s">
        <v>392</v>
      </c>
      <c r="L107" s="63"/>
      <c r="M107" s="63"/>
      <c r="N107" s="63"/>
      <c r="O107" s="63"/>
      <c r="P107" s="59" t="s">
        <v>146</v>
      </c>
      <c r="Q107" s="59" t="s">
        <v>158</v>
      </c>
      <c r="R107" s="59" t="s">
        <v>146</v>
      </c>
      <c r="S107" s="64" t="s">
        <v>396</v>
      </c>
      <c r="T107" s="59" t="s">
        <v>397</v>
      </c>
      <c r="U107" s="62" t="s">
        <v>147</v>
      </c>
      <c r="V107" s="59" t="s">
        <v>161</v>
      </c>
      <c r="W107" s="62" t="s">
        <v>147</v>
      </c>
      <c r="X107" s="62" t="s">
        <v>154</v>
      </c>
      <c r="Y107" s="65" t="s">
        <v>155</v>
      </c>
      <c r="Z107" s="62" t="s">
        <v>156</v>
      </c>
    </row>
    <row r="108">
      <c r="A108" s="59" t="s">
        <v>398</v>
      </c>
      <c r="B108" s="60">
        <v>100.0</v>
      </c>
      <c r="C108" s="60">
        <v>0.0</v>
      </c>
      <c r="D108" s="60">
        <v>0.0</v>
      </c>
      <c r="E108" s="61">
        <v>1.0</v>
      </c>
      <c r="F108" s="61">
        <v>0.0</v>
      </c>
      <c r="G108" s="59" t="s">
        <v>146</v>
      </c>
      <c r="H108" s="61">
        <v>1000.0</v>
      </c>
      <c r="I108" s="62" t="s">
        <v>147</v>
      </c>
      <c r="J108" s="59" t="s">
        <v>148</v>
      </c>
      <c r="K108" s="59" t="s">
        <v>149</v>
      </c>
      <c r="L108" s="63"/>
      <c r="M108" s="63"/>
      <c r="N108" s="63"/>
      <c r="O108" s="63"/>
      <c r="P108" s="59" t="s">
        <v>146</v>
      </c>
      <c r="Q108" s="59" t="s">
        <v>158</v>
      </c>
      <c r="R108" s="59" t="s">
        <v>146</v>
      </c>
      <c r="S108" s="64" t="s">
        <v>399</v>
      </c>
      <c r="T108" s="59" t="s">
        <v>397</v>
      </c>
      <c r="U108" s="62" t="s">
        <v>147</v>
      </c>
      <c r="V108" s="59" t="s">
        <v>161</v>
      </c>
      <c r="W108" s="62" t="s">
        <v>147</v>
      </c>
      <c r="X108" s="62" t="s">
        <v>154</v>
      </c>
      <c r="Y108" s="65" t="s">
        <v>155</v>
      </c>
      <c r="Z108" s="62" t="s">
        <v>156</v>
      </c>
    </row>
    <row r="109">
      <c r="A109" s="59" t="s">
        <v>400</v>
      </c>
      <c r="B109" s="60">
        <v>100.0</v>
      </c>
      <c r="C109" s="60">
        <v>0.0</v>
      </c>
      <c r="D109" s="60">
        <v>0.0</v>
      </c>
      <c r="E109" s="61">
        <v>1.0</v>
      </c>
      <c r="F109" s="61">
        <v>1.0</v>
      </c>
      <c r="G109" s="59" t="s">
        <v>146</v>
      </c>
      <c r="H109" s="61">
        <v>500.0</v>
      </c>
      <c r="I109" s="62" t="s">
        <v>147</v>
      </c>
      <c r="J109" s="59" t="s">
        <v>148</v>
      </c>
      <c r="K109" s="59" t="s">
        <v>149</v>
      </c>
      <c r="L109" s="63"/>
      <c r="M109" s="63"/>
      <c r="N109" s="63"/>
      <c r="O109" s="63"/>
      <c r="P109" s="59" t="s">
        <v>146</v>
      </c>
      <c r="Q109" s="59" t="s">
        <v>158</v>
      </c>
      <c r="R109" s="59" t="s">
        <v>146</v>
      </c>
      <c r="S109" s="64" t="s">
        <v>401</v>
      </c>
      <c r="T109" s="59" t="s">
        <v>402</v>
      </c>
      <c r="U109" s="62" t="s">
        <v>147</v>
      </c>
      <c r="V109" s="59" t="s">
        <v>161</v>
      </c>
      <c r="W109" s="62" t="s">
        <v>147</v>
      </c>
      <c r="X109" s="62" t="s">
        <v>154</v>
      </c>
      <c r="Y109" s="65" t="s">
        <v>155</v>
      </c>
      <c r="Z109" s="62" t="s">
        <v>156</v>
      </c>
    </row>
    <row r="110">
      <c r="A110" s="59" t="s">
        <v>403</v>
      </c>
      <c r="B110" s="60">
        <v>115.75</v>
      </c>
      <c r="C110" s="60">
        <v>0.0</v>
      </c>
      <c r="D110" s="60">
        <v>0.0</v>
      </c>
      <c r="E110" s="61">
        <v>365.0</v>
      </c>
      <c r="F110" s="61">
        <v>365.0</v>
      </c>
      <c r="G110" s="59" t="s">
        <v>146</v>
      </c>
      <c r="H110" s="61">
        <v>100.0</v>
      </c>
      <c r="I110" s="62" t="s">
        <v>147</v>
      </c>
      <c r="J110" s="59" t="s">
        <v>148</v>
      </c>
      <c r="K110" s="59" t="s">
        <v>404</v>
      </c>
      <c r="L110" s="63"/>
      <c r="M110" s="63"/>
      <c r="N110" s="63"/>
      <c r="O110" s="63"/>
      <c r="P110" s="59" t="s">
        <v>146</v>
      </c>
      <c r="Q110" s="59" t="s">
        <v>158</v>
      </c>
      <c r="R110" s="59" t="s">
        <v>146</v>
      </c>
      <c r="S110" s="64" t="s">
        <v>405</v>
      </c>
      <c r="T110" s="59" t="s">
        <v>406</v>
      </c>
      <c r="U110" s="62" t="s">
        <v>147</v>
      </c>
      <c r="V110" s="59" t="s">
        <v>153</v>
      </c>
      <c r="W110" s="62" t="s">
        <v>147</v>
      </c>
      <c r="X110" s="62" t="s">
        <v>154</v>
      </c>
      <c r="Y110" s="65" t="s">
        <v>155</v>
      </c>
      <c r="Z110" s="62" t="s">
        <v>156</v>
      </c>
    </row>
    <row r="111">
      <c r="A111" s="59" t="s">
        <v>407</v>
      </c>
      <c r="B111" s="60">
        <v>119.16</v>
      </c>
      <c r="C111" s="60">
        <v>0.0</v>
      </c>
      <c r="D111" s="60">
        <v>0.0</v>
      </c>
      <c r="E111" s="61">
        <v>730.0</v>
      </c>
      <c r="F111" s="61">
        <v>730.0</v>
      </c>
      <c r="G111" s="59" t="s">
        <v>146</v>
      </c>
      <c r="H111" s="61">
        <v>100.0</v>
      </c>
      <c r="I111" s="62" t="s">
        <v>147</v>
      </c>
      <c r="J111" s="59" t="s">
        <v>148</v>
      </c>
      <c r="K111" s="59" t="s">
        <v>404</v>
      </c>
      <c r="L111" s="63"/>
      <c r="M111" s="63"/>
      <c r="N111" s="63"/>
      <c r="O111" s="63"/>
      <c r="P111" s="59" t="s">
        <v>146</v>
      </c>
      <c r="Q111" s="59" t="s">
        <v>158</v>
      </c>
      <c r="R111" s="59" t="s">
        <v>146</v>
      </c>
      <c r="S111" s="64" t="s">
        <v>408</v>
      </c>
      <c r="T111" s="59" t="s">
        <v>406</v>
      </c>
      <c r="U111" s="62" t="s">
        <v>147</v>
      </c>
      <c r="V111" s="59" t="s">
        <v>153</v>
      </c>
      <c r="W111" s="62" t="s">
        <v>147</v>
      </c>
      <c r="X111" s="62" t="s">
        <v>154</v>
      </c>
      <c r="Y111" s="65" t="s">
        <v>155</v>
      </c>
      <c r="Z111" s="62" t="s">
        <v>156</v>
      </c>
    </row>
    <row r="112">
      <c r="A112" s="59" t="s">
        <v>409</v>
      </c>
      <c r="B112" s="60">
        <v>104.41</v>
      </c>
      <c r="C112" s="60">
        <v>0.0</v>
      </c>
      <c r="D112" s="60">
        <v>0.0</v>
      </c>
      <c r="E112" s="61">
        <v>90.0</v>
      </c>
      <c r="F112" s="61">
        <v>90.0</v>
      </c>
      <c r="G112" s="59" t="s">
        <v>146</v>
      </c>
      <c r="H112" s="61">
        <v>100.0</v>
      </c>
      <c r="I112" s="62" t="s">
        <v>147</v>
      </c>
      <c r="J112" s="59" t="s">
        <v>148</v>
      </c>
      <c r="K112" s="59" t="s">
        <v>404</v>
      </c>
      <c r="L112" s="63"/>
      <c r="M112" s="63"/>
      <c r="N112" s="63"/>
      <c r="O112" s="63"/>
      <c r="P112" s="59" t="s">
        <v>146</v>
      </c>
      <c r="Q112" s="59" t="s">
        <v>158</v>
      </c>
      <c r="R112" s="59" t="s">
        <v>146</v>
      </c>
      <c r="S112" s="64" t="s">
        <v>410</v>
      </c>
      <c r="T112" s="59" t="s">
        <v>406</v>
      </c>
      <c r="U112" s="62" t="s">
        <v>147</v>
      </c>
      <c r="V112" s="59" t="s">
        <v>153</v>
      </c>
      <c r="W112" s="62" t="s">
        <v>147</v>
      </c>
      <c r="X112" s="62" t="s">
        <v>154</v>
      </c>
      <c r="Y112" s="65" t="s">
        <v>155</v>
      </c>
      <c r="Z112" s="62" t="s">
        <v>156</v>
      </c>
    </row>
    <row r="113">
      <c r="A113" s="59" t="s">
        <v>411</v>
      </c>
      <c r="B113" s="60">
        <v>108.76</v>
      </c>
      <c r="C113" s="60">
        <v>0.0</v>
      </c>
      <c r="D113" s="60">
        <v>0.0</v>
      </c>
      <c r="E113" s="61">
        <v>180.0</v>
      </c>
      <c r="F113" s="61">
        <v>180.0</v>
      </c>
      <c r="G113" s="59" t="s">
        <v>146</v>
      </c>
      <c r="H113" s="61">
        <v>100.0</v>
      </c>
      <c r="I113" s="62" t="s">
        <v>147</v>
      </c>
      <c r="J113" s="59" t="s">
        <v>148</v>
      </c>
      <c r="K113" s="59" t="s">
        <v>404</v>
      </c>
      <c r="L113" s="63"/>
      <c r="M113" s="63"/>
      <c r="N113" s="63"/>
      <c r="O113" s="63"/>
      <c r="P113" s="59" t="s">
        <v>146</v>
      </c>
      <c r="Q113" s="59" t="s">
        <v>158</v>
      </c>
      <c r="R113" s="59" t="s">
        <v>146</v>
      </c>
      <c r="S113" s="64" t="s">
        <v>412</v>
      </c>
      <c r="T113" s="59" t="s">
        <v>406</v>
      </c>
      <c r="U113" s="62" t="s">
        <v>147</v>
      </c>
      <c r="V113" s="59" t="s">
        <v>153</v>
      </c>
      <c r="W113" s="62" t="s">
        <v>147</v>
      </c>
      <c r="X113" s="62" t="s">
        <v>154</v>
      </c>
      <c r="Y113" s="65" t="s">
        <v>155</v>
      </c>
      <c r="Z113" s="62" t="s">
        <v>156</v>
      </c>
    </row>
    <row r="114">
      <c r="A114" s="59" t="s">
        <v>413</v>
      </c>
      <c r="B114" s="60">
        <v>100.0</v>
      </c>
      <c r="C114" s="60">
        <v>0.0</v>
      </c>
      <c r="D114" s="60">
        <v>0.0</v>
      </c>
      <c r="E114" s="61">
        <v>1.0</v>
      </c>
      <c r="F114" s="61">
        <v>31.0</v>
      </c>
      <c r="G114" s="59" t="s">
        <v>146</v>
      </c>
      <c r="H114" s="61">
        <v>500.0</v>
      </c>
      <c r="I114" s="62" t="s">
        <v>147</v>
      </c>
      <c r="J114" s="59" t="s">
        <v>148</v>
      </c>
      <c r="K114" s="59" t="s">
        <v>149</v>
      </c>
      <c r="L114" s="63"/>
      <c r="M114" s="63"/>
      <c r="N114" s="63"/>
      <c r="O114" s="63"/>
      <c r="P114" s="59" t="s">
        <v>146</v>
      </c>
      <c r="Q114" s="59" t="s">
        <v>158</v>
      </c>
      <c r="R114" s="59" t="s">
        <v>146</v>
      </c>
      <c r="S114" s="64" t="s">
        <v>414</v>
      </c>
      <c r="T114" s="59" t="s">
        <v>415</v>
      </c>
      <c r="U114" s="62" t="s">
        <v>147</v>
      </c>
      <c r="V114" s="59" t="s">
        <v>153</v>
      </c>
      <c r="W114" s="62" t="s">
        <v>147</v>
      </c>
      <c r="X114" s="62" t="s">
        <v>154</v>
      </c>
      <c r="Y114" s="65" t="s">
        <v>155</v>
      </c>
      <c r="Z114" s="62" t="s">
        <v>156</v>
      </c>
    </row>
    <row r="115">
      <c r="A115" s="59" t="s">
        <v>416</v>
      </c>
      <c r="B115" s="60">
        <v>88.5</v>
      </c>
      <c r="C115" s="60">
        <v>0.0</v>
      </c>
      <c r="D115" s="60">
        <v>0.0</v>
      </c>
      <c r="E115" s="61">
        <v>365.0</v>
      </c>
      <c r="F115" s="61">
        <v>365.0</v>
      </c>
      <c r="G115" s="59" t="s">
        <v>148</v>
      </c>
      <c r="H115" s="62" t="s">
        <v>147</v>
      </c>
      <c r="I115" s="62" t="s">
        <v>147</v>
      </c>
      <c r="J115" s="59" t="s">
        <v>148</v>
      </c>
      <c r="K115" s="59" t="s">
        <v>417</v>
      </c>
      <c r="L115" s="71"/>
      <c r="M115" s="71"/>
      <c r="N115" s="63"/>
      <c r="O115" s="63"/>
      <c r="P115" s="59" t="s">
        <v>146</v>
      </c>
      <c r="Q115" s="59" t="s">
        <v>158</v>
      </c>
      <c r="R115" s="59" t="s">
        <v>148</v>
      </c>
      <c r="S115" s="64" t="s">
        <v>418</v>
      </c>
      <c r="T115" s="59" t="s">
        <v>382</v>
      </c>
      <c r="U115" s="62" t="s">
        <v>147</v>
      </c>
      <c r="V115" s="59" t="s">
        <v>161</v>
      </c>
      <c r="W115" s="62" t="s">
        <v>147</v>
      </c>
      <c r="X115" s="62" t="s">
        <v>154</v>
      </c>
      <c r="Y115" s="65" t="s">
        <v>155</v>
      </c>
      <c r="Z115" s="62" t="s">
        <v>192</v>
      </c>
    </row>
    <row r="116">
      <c r="A116" s="59" t="s">
        <v>419</v>
      </c>
      <c r="B116" s="60">
        <v>89.5</v>
      </c>
      <c r="C116" s="60">
        <v>0.0</v>
      </c>
      <c r="D116" s="60">
        <v>0.0</v>
      </c>
      <c r="E116" s="61">
        <v>365.0</v>
      </c>
      <c r="F116" s="61">
        <v>365.0</v>
      </c>
      <c r="G116" s="59" t="s">
        <v>148</v>
      </c>
      <c r="H116" s="61">
        <v>1000.0</v>
      </c>
      <c r="I116" s="62" t="s">
        <v>147</v>
      </c>
      <c r="J116" s="59" t="s">
        <v>148</v>
      </c>
      <c r="K116" s="59" t="s">
        <v>417</v>
      </c>
      <c r="L116" s="71"/>
      <c r="M116" s="71"/>
      <c r="N116" s="63"/>
      <c r="O116" s="63"/>
      <c r="P116" s="59" t="s">
        <v>146</v>
      </c>
      <c r="Q116" s="59" t="s">
        <v>158</v>
      </c>
      <c r="R116" s="59" t="s">
        <v>148</v>
      </c>
      <c r="S116" s="64" t="s">
        <v>420</v>
      </c>
      <c r="T116" s="59" t="s">
        <v>382</v>
      </c>
      <c r="U116" s="62" t="s">
        <v>147</v>
      </c>
      <c r="V116" s="59" t="s">
        <v>239</v>
      </c>
      <c r="W116" s="62" t="s">
        <v>147</v>
      </c>
      <c r="X116" s="62" t="s">
        <v>154</v>
      </c>
      <c r="Y116" s="65" t="s">
        <v>155</v>
      </c>
      <c r="Z116" s="62" t="s">
        <v>156</v>
      </c>
    </row>
    <row r="117">
      <c r="A117" s="59" t="s">
        <v>421</v>
      </c>
      <c r="B117" s="60">
        <v>89.0</v>
      </c>
      <c r="C117" s="60">
        <v>0.0</v>
      </c>
      <c r="D117" s="60">
        <v>0.0</v>
      </c>
      <c r="E117" s="61">
        <v>730.0</v>
      </c>
      <c r="F117" s="61">
        <v>730.0</v>
      </c>
      <c r="G117" s="59" t="s">
        <v>148</v>
      </c>
      <c r="H117" s="62" t="s">
        <v>147</v>
      </c>
      <c r="I117" s="62" t="s">
        <v>147</v>
      </c>
      <c r="J117" s="59" t="s">
        <v>148</v>
      </c>
      <c r="K117" s="59" t="s">
        <v>417</v>
      </c>
      <c r="L117" s="63"/>
      <c r="M117" s="63"/>
      <c r="N117" s="63"/>
      <c r="O117" s="63"/>
      <c r="P117" s="59" t="s">
        <v>146</v>
      </c>
      <c r="Q117" s="59" t="s">
        <v>158</v>
      </c>
      <c r="R117" s="59" t="s">
        <v>148</v>
      </c>
      <c r="S117" s="64" t="s">
        <v>422</v>
      </c>
      <c r="T117" s="59" t="s">
        <v>382</v>
      </c>
      <c r="U117" s="62" t="s">
        <v>147</v>
      </c>
      <c r="V117" s="59" t="s">
        <v>161</v>
      </c>
      <c r="W117" s="62" t="s">
        <v>147</v>
      </c>
      <c r="X117" s="62" t="s">
        <v>154</v>
      </c>
      <c r="Y117" s="65" t="s">
        <v>155</v>
      </c>
      <c r="Z117" s="62" t="s">
        <v>192</v>
      </c>
    </row>
    <row r="118">
      <c r="A118" s="59" t="s">
        <v>423</v>
      </c>
      <c r="B118" s="60">
        <v>90.0</v>
      </c>
      <c r="C118" s="60">
        <v>0.0</v>
      </c>
      <c r="D118" s="60">
        <v>0.0</v>
      </c>
      <c r="E118" s="61">
        <v>730.0</v>
      </c>
      <c r="F118" s="61">
        <v>730.0</v>
      </c>
      <c r="G118" s="59" t="s">
        <v>148</v>
      </c>
      <c r="H118" s="61">
        <v>1000.0</v>
      </c>
      <c r="I118" s="62" t="s">
        <v>147</v>
      </c>
      <c r="J118" s="59" t="s">
        <v>148</v>
      </c>
      <c r="K118" s="59" t="s">
        <v>417</v>
      </c>
      <c r="L118" s="63"/>
      <c r="M118" s="63"/>
      <c r="N118" s="63"/>
      <c r="O118" s="63"/>
      <c r="P118" s="59" t="s">
        <v>146</v>
      </c>
      <c r="Q118" s="59" t="s">
        <v>158</v>
      </c>
      <c r="R118" s="59" t="s">
        <v>148</v>
      </c>
      <c r="S118" s="64" t="s">
        <v>424</v>
      </c>
      <c r="T118" s="59" t="s">
        <v>382</v>
      </c>
      <c r="U118" s="62" t="s">
        <v>147</v>
      </c>
      <c r="V118" s="59" t="s">
        <v>239</v>
      </c>
      <c r="W118" s="62" t="s">
        <v>147</v>
      </c>
      <c r="X118" s="62" t="s">
        <v>154</v>
      </c>
      <c r="Y118" s="65" t="s">
        <v>155</v>
      </c>
      <c r="Z118" s="62" t="s">
        <v>156</v>
      </c>
    </row>
    <row r="119">
      <c r="A119" s="59" t="s">
        <v>425</v>
      </c>
      <c r="B119" s="60">
        <v>11.94</v>
      </c>
      <c r="C119" s="60">
        <v>0.0</v>
      </c>
      <c r="D119" s="60">
        <v>0.0</v>
      </c>
      <c r="E119" s="61">
        <v>365.0</v>
      </c>
      <c r="F119" s="61">
        <v>365.0</v>
      </c>
      <c r="G119" s="59" t="s">
        <v>148</v>
      </c>
      <c r="H119" s="62" t="s">
        <v>147</v>
      </c>
      <c r="I119" s="62" t="s">
        <v>147</v>
      </c>
      <c r="J119" s="59" t="s">
        <v>148</v>
      </c>
      <c r="K119" s="59" t="s">
        <v>417</v>
      </c>
      <c r="L119" s="63"/>
      <c r="M119" s="63"/>
      <c r="N119" s="63"/>
      <c r="O119" s="63"/>
      <c r="P119" s="59" t="s">
        <v>146</v>
      </c>
      <c r="Q119" s="59" t="s">
        <v>220</v>
      </c>
      <c r="R119" s="59" t="s">
        <v>148</v>
      </c>
      <c r="S119" s="64" t="s">
        <v>426</v>
      </c>
      <c r="T119" s="59" t="s">
        <v>382</v>
      </c>
      <c r="U119" s="62" t="s">
        <v>147</v>
      </c>
      <c r="V119" s="59" t="s">
        <v>161</v>
      </c>
      <c r="W119" s="62" t="s">
        <v>147</v>
      </c>
      <c r="X119" s="62" t="s">
        <v>154</v>
      </c>
      <c r="Y119" s="65" t="s">
        <v>155</v>
      </c>
      <c r="Z119" s="62" t="s">
        <v>192</v>
      </c>
    </row>
    <row r="120">
      <c r="A120" s="59" t="s">
        <v>427</v>
      </c>
      <c r="B120" s="60">
        <v>11.38</v>
      </c>
      <c r="C120" s="60">
        <v>0.0</v>
      </c>
      <c r="D120" s="60">
        <v>0.0</v>
      </c>
      <c r="E120" s="61">
        <v>730.0</v>
      </c>
      <c r="F120" s="61">
        <v>730.0</v>
      </c>
      <c r="G120" s="59" t="s">
        <v>148</v>
      </c>
      <c r="H120" s="62" t="s">
        <v>147</v>
      </c>
      <c r="I120" s="62" t="s">
        <v>147</v>
      </c>
      <c r="J120" s="59" t="s">
        <v>148</v>
      </c>
      <c r="K120" s="59" t="s">
        <v>417</v>
      </c>
      <c r="L120" s="63"/>
      <c r="M120" s="63"/>
      <c r="N120" s="63"/>
      <c r="O120" s="63"/>
      <c r="P120" s="59" t="s">
        <v>146</v>
      </c>
      <c r="Q120" s="59" t="s">
        <v>220</v>
      </c>
      <c r="R120" s="59" t="s">
        <v>148</v>
      </c>
      <c r="S120" s="64" t="s">
        <v>428</v>
      </c>
      <c r="T120" s="59" t="s">
        <v>382</v>
      </c>
      <c r="U120" s="62" t="s">
        <v>147</v>
      </c>
      <c r="V120" s="59" t="s">
        <v>161</v>
      </c>
      <c r="W120" s="62" t="s">
        <v>147</v>
      </c>
      <c r="X120" s="62" t="s">
        <v>154</v>
      </c>
      <c r="Y120" s="65" t="s">
        <v>155</v>
      </c>
      <c r="Z120" s="62" t="s">
        <v>192</v>
      </c>
    </row>
    <row r="121">
      <c r="A121" s="59" t="s">
        <v>429</v>
      </c>
      <c r="B121" s="60">
        <v>86.0</v>
      </c>
      <c r="C121" s="60">
        <v>0.0</v>
      </c>
      <c r="D121" s="60">
        <v>0.0</v>
      </c>
      <c r="E121" s="61">
        <v>365.0</v>
      </c>
      <c r="F121" s="61">
        <v>365.0</v>
      </c>
      <c r="G121" s="59" t="s">
        <v>148</v>
      </c>
      <c r="H121" s="62" t="s">
        <v>147</v>
      </c>
      <c r="I121" s="62" t="s">
        <v>147</v>
      </c>
      <c r="J121" s="59" t="s">
        <v>148</v>
      </c>
      <c r="K121" s="59" t="s">
        <v>417</v>
      </c>
      <c r="L121" s="63"/>
      <c r="M121" s="63"/>
      <c r="N121" s="63"/>
      <c r="O121" s="63"/>
      <c r="P121" s="59" t="s">
        <v>146</v>
      </c>
      <c r="Q121" s="59" t="s">
        <v>158</v>
      </c>
      <c r="R121" s="59" t="s">
        <v>148</v>
      </c>
      <c r="S121" s="64" t="s">
        <v>430</v>
      </c>
      <c r="T121" s="59" t="s">
        <v>167</v>
      </c>
      <c r="U121" s="62" t="s">
        <v>147</v>
      </c>
      <c r="V121" s="59" t="s">
        <v>161</v>
      </c>
      <c r="W121" s="62" t="s">
        <v>147</v>
      </c>
      <c r="X121" s="62" t="s">
        <v>154</v>
      </c>
      <c r="Y121" s="65" t="s">
        <v>155</v>
      </c>
      <c r="Z121" s="62" t="s">
        <v>192</v>
      </c>
    </row>
    <row r="122">
      <c r="A122" s="59" t="s">
        <v>431</v>
      </c>
      <c r="B122" s="60">
        <v>87.0</v>
      </c>
      <c r="C122" s="60">
        <v>0.0</v>
      </c>
      <c r="D122" s="60">
        <v>0.0</v>
      </c>
      <c r="E122" s="61">
        <v>365.0</v>
      </c>
      <c r="F122" s="61">
        <v>365.0</v>
      </c>
      <c r="G122" s="59" t="s">
        <v>148</v>
      </c>
      <c r="H122" s="61">
        <v>1000.0</v>
      </c>
      <c r="I122" s="62" t="s">
        <v>147</v>
      </c>
      <c r="J122" s="59" t="s">
        <v>148</v>
      </c>
      <c r="K122" s="59" t="s">
        <v>417</v>
      </c>
      <c r="L122" s="63"/>
      <c r="M122" s="63"/>
      <c r="N122" s="63"/>
      <c r="O122" s="63"/>
      <c r="P122" s="59" t="s">
        <v>146</v>
      </c>
      <c r="Q122" s="59" t="s">
        <v>158</v>
      </c>
      <c r="R122" s="59" t="s">
        <v>148</v>
      </c>
      <c r="S122" s="64" t="s">
        <v>432</v>
      </c>
      <c r="T122" s="59" t="s">
        <v>167</v>
      </c>
      <c r="U122" s="62" t="s">
        <v>147</v>
      </c>
      <c r="V122" s="59" t="s">
        <v>239</v>
      </c>
      <c r="W122" s="62" t="s">
        <v>147</v>
      </c>
      <c r="X122" s="62" t="s">
        <v>154</v>
      </c>
      <c r="Y122" s="65" t="s">
        <v>155</v>
      </c>
      <c r="Z122" s="62" t="s">
        <v>156</v>
      </c>
    </row>
    <row r="123">
      <c r="A123" s="59" t="s">
        <v>433</v>
      </c>
      <c r="B123" s="60">
        <v>86.0</v>
      </c>
      <c r="C123" s="60">
        <v>0.0</v>
      </c>
      <c r="D123" s="60">
        <v>0.0</v>
      </c>
      <c r="E123" s="61">
        <v>730.0</v>
      </c>
      <c r="F123" s="61">
        <v>730.0</v>
      </c>
      <c r="G123" s="59" t="s">
        <v>148</v>
      </c>
      <c r="H123" s="62" t="s">
        <v>147</v>
      </c>
      <c r="I123" s="62" t="s">
        <v>147</v>
      </c>
      <c r="J123" s="59" t="s">
        <v>148</v>
      </c>
      <c r="K123" s="59" t="s">
        <v>417</v>
      </c>
      <c r="L123" s="63"/>
      <c r="M123" s="63"/>
      <c r="N123" s="63"/>
      <c r="O123" s="63"/>
      <c r="P123" s="59" t="s">
        <v>146</v>
      </c>
      <c r="Q123" s="59" t="s">
        <v>158</v>
      </c>
      <c r="R123" s="59" t="s">
        <v>148</v>
      </c>
      <c r="S123" s="64" t="s">
        <v>434</v>
      </c>
      <c r="T123" s="59" t="s">
        <v>167</v>
      </c>
      <c r="U123" s="62" t="s">
        <v>147</v>
      </c>
      <c r="V123" s="59" t="s">
        <v>161</v>
      </c>
      <c r="W123" s="62" t="s">
        <v>147</v>
      </c>
      <c r="X123" s="62" t="s">
        <v>154</v>
      </c>
      <c r="Y123" s="65" t="s">
        <v>155</v>
      </c>
      <c r="Z123" s="62" t="s">
        <v>192</v>
      </c>
    </row>
    <row r="124">
      <c r="A124" s="59" t="s">
        <v>435</v>
      </c>
      <c r="B124" s="60">
        <v>87.0</v>
      </c>
      <c r="C124" s="60">
        <v>0.0</v>
      </c>
      <c r="D124" s="60">
        <v>0.0</v>
      </c>
      <c r="E124" s="61">
        <v>730.0</v>
      </c>
      <c r="F124" s="61">
        <v>730.0</v>
      </c>
      <c r="G124" s="59" t="s">
        <v>148</v>
      </c>
      <c r="H124" s="61">
        <v>1000.0</v>
      </c>
      <c r="I124" s="62" t="s">
        <v>147</v>
      </c>
      <c r="J124" s="59" t="s">
        <v>148</v>
      </c>
      <c r="K124" s="59" t="s">
        <v>417</v>
      </c>
      <c r="L124" s="63"/>
      <c r="M124" s="63"/>
      <c r="N124" s="63"/>
      <c r="O124" s="63"/>
      <c r="P124" s="59" t="s">
        <v>146</v>
      </c>
      <c r="Q124" s="59" t="s">
        <v>158</v>
      </c>
      <c r="R124" s="59" t="s">
        <v>148</v>
      </c>
      <c r="S124" s="64" t="s">
        <v>436</v>
      </c>
      <c r="T124" s="59" t="s">
        <v>167</v>
      </c>
      <c r="U124" s="62" t="s">
        <v>147</v>
      </c>
      <c r="V124" s="59" t="s">
        <v>239</v>
      </c>
      <c r="W124" s="62" t="s">
        <v>147</v>
      </c>
      <c r="X124" s="62" t="s">
        <v>154</v>
      </c>
      <c r="Y124" s="65" t="s">
        <v>155</v>
      </c>
      <c r="Z124" s="62" t="s">
        <v>156</v>
      </c>
    </row>
    <row r="125">
      <c r="A125" s="59" t="s">
        <v>437</v>
      </c>
      <c r="B125" s="60">
        <v>84.0</v>
      </c>
      <c r="C125" s="60">
        <v>0.0</v>
      </c>
      <c r="D125" s="60">
        <v>0.0</v>
      </c>
      <c r="E125" s="61">
        <v>1095.0</v>
      </c>
      <c r="F125" s="61">
        <v>1095.0</v>
      </c>
      <c r="G125" s="59" t="s">
        <v>148</v>
      </c>
      <c r="H125" s="62" t="s">
        <v>147</v>
      </c>
      <c r="I125" s="62" t="s">
        <v>147</v>
      </c>
      <c r="J125" s="59" t="s">
        <v>148</v>
      </c>
      <c r="K125" s="59" t="s">
        <v>417</v>
      </c>
      <c r="L125" s="63"/>
      <c r="M125" s="63"/>
      <c r="N125" s="63"/>
      <c r="O125" s="63"/>
      <c r="P125" s="59" t="s">
        <v>146</v>
      </c>
      <c r="Q125" s="59" t="s">
        <v>158</v>
      </c>
      <c r="R125" s="59" t="s">
        <v>148</v>
      </c>
      <c r="S125" s="64" t="s">
        <v>438</v>
      </c>
      <c r="T125" s="59" t="s">
        <v>167</v>
      </c>
      <c r="U125" s="62" t="s">
        <v>147</v>
      </c>
      <c r="V125" s="59" t="s">
        <v>161</v>
      </c>
      <c r="W125" s="62" t="s">
        <v>147</v>
      </c>
      <c r="X125" s="62" t="s">
        <v>154</v>
      </c>
      <c r="Y125" s="65" t="s">
        <v>155</v>
      </c>
      <c r="Z125" s="62" t="s">
        <v>192</v>
      </c>
    </row>
    <row r="126">
      <c r="A126" s="59" t="s">
        <v>439</v>
      </c>
      <c r="B126" s="60">
        <v>85.0</v>
      </c>
      <c r="C126" s="60">
        <v>0.0</v>
      </c>
      <c r="D126" s="60">
        <v>0.0</v>
      </c>
      <c r="E126" s="61">
        <v>1095.0</v>
      </c>
      <c r="F126" s="61">
        <v>1095.0</v>
      </c>
      <c r="G126" s="59" t="s">
        <v>148</v>
      </c>
      <c r="H126" s="61">
        <v>1000.0</v>
      </c>
      <c r="I126" s="62" t="s">
        <v>147</v>
      </c>
      <c r="J126" s="59" t="s">
        <v>148</v>
      </c>
      <c r="K126" s="59" t="s">
        <v>417</v>
      </c>
      <c r="L126" s="63"/>
      <c r="M126" s="63"/>
      <c r="N126" s="63"/>
      <c r="O126" s="63"/>
      <c r="P126" s="59" t="s">
        <v>146</v>
      </c>
      <c r="Q126" s="59" t="s">
        <v>158</v>
      </c>
      <c r="R126" s="59" t="s">
        <v>148</v>
      </c>
      <c r="S126" s="64" t="s">
        <v>440</v>
      </c>
      <c r="T126" s="59" t="s">
        <v>167</v>
      </c>
      <c r="U126" s="62" t="s">
        <v>147</v>
      </c>
      <c r="V126" s="59" t="s">
        <v>239</v>
      </c>
      <c r="W126" s="62" t="s">
        <v>147</v>
      </c>
      <c r="X126" s="62" t="s">
        <v>154</v>
      </c>
      <c r="Y126" s="65" t="s">
        <v>155</v>
      </c>
      <c r="Z126" s="62" t="s">
        <v>156</v>
      </c>
    </row>
    <row r="127">
      <c r="A127" s="59" t="s">
        <v>441</v>
      </c>
      <c r="B127" s="60">
        <v>11.4</v>
      </c>
      <c r="C127" s="60">
        <v>0.0</v>
      </c>
      <c r="D127" s="60">
        <v>0.0</v>
      </c>
      <c r="E127" s="61">
        <v>365.0</v>
      </c>
      <c r="F127" s="61">
        <v>365.0</v>
      </c>
      <c r="G127" s="59" t="s">
        <v>148</v>
      </c>
      <c r="H127" s="62" t="s">
        <v>147</v>
      </c>
      <c r="I127" s="62" t="s">
        <v>147</v>
      </c>
      <c r="J127" s="59" t="s">
        <v>148</v>
      </c>
      <c r="K127" s="59" t="s">
        <v>417</v>
      </c>
      <c r="L127" s="63"/>
      <c r="M127" s="63"/>
      <c r="N127" s="63"/>
      <c r="O127" s="63"/>
      <c r="P127" s="59" t="s">
        <v>146</v>
      </c>
      <c r="Q127" s="59" t="s">
        <v>220</v>
      </c>
      <c r="R127" s="59" t="s">
        <v>148</v>
      </c>
      <c r="S127" s="64" t="s">
        <v>442</v>
      </c>
      <c r="T127" s="59" t="s">
        <v>167</v>
      </c>
      <c r="U127" s="62" t="s">
        <v>147</v>
      </c>
      <c r="V127" s="59" t="s">
        <v>161</v>
      </c>
      <c r="W127" s="62" t="s">
        <v>147</v>
      </c>
      <c r="X127" s="62" t="s">
        <v>154</v>
      </c>
      <c r="Y127" s="65" t="s">
        <v>155</v>
      </c>
      <c r="Z127" s="62" t="s">
        <v>192</v>
      </c>
    </row>
    <row r="128">
      <c r="A128" s="59" t="s">
        <v>443</v>
      </c>
      <c r="B128" s="60">
        <v>10.84</v>
      </c>
      <c r="C128" s="60">
        <v>0.0</v>
      </c>
      <c r="D128" s="60">
        <v>0.0</v>
      </c>
      <c r="E128" s="61">
        <v>1825.0</v>
      </c>
      <c r="F128" s="61">
        <v>1825.0</v>
      </c>
      <c r="G128" s="59" t="s">
        <v>148</v>
      </c>
      <c r="H128" s="62" t="s">
        <v>147</v>
      </c>
      <c r="I128" s="62" t="s">
        <v>147</v>
      </c>
      <c r="J128" s="59" t="s">
        <v>148</v>
      </c>
      <c r="K128" s="59" t="s">
        <v>417</v>
      </c>
      <c r="L128" s="63"/>
      <c r="M128" s="63"/>
      <c r="N128" s="63"/>
      <c r="O128" s="63"/>
      <c r="P128" s="59" t="s">
        <v>146</v>
      </c>
      <c r="Q128" s="59" t="s">
        <v>220</v>
      </c>
      <c r="R128" s="59" t="s">
        <v>148</v>
      </c>
      <c r="S128" s="64" t="s">
        <v>444</v>
      </c>
      <c r="T128" s="59" t="s">
        <v>167</v>
      </c>
      <c r="U128" s="62" t="s">
        <v>147</v>
      </c>
      <c r="V128" s="59" t="s">
        <v>161</v>
      </c>
      <c r="W128" s="62" t="s">
        <v>147</v>
      </c>
      <c r="X128" s="62" t="s">
        <v>154</v>
      </c>
      <c r="Y128" s="65" t="s">
        <v>155</v>
      </c>
      <c r="Z128" s="62" t="s">
        <v>192</v>
      </c>
    </row>
    <row r="129">
      <c r="A129" s="59" t="s">
        <v>445</v>
      </c>
      <c r="B129" s="60">
        <v>88.0</v>
      </c>
      <c r="C129" s="60">
        <v>0.0</v>
      </c>
      <c r="D129" s="60">
        <v>0.0</v>
      </c>
      <c r="E129" s="61">
        <v>1080.0</v>
      </c>
      <c r="F129" s="61">
        <v>90.0</v>
      </c>
      <c r="G129" s="59" t="s">
        <v>148</v>
      </c>
      <c r="H129" s="61">
        <v>100.0</v>
      </c>
      <c r="I129" s="62" t="s">
        <v>147</v>
      </c>
      <c r="J129" s="59" t="s">
        <v>148</v>
      </c>
      <c r="K129" s="59" t="s">
        <v>417</v>
      </c>
      <c r="L129" s="63"/>
      <c r="M129" s="63"/>
      <c r="N129" s="63"/>
      <c r="O129" s="63"/>
      <c r="P129" s="59" t="s">
        <v>146</v>
      </c>
      <c r="Q129" s="59" t="s">
        <v>158</v>
      </c>
      <c r="R129" s="59" t="s">
        <v>148</v>
      </c>
      <c r="S129" s="64" t="s">
        <v>446</v>
      </c>
      <c r="T129" s="59" t="s">
        <v>447</v>
      </c>
      <c r="U129" s="62" t="s">
        <v>147</v>
      </c>
      <c r="V129" s="59" t="s">
        <v>161</v>
      </c>
      <c r="W129" s="62" t="s">
        <v>147</v>
      </c>
      <c r="X129" s="62" t="s">
        <v>154</v>
      </c>
      <c r="Y129" s="65" t="s">
        <v>155</v>
      </c>
      <c r="Z129" s="62" t="s">
        <v>156</v>
      </c>
    </row>
    <row r="130">
      <c r="A130" s="59" t="s">
        <v>448</v>
      </c>
      <c r="B130" s="60">
        <v>5.5</v>
      </c>
      <c r="C130" s="60">
        <v>0.0</v>
      </c>
      <c r="D130" s="60">
        <v>0.0</v>
      </c>
      <c r="E130" s="61">
        <v>1080.0</v>
      </c>
      <c r="F130" s="61">
        <v>1080.0</v>
      </c>
      <c r="G130" s="59" t="s">
        <v>148</v>
      </c>
      <c r="H130" s="61">
        <v>1000.0</v>
      </c>
      <c r="I130" s="62" t="s">
        <v>147</v>
      </c>
      <c r="J130" s="59" t="s">
        <v>148</v>
      </c>
      <c r="K130" s="59" t="s">
        <v>417</v>
      </c>
      <c r="L130" s="63"/>
      <c r="M130" s="63"/>
      <c r="N130" s="63"/>
      <c r="O130" s="63"/>
      <c r="P130" s="59" t="s">
        <v>146</v>
      </c>
      <c r="Q130" s="59" t="s">
        <v>232</v>
      </c>
      <c r="R130" s="59" t="s">
        <v>148</v>
      </c>
      <c r="S130" s="64" t="s">
        <v>449</v>
      </c>
      <c r="T130" s="62" t="s">
        <v>147</v>
      </c>
      <c r="U130" s="62" t="s">
        <v>147</v>
      </c>
      <c r="V130" s="59" t="s">
        <v>153</v>
      </c>
      <c r="W130" s="62" t="s">
        <v>147</v>
      </c>
      <c r="X130" s="62" t="s">
        <v>154</v>
      </c>
      <c r="Y130" s="67" t="s">
        <v>176</v>
      </c>
      <c r="Z130" s="62" t="s">
        <v>234</v>
      </c>
    </row>
    <row r="131">
      <c r="A131" s="59" t="s">
        <v>450</v>
      </c>
      <c r="B131" s="60">
        <v>92.5</v>
      </c>
      <c r="C131" s="60">
        <v>0.0</v>
      </c>
      <c r="D131" s="60">
        <v>0.0</v>
      </c>
      <c r="E131" s="61">
        <v>365.0</v>
      </c>
      <c r="F131" s="61">
        <v>365.0</v>
      </c>
      <c r="G131" s="59" t="s">
        <v>148</v>
      </c>
      <c r="H131" s="66" t="s">
        <v>147</v>
      </c>
      <c r="I131" s="66" t="s">
        <v>147</v>
      </c>
      <c r="J131" s="59" t="s">
        <v>148</v>
      </c>
      <c r="K131" s="59" t="s">
        <v>417</v>
      </c>
      <c r="L131" s="63"/>
      <c r="M131" s="63"/>
      <c r="N131" s="63"/>
      <c r="O131" s="63"/>
      <c r="P131" s="59" t="s">
        <v>146</v>
      </c>
      <c r="Q131" s="59" t="s">
        <v>158</v>
      </c>
      <c r="R131" s="59" t="s">
        <v>148</v>
      </c>
      <c r="S131" s="64" t="s">
        <v>451</v>
      </c>
      <c r="T131" s="59" t="s">
        <v>452</v>
      </c>
      <c r="U131" s="66" t="s">
        <v>147</v>
      </c>
      <c r="V131" s="59" t="s">
        <v>161</v>
      </c>
      <c r="W131" s="66" t="s">
        <v>147</v>
      </c>
      <c r="X131" s="66" t="s">
        <v>162</v>
      </c>
      <c r="Y131" s="65" t="s">
        <v>155</v>
      </c>
      <c r="Z131" s="66" t="s">
        <v>192</v>
      </c>
    </row>
    <row r="132">
      <c r="A132" s="59" t="s">
        <v>453</v>
      </c>
      <c r="B132" s="60">
        <v>93.5</v>
      </c>
      <c r="C132" s="60">
        <v>0.0</v>
      </c>
      <c r="D132" s="60">
        <v>0.0</v>
      </c>
      <c r="E132" s="61">
        <v>730.0</v>
      </c>
      <c r="F132" s="61">
        <v>730.0</v>
      </c>
      <c r="G132" s="59" t="s">
        <v>148</v>
      </c>
      <c r="H132" s="66" t="s">
        <v>147</v>
      </c>
      <c r="I132" s="66" t="s">
        <v>147</v>
      </c>
      <c r="J132" s="59" t="s">
        <v>148</v>
      </c>
      <c r="K132" s="59" t="s">
        <v>417</v>
      </c>
      <c r="L132" s="63"/>
      <c r="M132" s="63"/>
      <c r="N132" s="63"/>
      <c r="O132" s="63"/>
      <c r="P132" s="59" t="s">
        <v>146</v>
      </c>
      <c r="Q132" s="59" t="s">
        <v>158</v>
      </c>
      <c r="R132" s="59" t="s">
        <v>148</v>
      </c>
      <c r="S132" s="64" t="s">
        <v>454</v>
      </c>
      <c r="T132" s="59" t="s">
        <v>452</v>
      </c>
      <c r="U132" s="66" t="s">
        <v>147</v>
      </c>
      <c r="V132" s="59" t="s">
        <v>161</v>
      </c>
      <c r="W132" s="66" t="s">
        <v>147</v>
      </c>
      <c r="X132" s="66" t="s">
        <v>162</v>
      </c>
      <c r="Y132" s="65" t="s">
        <v>155</v>
      </c>
      <c r="Z132" s="66" t="s">
        <v>192</v>
      </c>
    </row>
    <row r="133">
      <c r="A133" s="59" t="s">
        <v>455</v>
      </c>
      <c r="B133" s="60">
        <v>93.5</v>
      </c>
      <c r="C133" s="60">
        <v>0.0</v>
      </c>
      <c r="D133" s="60">
        <v>0.0</v>
      </c>
      <c r="E133" s="61">
        <v>1095.0</v>
      </c>
      <c r="F133" s="61">
        <v>1095.0</v>
      </c>
      <c r="G133" s="59" t="s">
        <v>148</v>
      </c>
      <c r="H133" s="62" t="s">
        <v>147</v>
      </c>
      <c r="I133" s="62" t="s">
        <v>147</v>
      </c>
      <c r="J133" s="59" t="s">
        <v>148</v>
      </c>
      <c r="K133" s="59" t="s">
        <v>417</v>
      </c>
      <c r="L133" s="63"/>
      <c r="M133" s="63"/>
      <c r="N133" s="63"/>
      <c r="O133" s="63"/>
      <c r="P133" s="59" t="s">
        <v>146</v>
      </c>
      <c r="Q133" s="59" t="s">
        <v>158</v>
      </c>
      <c r="R133" s="59" t="s">
        <v>148</v>
      </c>
      <c r="S133" s="64" t="s">
        <v>456</v>
      </c>
      <c r="T133" s="59" t="s">
        <v>452</v>
      </c>
      <c r="U133" s="62" t="s">
        <v>147</v>
      </c>
      <c r="V133" s="59" t="s">
        <v>161</v>
      </c>
      <c r="W133" s="62" t="s">
        <v>147</v>
      </c>
      <c r="X133" s="62" t="s">
        <v>154</v>
      </c>
      <c r="Y133" s="65" t="s">
        <v>155</v>
      </c>
      <c r="Z133" s="62" t="s">
        <v>192</v>
      </c>
    </row>
    <row r="134">
      <c r="A134" s="59" t="s">
        <v>457</v>
      </c>
      <c r="B134" s="60">
        <v>12.05</v>
      </c>
      <c r="C134" s="60">
        <v>0.0</v>
      </c>
      <c r="D134" s="60">
        <v>0.0</v>
      </c>
      <c r="E134" s="61">
        <v>365.0</v>
      </c>
      <c r="F134" s="61">
        <v>365.0</v>
      </c>
      <c r="G134" s="59" t="s">
        <v>148</v>
      </c>
      <c r="H134" s="62" t="s">
        <v>147</v>
      </c>
      <c r="I134" s="62" t="s">
        <v>147</v>
      </c>
      <c r="J134" s="59" t="s">
        <v>148</v>
      </c>
      <c r="K134" s="59" t="s">
        <v>417</v>
      </c>
      <c r="L134" s="63"/>
      <c r="M134" s="63"/>
      <c r="N134" s="63"/>
      <c r="O134" s="63"/>
      <c r="P134" s="59" t="s">
        <v>146</v>
      </c>
      <c r="Q134" s="59" t="s">
        <v>220</v>
      </c>
      <c r="R134" s="59" t="s">
        <v>148</v>
      </c>
      <c r="S134" s="64" t="s">
        <v>458</v>
      </c>
      <c r="T134" s="59" t="s">
        <v>452</v>
      </c>
      <c r="U134" s="62" t="s">
        <v>147</v>
      </c>
      <c r="V134" s="59" t="s">
        <v>161</v>
      </c>
      <c r="W134" s="62" t="s">
        <v>147</v>
      </c>
      <c r="X134" s="62" t="s">
        <v>154</v>
      </c>
      <c r="Y134" s="65" t="s">
        <v>155</v>
      </c>
      <c r="Z134" s="62" t="s">
        <v>192</v>
      </c>
    </row>
    <row r="135">
      <c r="A135" s="59" t="s">
        <v>459</v>
      </c>
      <c r="B135" s="60">
        <v>11.86</v>
      </c>
      <c r="C135" s="60">
        <v>0.0</v>
      </c>
      <c r="D135" s="60">
        <v>0.0</v>
      </c>
      <c r="E135" s="61">
        <v>730.0</v>
      </c>
      <c r="F135" s="61">
        <v>730.0</v>
      </c>
      <c r="G135" s="59" t="s">
        <v>148</v>
      </c>
      <c r="H135" s="62" t="s">
        <v>147</v>
      </c>
      <c r="I135" s="62" t="s">
        <v>147</v>
      </c>
      <c r="J135" s="59" t="s">
        <v>148</v>
      </c>
      <c r="K135" s="59" t="s">
        <v>417</v>
      </c>
      <c r="L135" s="63"/>
      <c r="M135" s="63"/>
      <c r="N135" s="63"/>
      <c r="O135" s="63"/>
      <c r="P135" s="59" t="s">
        <v>146</v>
      </c>
      <c r="Q135" s="59" t="s">
        <v>220</v>
      </c>
      <c r="R135" s="59" t="s">
        <v>148</v>
      </c>
      <c r="S135" s="64" t="s">
        <v>460</v>
      </c>
      <c r="T135" s="59" t="s">
        <v>452</v>
      </c>
      <c r="U135" s="62" t="s">
        <v>147</v>
      </c>
      <c r="V135" s="59" t="s">
        <v>161</v>
      </c>
      <c r="W135" s="62" t="s">
        <v>147</v>
      </c>
      <c r="X135" s="62" t="s">
        <v>154</v>
      </c>
      <c r="Y135" s="65" t="s">
        <v>155</v>
      </c>
      <c r="Z135" s="62" t="s">
        <v>192</v>
      </c>
    </row>
    <row r="136">
      <c r="A136" s="59" t="s">
        <v>461</v>
      </c>
      <c r="B136" s="60">
        <v>11.8</v>
      </c>
      <c r="C136" s="60">
        <v>0.0</v>
      </c>
      <c r="D136" s="60">
        <v>0.0</v>
      </c>
      <c r="E136" s="61">
        <v>1095.0</v>
      </c>
      <c r="F136" s="61">
        <v>1095.0</v>
      </c>
      <c r="G136" s="59" t="s">
        <v>148</v>
      </c>
      <c r="H136" s="62" t="s">
        <v>147</v>
      </c>
      <c r="I136" s="62" t="s">
        <v>147</v>
      </c>
      <c r="J136" s="59" t="s">
        <v>148</v>
      </c>
      <c r="K136" s="59" t="s">
        <v>417</v>
      </c>
      <c r="L136" s="63"/>
      <c r="M136" s="63"/>
      <c r="N136" s="63"/>
      <c r="O136" s="63"/>
      <c r="P136" s="59" t="s">
        <v>146</v>
      </c>
      <c r="Q136" s="59" t="s">
        <v>220</v>
      </c>
      <c r="R136" s="59" t="s">
        <v>148</v>
      </c>
      <c r="S136" s="64" t="s">
        <v>462</v>
      </c>
      <c r="T136" s="59" t="s">
        <v>452</v>
      </c>
      <c r="U136" s="62" t="s">
        <v>147</v>
      </c>
      <c r="V136" s="59" t="s">
        <v>161</v>
      </c>
      <c r="W136" s="62" t="s">
        <v>147</v>
      </c>
      <c r="X136" s="62" t="s">
        <v>154</v>
      </c>
      <c r="Y136" s="65" t="s">
        <v>155</v>
      </c>
      <c r="Z136" s="62" t="s">
        <v>192</v>
      </c>
    </row>
    <row r="137">
      <c r="A137" s="59" t="s">
        <v>463</v>
      </c>
      <c r="B137" s="60">
        <v>90.0</v>
      </c>
      <c r="C137" s="60">
        <v>0.0</v>
      </c>
      <c r="D137" s="60">
        <v>0.0</v>
      </c>
      <c r="E137" s="61">
        <v>360.0</v>
      </c>
      <c r="F137" s="61">
        <v>360.0</v>
      </c>
      <c r="G137" s="59" t="s">
        <v>148</v>
      </c>
      <c r="H137" s="61">
        <v>1000.0</v>
      </c>
      <c r="I137" s="62" t="s">
        <v>147</v>
      </c>
      <c r="J137" s="59" t="s">
        <v>148</v>
      </c>
      <c r="K137" s="59" t="s">
        <v>417</v>
      </c>
      <c r="L137" s="63"/>
      <c r="M137" s="63"/>
      <c r="N137" s="63"/>
      <c r="O137" s="63"/>
      <c r="P137" s="59" t="s">
        <v>146</v>
      </c>
      <c r="Q137" s="59" t="s">
        <v>158</v>
      </c>
      <c r="R137" s="59" t="s">
        <v>148</v>
      </c>
      <c r="S137" s="64" t="s">
        <v>464</v>
      </c>
      <c r="T137" s="62" t="s">
        <v>147</v>
      </c>
      <c r="U137" s="62" t="s">
        <v>147</v>
      </c>
      <c r="V137" s="59" t="s">
        <v>153</v>
      </c>
      <c r="W137" s="62" t="s">
        <v>147</v>
      </c>
      <c r="X137" s="62" t="s">
        <v>154</v>
      </c>
      <c r="Y137" s="67" t="s">
        <v>176</v>
      </c>
      <c r="Z137" s="62" t="s">
        <v>234</v>
      </c>
    </row>
    <row r="138">
      <c r="A138" s="59" t="s">
        <v>465</v>
      </c>
      <c r="B138" s="60">
        <v>11.46</v>
      </c>
      <c r="C138" s="60">
        <v>0.0</v>
      </c>
      <c r="D138" s="60">
        <v>0.0</v>
      </c>
      <c r="E138" s="61">
        <v>360.0</v>
      </c>
      <c r="F138" s="61">
        <v>360.0</v>
      </c>
      <c r="G138" s="59" t="s">
        <v>148</v>
      </c>
      <c r="H138" s="61">
        <v>1000.0</v>
      </c>
      <c r="I138" s="62" t="s">
        <v>147</v>
      </c>
      <c r="J138" s="59" t="s">
        <v>148</v>
      </c>
      <c r="K138" s="59" t="s">
        <v>417</v>
      </c>
      <c r="L138" s="63"/>
      <c r="M138" s="63"/>
      <c r="N138" s="63"/>
      <c r="O138" s="63"/>
      <c r="P138" s="59" t="s">
        <v>146</v>
      </c>
      <c r="Q138" s="59" t="s">
        <v>220</v>
      </c>
      <c r="R138" s="59" t="s">
        <v>148</v>
      </c>
      <c r="S138" s="64" t="s">
        <v>466</v>
      </c>
      <c r="T138" s="62" t="s">
        <v>147</v>
      </c>
      <c r="U138" s="62" t="s">
        <v>147</v>
      </c>
      <c r="V138" s="59" t="s">
        <v>153</v>
      </c>
      <c r="W138" s="62" t="s">
        <v>147</v>
      </c>
      <c r="X138" s="62" t="s">
        <v>154</v>
      </c>
      <c r="Y138" s="67" t="s">
        <v>176</v>
      </c>
      <c r="Z138" s="62" t="s">
        <v>234</v>
      </c>
    </row>
    <row r="139">
      <c r="A139" s="59" t="s">
        <v>467</v>
      </c>
      <c r="B139" s="60">
        <v>93.5</v>
      </c>
      <c r="C139" s="60">
        <v>0.0</v>
      </c>
      <c r="D139" s="60">
        <v>0.0</v>
      </c>
      <c r="E139" s="61">
        <v>360.0</v>
      </c>
      <c r="F139" s="61">
        <v>360.0</v>
      </c>
      <c r="G139" s="59" t="s">
        <v>148</v>
      </c>
      <c r="H139" s="61">
        <v>1000.0</v>
      </c>
      <c r="I139" s="68" t="s">
        <v>147</v>
      </c>
      <c r="J139" s="59" t="s">
        <v>148</v>
      </c>
      <c r="K139" s="59" t="s">
        <v>417</v>
      </c>
      <c r="L139" s="71"/>
      <c r="M139" s="71"/>
      <c r="N139" s="71"/>
      <c r="O139" s="71"/>
      <c r="P139" s="59" t="s">
        <v>146</v>
      </c>
      <c r="Q139" s="59" t="s">
        <v>158</v>
      </c>
      <c r="R139" s="59" t="s">
        <v>148</v>
      </c>
      <c r="S139" s="64" t="s">
        <v>468</v>
      </c>
      <c r="T139" s="59" t="s">
        <v>469</v>
      </c>
      <c r="U139" s="68" t="s">
        <v>147</v>
      </c>
      <c r="V139" s="59" t="s">
        <v>161</v>
      </c>
      <c r="W139" s="68" t="s">
        <v>147</v>
      </c>
      <c r="X139" s="68" t="s">
        <v>201</v>
      </c>
      <c r="Y139" s="67" t="s">
        <v>176</v>
      </c>
      <c r="Z139" s="68" t="s">
        <v>156</v>
      </c>
    </row>
    <row r="140">
      <c r="A140" s="59" t="s">
        <v>470</v>
      </c>
      <c r="B140" s="60">
        <v>92.0</v>
      </c>
      <c r="C140" s="60">
        <v>0.0</v>
      </c>
      <c r="D140" s="60">
        <v>0.0</v>
      </c>
      <c r="E140" s="61">
        <v>180.0</v>
      </c>
      <c r="F140" s="61">
        <v>180.0</v>
      </c>
      <c r="G140" s="59" t="s">
        <v>148</v>
      </c>
      <c r="H140" s="61">
        <v>1000.0</v>
      </c>
      <c r="I140" s="68" t="s">
        <v>147</v>
      </c>
      <c r="J140" s="59" t="s">
        <v>148</v>
      </c>
      <c r="K140" s="59" t="s">
        <v>471</v>
      </c>
      <c r="L140" s="63"/>
      <c r="M140" s="63"/>
      <c r="N140" s="63"/>
      <c r="O140" s="63"/>
      <c r="P140" s="59" t="s">
        <v>146</v>
      </c>
      <c r="Q140" s="59" t="s">
        <v>158</v>
      </c>
      <c r="R140" s="59" t="s">
        <v>148</v>
      </c>
      <c r="S140" s="64" t="s">
        <v>472</v>
      </c>
      <c r="T140" s="59" t="s">
        <v>224</v>
      </c>
      <c r="U140" s="68" t="s">
        <v>147</v>
      </c>
      <c r="V140" s="59" t="s">
        <v>161</v>
      </c>
      <c r="W140" s="68" t="s">
        <v>147</v>
      </c>
      <c r="X140" s="68" t="s">
        <v>201</v>
      </c>
      <c r="Y140" s="67" t="s">
        <v>176</v>
      </c>
      <c r="Z140" s="68" t="s">
        <v>156</v>
      </c>
    </row>
    <row r="141">
      <c r="A141" s="59" t="s">
        <v>473</v>
      </c>
      <c r="B141" s="60">
        <v>5.82</v>
      </c>
      <c r="C141" s="60">
        <v>0.0</v>
      </c>
      <c r="D141" s="60">
        <v>0.0</v>
      </c>
      <c r="E141" s="61">
        <v>720.0</v>
      </c>
      <c r="F141" s="61">
        <v>720.0</v>
      </c>
      <c r="G141" s="59" t="s">
        <v>148</v>
      </c>
      <c r="H141" s="61">
        <v>1000.0</v>
      </c>
      <c r="I141" s="62" t="s">
        <v>147</v>
      </c>
      <c r="J141" s="59" t="s">
        <v>148</v>
      </c>
      <c r="K141" s="59" t="s">
        <v>471</v>
      </c>
      <c r="L141" s="63"/>
      <c r="M141" s="63"/>
      <c r="N141" s="63"/>
      <c r="O141" s="63"/>
      <c r="P141" s="59" t="s">
        <v>146</v>
      </c>
      <c r="Q141" s="59" t="s">
        <v>232</v>
      </c>
      <c r="R141" s="59" t="s">
        <v>148</v>
      </c>
      <c r="S141" s="64" t="s">
        <v>474</v>
      </c>
      <c r="T141" s="62" t="s">
        <v>147</v>
      </c>
      <c r="U141" s="62" t="s">
        <v>147</v>
      </c>
      <c r="V141" s="59" t="s">
        <v>153</v>
      </c>
      <c r="W141" s="62" t="s">
        <v>147</v>
      </c>
      <c r="X141" s="62" t="s">
        <v>154</v>
      </c>
      <c r="Y141" s="67" t="s">
        <v>176</v>
      </c>
      <c r="Z141" s="62" t="s">
        <v>234</v>
      </c>
    </row>
    <row r="142">
      <c r="A142" s="59" t="s">
        <v>475</v>
      </c>
      <c r="B142" s="60">
        <v>100.0</v>
      </c>
      <c r="C142" s="60">
        <v>0.0</v>
      </c>
      <c r="D142" s="60">
        <v>0.0</v>
      </c>
      <c r="E142" s="61">
        <v>360.0</v>
      </c>
      <c r="F142" s="61">
        <v>360.0</v>
      </c>
      <c r="G142" s="59" t="s">
        <v>148</v>
      </c>
      <c r="H142" s="61">
        <v>1000.0</v>
      </c>
      <c r="I142" s="68" t="s">
        <v>147</v>
      </c>
      <c r="J142" s="59" t="s">
        <v>148</v>
      </c>
      <c r="K142" s="59" t="s">
        <v>471</v>
      </c>
      <c r="L142" s="63"/>
      <c r="M142" s="63"/>
      <c r="N142" s="63"/>
      <c r="O142" s="63"/>
      <c r="P142" s="59" t="s">
        <v>146</v>
      </c>
      <c r="Q142" s="59" t="s">
        <v>158</v>
      </c>
      <c r="R142" s="59" t="s">
        <v>148</v>
      </c>
      <c r="S142" s="64" t="s">
        <v>476</v>
      </c>
      <c r="T142" s="68" t="s">
        <v>147</v>
      </c>
      <c r="U142" s="68" t="s">
        <v>147</v>
      </c>
      <c r="V142" s="59" t="s">
        <v>153</v>
      </c>
      <c r="W142" s="68" t="s">
        <v>147</v>
      </c>
      <c r="X142" s="68" t="s">
        <v>201</v>
      </c>
      <c r="Y142" s="67" t="s">
        <v>176</v>
      </c>
      <c r="Z142" s="68" t="s">
        <v>234</v>
      </c>
    </row>
    <row r="143">
      <c r="A143" s="59" t="s">
        <v>477</v>
      </c>
      <c r="B143" s="60">
        <v>11.46</v>
      </c>
      <c r="C143" s="60">
        <v>0.0</v>
      </c>
      <c r="D143" s="60">
        <v>0.0</v>
      </c>
      <c r="E143" s="61">
        <v>360.0</v>
      </c>
      <c r="F143" s="61">
        <v>360.0</v>
      </c>
      <c r="G143" s="59" t="s">
        <v>148</v>
      </c>
      <c r="H143" s="61">
        <v>1000.0</v>
      </c>
      <c r="I143" s="62" t="s">
        <v>147</v>
      </c>
      <c r="J143" s="59" t="s">
        <v>148</v>
      </c>
      <c r="K143" s="59" t="s">
        <v>471</v>
      </c>
      <c r="L143" s="63"/>
      <c r="M143" s="63"/>
      <c r="N143" s="63"/>
      <c r="O143" s="63"/>
      <c r="P143" s="59" t="s">
        <v>146</v>
      </c>
      <c r="Q143" s="59" t="s">
        <v>220</v>
      </c>
      <c r="R143" s="59" t="s">
        <v>148</v>
      </c>
      <c r="S143" s="64" t="s">
        <v>466</v>
      </c>
      <c r="T143" s="62" t="s">
        <v>147</v>
      </c>
      <c r="U143" s="62" t="s">
        <v>147</v>
      </c>
      <c r="V143" s="59" t="s">
        <v>153</v>
      </c>
      <c r="W143" s="62" t="s">
        <v>147</v>
      </c>
      <c r="X143" s="62" t="s">
        <v>154</v>
      </c>
      <c r="Y143" s="67" t="s">
        <v>176</v>
      </c>
      <c r="Z143" s="62" t="s">
        <v>234</v>
      </c>
    </row>
    <row r="144">
      <c r="A144" s="59" t="s">
        <v>478</v>
      </c>
      <c r="B144" s="60">
        <v>100.0</v>
      </c>
      <c r="C144" s="60">
        <v>0.0</v>
      </c>
      <c r="D144" s="60">
        <v>0.0</v>
      </c>
      <c r="E144" s="61">
        <v>1.0</v>
      </c>
      <c r="F144" s="61">
        <v>0.0</v>
      </c>
      <c r="G144" s="59" t="s">
        <v>146</v>
      </c>
      <c r="H144" s="61">
        <v>1000.0</v>
      </c>
      <c r="I144" s="62" t="s">
        <v>147</v>
      </c>
      <c r="J144" s="59" t="s">
        <v>148</v>
      </c>
      <c r="K144" s="59" t="s">
        <v>149</v>
      </c>
      <c r="L144" s="63"/>
      <c r="M144" s="63"/>
      <c r="N144" s="63"/>
      <c r="O144" s="63"/>
      <c r="P144" s="59" t="s">
        <v>146</v>
      </c>
      <c r="Q144" s="59" t="s">
        <v>158</v>
      </c>
      <c r="R144" s="59" t="s">
        <v>146</v>
      </c>
      <c r="S144" s="64" t="s">
        <v>479</v>
      </c>
      <c r="T144" s="59" t="s">
        <v>480</v>
      </c>
      <c r="U144" s="62" t="s">
        <v>147</v>
      </c>
      <c r="V144" s="59" t="s">
        <v>161</v>
      </c>
      <c r="W144" s="62" t="s">
        <v>147</v>
      </c>
      <c r="X144" s="62" t="s">
        <v>154</v>
      </c>
      <c r="Y144" s="65" t="s">
        <v>155</v>
      </c>
      <c r="Z144" s="62" t="s">
        <v>156</v>
      </c>
    </row>
    <row r="145">
      <c r="A145" s="59" t="s">
        <v>481</v>
      </c>
      <c r="B145" s="60">
        <v>104.21</v>
      </c>
      <c r="C145" s="60">
        <v>0.0</v>
      </c>
      <c r="D145" s="60">
        <v>0.0</v>
      </c>
      <c r="E145" s="61">
        <v>1.0</v>
      </c>
      <c r="F145" s="61">
        <v>0.0</v>
      </c>
      <c r="G145" s="59" t="s">
        <v>146</v>
      </c>
      <c r="H145" s="61">
        <v>1000.0</v>
      </c>
      <c r="I145" s="66" t="s">
        <v>147</v>
      </c>
      <c r="J145" s="59" t="s">
        <v>148</v>
      </c>
      <c r="K145" s="59" t="s">
        <v>149</v>
      </c>
      <c r="L145" s="63"/>
      <c r="M145" s="63"/>
      <c r="N145" s="63"/>
      <c r="O145" s="63"/>
      <c r="P145" s="59" t="s">
        <v>146</v>
      </c>
      <c r="Q145" s="59" t="s">
        <v>158</v>
      </c>
      <c r="R145" s="59" t="s">
        <v>146</v>
      </c>
      <c r="S145" s="64" t="s">
        <v>482</v>
      </c>
      <c r="T145" s="59" t="s">
        <v>483</v>
      </c>
      <c r="U145" s="66" t="s">
        <v>147</v>
      </c>
      <c r="V145" s="59" t="s">
        <v>161</v>
      </c>
      <c r="W145" s="66" t="s">
        <v>147</v>
      </c>
      <c r="X145" s="66" t="s">
        <v>162</v>
      </c>
      <c r="Y145" s="65" t="s">
        <v>155</v>
      </c>
      <c r="Z145" s="66" t="s">
        <v>156</v>
      </c>
    </row>
    <row r="146">
      <c r="A146" s="59" t="s">
        <v>484</v>
      </c>
      <c r="B146" s="60">
        <v>100.0</v>
      </c>
      <c r="C146" s="60">
        <v>0.0</v>
      </c>
      <c r="D146" s="60">
        <v>0.0</v>
      </c>
      <c r="E146" s="61">
        <v>1.0</v>
      </c>
      <c r="F146" s="61">
        <v>0.0</v>
      </c>
      <c r="G146" s="59" t="s">
        <v>146</v>
      </c>
      <c r="H146" s="61">
        <v>100.0</v>
      </c>
      <c r="I146" s="62" t="s">
        <v>147</v>
      </c>
      <c r="J146" s="59" t="s">
        <v>148</v>
      </c>
      <c r="K146" s="59" t="s">
        <v>149</v>
      </c>
      <c r="L146" s="63"/>
      <c r="M146" s="63"/>
      <c r="N146" s="63"/>
      <c r="O146" s="63"/>
      <c r="P146" s="59" t="s">
        <v>146</v>
      </c>
      <c r="Q146" s="59" t="s">
        <v>158</v>
      </c>
      <c r="R146" s="59" t="s">
        <v>146</v>
      </c>
      <c r="S146" s="64" t="s">
        <v>485</v>
      </c>
      <c r="T146" s="59" t="s">
        <v>483</v>
      </c>
      <c r="U146" s="62" t="s">
        <v>147</v>
      </c>
      <c r="V146" s="59" t="s">
        <v>161</v>
      </c>
      <c r="W146" s="62" t="s">
        <v>147</v>
      </c>
      <c r="X146" s="62" t="s">
        <v>154</v>
      </c>
      <c r="Y146" s="65" t="s">
        <v>155</v>
      </c>
      <c r="Z146" s="62" t="s">
        <v>156</v>
      </c>
    </row>
    <row r="147">
      <c r="A147" s="59" t="s">
        <v>486</v>
      </c>
      <c r="B147" s="60">
        <v>100.0</v>
      </c>
      <c r="C147" s="60">
        <v>0.0</v>
      </c>
      <c r="D147" s="60">
        <v>0.0</v>
      </c>
      <c r="E147" s="61">
        <v>1.0</v>
      </c>
      <c r="F147" s="61">
        <v>0.0</v>
      </c>
      <c r="G147" s="59" t="s">
        <v>146</v>
      </c>
      <c r="H147" s="61">
        <v>100.0</v>
      </c>
      <c r="I147" s="62" t="s">
        <v>147</v>
      </c>
      <c r="J147" s="59" t="s">
        <v>148</v>
      </c>
      <c r="K147" s="59" t="s">
        <v>149</v>
      </c>
      <c r="L147" s="63"/>
      <c r="M147" s="63"/>
      <c r="N147" s="63"/>
      <c r="O147" s="63"/>
      <c r="P147" s="59" t="s">
        <v>146</v>
      </c>
      <c r="Q147" s="59" t="s">
        <v>158</v>
      </c>
      <c r="R147" s="59" t="s">
        <v>146</v>
      </c>
      <c r="S147" s="64" t="s">
        <v>487</v>
      </c>
      <c r="T147" s="59" t="s">
        <v>483</v>
      </c>
      <c r="U147" s="62" t="s">
        <v>147</v>
      </c>
      <c r="V147" s="59" t="s">
        <v>161</v>
      </c>
      <c r="W147" s="62" t="s">
        <v>147</v>
      </c>
      <c r="X147" s="62" t="s">
        <v>154</v>
      </c>
      <c r="Y147" s="65" t="s">
        <v>155</v>
      </c>
      <c r="Z147" s="62" t="s">
        <v>156</v>
      </c>
    </row>
    <row r="148">
      <c r="A148" s="59" t="s">
        <v>488</v>
      </c>
      <c r="B148" s="60">
        <v>115.0</v>
      </c>
      <c r="C148" s="60">
        <v>0.0</v>
      </c>
      <c r="D148" s="60">
        <v>0.0</v>
      </c>
      <c r="E148" s="61">
        <v>0.0</v>
      </c>
      <c r="F148" s="61">
        <v>0.0</v>
      </c>
      <c r="G148" s="59" t="s">
        <v>146</v>
      </c>
      <c r="H148" s="61">
        <v>1.0</v>
      </c>
      <c r="I148" s="70">
        <v>5000.0</v>
      </c>
      <c r="J148" s="59" t="s">
        <v>148</v>
      </c>
      <c r="K148" s="59" t="s">
        <v>404</v>
      </c>
      <c r="L148" s="63"/>
      <c r="M148" s="63"/>
      <c r="N148" s="63"/>
      <c r="O148" s="63"/>
      <c r="P148" s="59" t="s">
        <v>146</v>
      </c>
      <c r="Q148" s="59" t="s">
        <v>158</v>
      </c>
      <c r="R148" s="59" t="s">
        <v>146</v>
      </c>
      <c r="S148" s="64" t="s">
        <v>489</v>
      </c>
      <c r="T148" s="59" t="s">
        <v>490</v>
      </c>
      <c r="U148" s="70" t="s">
        <v>147</v>
      </c>
      <c r="V148" s="59" t="s">
        <v>161</v>
      </c>
      <c r="W148" s="70" t="s">
        <v>147</v>
      </c>
      <c r="X148" s="70" t="s">
        <v>368</v>
      </c>
      <c r="Y148" s="65" t="s">
        <v>217</v>
      </c>
      <c r="Z148" s="70" t="s">
        <v>218</v>
      </c>
    </row>
    <row r="149">
      <c r="A149" s="59" t="s">
        <v>491</v>
      </c>
      <c r="B149" s="60">
        <v>120.0</v>
      </c>
      <c r="C149" s="60">
        <v>0.0</v>
      </c>
      <c r="D149" s="60">
        <v>0.0</v>
      </c>
      <c r="E149" s="61">
        <v>0.0</v>
      </c>
      <c r="F149" s="61">
        <v>0.0</v>
      </c>
      <c r="G149" s="59" t="s">
        <v>146</v>
      </c>
      <c r="H149" s="61">
        <v>1.0</v>
      </c>
      <c r="I149" s="70">
        <v>10000.0</v>
      </c>
      <c r="J149" s="59" t="s">
        <v>148</v>
      </c>
      <c r="K149" s="59" t="s">
        <v>404</v>
      </c>
      <c r="L149" s="63"/>
      <c r="M149" s="63"/>
      <c r="N149" s="63"/>
      <c r="O149" s="63"/>
      <c r="P149" s="59" t="s">
        <v>146</v>
      </c>
      <c r="Q149" s="59" t="s">
        <v>158</v>
      </c>
      <c r="R149" s="59" t="s">
        <v>146</v>
      </c>
      <c r="S149" s="64" t="s">
        <v>492</v>
      </c>
      <c r="T149" s="59" t="s">
        <v>490</v>
      </c>
      <c r="U149" s="70" t="s">
        <v>147</v>
      </c>
      <c r="V149" s="59" t="s">
        <v>161</v>
      </c>
      <c r="W149" s="70" t="s">
        <v>147</v>
      </c>
      <c r="X149" s="70" t="s">
        <v>368</v>
      </c>
      <c r="Y149" s="65" t="s">
        <v>217</v>
      </c>
      <c r="Z149" s="70" t="s">
        <v>218</v>
      </c>
    </row>
    <row r="150">
      <c r="A150" s="59" t="s">
        <v>493</v>
      </c>
      <c r="B150" s="60">
        <v>115.0</v>
      </c>
      <c r="C150" s="60">
        <v>0.0</v>
      </c>
      <c r="D150" s="60">
        <v>0.0</v>
      </c>
      <c r="E150" s="61">
        <v>730.0</v>
      </c>
      <c r="F150" s="61">
        <v>0.0</v>
      </c>
      <c r="G150" s="59" t="s">
        <v>146</v>
      </c>
      <c r="H150" s="61">
        <v>1.0</v>
      </c>
      <c r="I150" s="70">
        <v>5000.0</v>
      </c>
      <c r="J150" s="59" t="s">
        <v>148</v>
      </c>
      <c r="K150" s="59" t="s">
        <v>404</v>
      </c>
      <c r="L150" s="63"/>
      <c r="M150" s="63"/>
      <c r="N150" s="63"/>
      <c r="O150" s="63"/>
      <c r="P150" s="59" t="s">
        <v>146</v>
      </c>
      <c r="Q150" s="59" t="s">
        <v>158</v>
      </c>
      <c r="R150" s="59" t="s">
        <v>148</v>
      </c>
      <c r="S150" s="64" t="s">
        <v>494</v>
      </c>
      <c r="T150" s="59" t="s">
        <v>495</v>
      </c>
      <c r="U150" s="70" t="s">
        <v>147</v>
      </c>
      <c r="V150" s="59" t="s">
        <v>161</v>
      </c>
      <c r="W150" s="70" t="s">
        <v>147</v>
      </c>
      <c r="X150" s="70" t="s">
        <v>368</v>
      </c>
      <c r="Y150" s="65" t="s">
        <v>217</v>
      </c>
      <c r="Z150" s="70" t="s">
        <v>218</v>
      </c>
    </row>
    <row r="151">
      <c r="A151" s="59" t="s">
        <v>496</v>
      </c>
      <c r="B151" s="60">
        <v>110.37</v>
      </c>
      <c r="C151" s="60">
        <v>0.0</v>
      </c>
      <c r="D151" s="60">
        <v>0.0</v>
      </c>
      <c r="E151" s="61">
        <v>1.0</v>
      </c>
      <c r="F151" s="61">
        <v>0.0</v>
      </c>
      <c r="G151" s="59" t="s">
        <v>146</v>
      </c>
      <c r="H151" s="61">
        <v>100.0</v>
      </c>
      <c r="I151" s="70" t="s">
        <v>147</v>
      </c>
      <c r="J151" s="59" t="s">
        <v>148</v>
      </c>
      <c r="K151" s="59" t="s">
        <v>392</v>
      </c>
      <c r="L151" s="63"/>
      <c r="M151" s="63"/>
      <c r="N151" s="63"/>
      <c r="O151" s="63"/>
      <c r="P151" s="59" t="s">
        <v>146</v>
      </c>
      <c r="Q151" s="59" t="s">
        <v>158</v>
      </c>
      <c r="R151" s="59" t="s">
        <v>146</v>
      </c>
      <c r="S151" s="64" t="s">
        <v>497</v>
      </c>
      <c r="T151" s="59" t="s">
        <v>498</v>
      </c>
      <c r="U151" s="70" t="s">
        <v>147</v>
      </c>
      <c r="V151" s="59" t="s">
        <v>161</v>
      </c>
      <c r="W151" s="70" t="s">
        <v>147</v>
      </c>
      <c r="X151" s="70" t="s">
        <v>368</v>
      </c>
      <c r="Y151" s="65" t="s">
        <v>155</v>
      </c>
      <c r="Z151" s="70" t="s">
        <v>156</v>
      </c>
    </row>
    <row r="152">
      <c r="A152" s="59" t="s">
        <v>499</v>
      </c>
      <c r="B152" s="60">
        <v>100.0</v>
      </c>
      <c r="C152" s="60">
        <v>0.0</v>
      </c>
      <c r="D152" s="60">
        <v>0.0</v>
      </c>
      <c r="E152" s="61">
        <v>1.0</v>
      </c>
      <c r="F152" s="61">
        <v>0.0</v>
      </c>
      <c r="G152" s="59" t="s">
        <v>146</v>
      </c>
      <c r="H152" s="61">
        <v>1000.0</v>
      </c>
      <c r="I152" s="62" t="s">
        <v>147</v>
      </c>
      <c r="J152" s="59" t="s">
        <v>148</v>
      </c>
      <c r="K152" s="59" t="s">
        <v>149</v>
      </c>
      <c r="L152" s="63"/>
      <c r="M152" s="63"/>
      <c r="N152" s="63"/>
      <c r="O152" s="63"/>
      <c r="P152" s="59" t="s">
        <v>146</v>
      </c>
      <c r="Q152" s="59" t="s">
        <v>158</v>
      </c>
      <c r="R152" s="59" t="s">
        <v>146</v>
      </c>
      <c r="S152" s="64" t="s">
        <v>500</v>
      </c>
      <c r="T152" s="59" t="s">
        <v>501</v>
      </c>
      <c r="U152" s="62" t="s">
        <v>147</v>
      </c>
      <c r="V152" s="59" t="s">
        <v>161</v>
      </c>
      <c r="W152" s="62" t="s">
        <v>147</v>
      </c>
      <c r="X152" s="62" t="s">
        <v>154</v>
      </c>
      <c r="Y152" s="65" t="s">
        <v>155</v>
      </c>
      <c r="Z152" s="62" t="s">
        <v>156</v>
      </c>
    </row>
    <row r="153">
      <c r="A153" s="59" t="s">
        <v>502</v>
      </c>
      <c r="B153" s="60">
        <v>100.0</v>
      </c>
      <c r="C153" s="60">
        <v>0.0</v>
      </c>
      <c r="D153" s="60">
        <v>0.0</v>
      </c>
      <c r="E153" s="61">
        <v>1.0</v>
      </c>
      <c r="F153" s="61">
        <v>0.0</v>
      </c>
      <c r="G153" s="59" t="s">
        <v>146</v>
      </c>
      <c r="H153" s="61">
        <v>25000.0</v>
      </c>
      <c r="I153" s="62" t="s">
        <v>147</v>
      </c>
      <c r="J153" s="59" t="s">
        <v>148</v>
      </c>
      <c r="K153" s="59" t="s">
        <v>149</v>
      </c>
      <c r="L153" s="63"/>
      <c r="M153" s="63"/>
      <c r="N153" s="63"/>
      <c r="O153" s="63"/>
      <c r="P153" s="59" t="s">
        <v>146</v>
      </c>
      <c r="Q153" s="59" t="s">
        <v>158</v>
      </c>
      <c r="R153" s="59" t="s">
        <v>146</v>
      </c>
      <c r="S153" s="64" t="s">
        <v>503</v>
      </c>
      <c r="T153" s="59" t="s">
        <v>501</v>
      </c>
      <c r="U153" s="62" t="s">
        <v>147</v>
      </c>
      <c r="V153" s="59" t="s">
        <v>161</v>
      </c>
      <c r="W153" s="62" t="s">
        <v>147</v>
      </c>
      <c r="X153" s="62" t="s">
        <v>154</v>
      </c>
      <c r="Y153" s="65" t="s">
        <v>155</v>
      </c>
      <c r="Z153" s="62" t="s">
        <v>156</v>
      </c>
    </row>
    <row r="154">
      <c r="A154" s="59" t="s">
        <v>504</v>
      </c>
      <c r="B154" s="60">
        <v>100.0</v>
      </c>
      <c r="C154" s="60">
        <v>0.0</v>
      </c>
      <c r="D154" s="60">
        <v>0.0</v>
      </c>
      <c r="E154" s="61">
        <v>1.0</v>
      </c>
      <c r="F154" s="61">
        <v>0.0</v>
      </c>
      <c r="G154" s="59" t="s">
        <v>146</v>
      </c>
      <c r="H154" s="61">
        <v>1000.0</v>
      </c>
      <c r="I154" s="62" t="s">
        <v>147</v>
      </c>
      <c r="J154" s="59" t="s">
        <v>148</v>
      </c>
      <c r="K154" s="59" t="s">
        <v>149</v>
      </c>
      <c r="L154" s="63"/>
      <c r="M154" s="63"/>
      <c r="N154" s="63"/>
      <c r="O154" s="63"/>
      <c r="P154" s="59" t="s">
        <v>146</v>
      </c>
      <c r="Q154" s="59" t="s">
        <v>158</v>
      </c>
      <c r="R154" s="59" t="s">
        <v>146</v>
      </c>
      <c r="S154" s="64" t="s">
        <v>505</v>
      </c>
      <c r="T154" s="59" t="s">
        <v>501</v>
      </c>
      <c r="U154" s="62" t="s">
        <v>147</v>
      </c>
      <c r="V154" s="59" t="s">
        <v>161</v>
      </c>
      <c r="W154" s="62" t="s">
        <v>147</v>
      </c>
      <c r="X154" s="62" t="s">
        <v>154</v>
      </c>
      <c r="Y154" s="65" t="s">
        <v>155</v>
      </c>
      <c r="Z154" s="62" t="s">
        <v>156</v>
      </c>
    </row>
    <row r="155">
      <c r="A155" s="59" t="s">
        <v>506</v>
      </c>
      <c r="B155" s="60">
        <v>100.75</v>
      </c>
      <c r="C155" s="60">
        <v>0.0</v>
      </c>
      <c r="D155" s="60">
        <v>0.0</v>
      </c>
      <c r="E155" s="61">
        <v>1.0</v>
      </c>
      <c r="F155" s="61">
        <v>1.0</v>
      </c>
      <c r="G155" s="59" t="s">
        <v>146</v>
      </c>
      <c r="H155" s="61">
        <v>1000.0</v>
      </c>
      <c r="I155" s="62" t="s">
        <v>147</v>
      </c>
      <c r="J155" s="59" t="s">
        <v>148</v>
      </c>
      <c r="K155" s="59" t="s">
        <v>149</v>
      </c>
      <c r="L155" s="63"/>
      <c r="M155" s="63"/>
      <c r="N155" s="63"/>
      <c r="O155" s="63"/>
      <c r="P155" s="59" t="s">
        <v>146</v>
      </c>
      <c r="Q155" s="59" t="s">
        <v>158</v>
      </c>
      <c r="R155" s="59" t="s">
        <v>146</v>
      </c>
      <c r="S155" s="64" t="s">
        <v>507</v>
      </c>
      <c r="T155" s="59" t="s">
        <v>508</v>
      </c>
      <c r="U155" s="62" t="s">
        <v>147</v>
      </c>
      <c r="V155" s="59" t="s">
        <v>161</v>
      </c>
      <c r="W155" s="62" t="s">
        <v>147</v>
      </c>
      <c r="X155" s="62" t="s">
        <v>154</v>
      </c>
      <c r="Y155" s="65" t="s">
        <v>155</v>
      </c>
      <c r="Z155" s="62" t="s">
        <v>156</v>
      </c>
    </row>
    <row r="156">
      <c r="A156" s="59" t="s">
        <v>509</v>
      </c>
      <c r="B156" s="60">
        <v>107.0</v>
      </c>
      <c r="C156" s="60">
        <v>0.0</v>
      </c>
      <c r="D156" s="60">
        <v>0.0</v>
      </c>
      <c r="E156" s="61">
        <v>1095.0</v>
      </c>
      <c r="F156" s="61">
        <v>0.0</v>
      </c>
      <c r="G156" s="59" t="s">
        <v>146</v>
      </c>
      <c r="H156" s="61">
        <v>50.0</v>
      </c>
      <c r="I156" s="62" t="s">
        <v>147</v>
      </c>
      <c r="J156" s="59" t="s">
        <v>148</v>
      </c>
      <c r="K156" s="59" t="s">
        <v>174</v>
      </c>
      <c r="L156" s="63"/>
      <c r="M156" s="63"/>
      <c r="N156" s="63"/>
      <c r="O156" s="63"/>
      <c r="P156" s="59" t="s">
        <v>146</v>
      </c>
      <c r="Q156" s="59" t="s">
        <v>158</v>
      </c>
      <c r="R156" s="59" t="s">
        <v>148</v>
      </c>
      <c r="S156" s="64" t="s">
        <v>510</v>
      </c>
      <c r="T156" s="59" t="s">
        <v>181</v>
      </c>
      <c r="U156" s="62" t="s">
        <v>147</v>
      </c>
      <c r="V156" s="59" t="s">
        <v>161</v>
      </c>
      <c r="W156" s="62" t="s">
        <v>147</v>
      </c>
      <c r="X156" s="62" t="s">
        <v>154</v>
      </c>
      <c r="Y156" s="65" t="s">
        <v>155</v>
      </c>
      <c r="Z156" s="62" t="s">
        <v>156</v>
      </c>
    </row>
    <row r="157">
      <c r="A157" s="59" t="s">
        <v>511</v>
      </c>
      <c r="B157" s="60">
        <v>7.67</v>
      </c>
      <c r="C157" s="60">
        <v>0.0</v>
      </c>
      <c r="D157" s="60">
        <v>0.0</v>
      </c>
      <c r="E157" s="61">
        <v>2074.0</v>
      </c>
      <c r="F157" s="61">
        <v>0.0</v>
      </c>
      <c r="G157" s="59" t="s">
        <v>146</v>
      </c>
      <c r="H157" s="61">
        <v>37.09</v>
      </c>
      <c r="I157" s="62" t="s">
        <v>147</v>
      </c>
      <c r="J157" s="59" t="s">
        <v>148</v>
      </c>
      <c r="K157" s="59" t="s">
        <v>512</v>
      </c>
      <c r="L157" s="63"/>
      <c r="M157" s="63"/>
      <c r="N157" s="63"/>
      <c r="O157" s="63"/>
      <c r="P157" s="59" t="s">
        <v>146</v>
      </c>
      <c r="Q157" s="59" t="s">
        <v>232</v>
      </c>
      <c r="R157" s="59" t="s">
        <v>146</v>
      </c>
      <c r="S157" s="64" t="s">
        <v>513</v>
      </c>
      <c r="T157" s="59" t="s">
        <v>512</v>
      </c>
      <c r="U157" s="62" t="s">
        <v>147</v>
      </c>
      <c r="V157" s="59" t="s">
        <v>161</v>
      </c>
      <c r="W157" s="62" t="s">
        <v>147</v>
      </c>
      <c r="X157" s="62" t="s">
        <v>154</v>
      </c>
      <c r="Y157" s="65" t="s">
        <v>155</v>
      </c>
      <c r="Z157" s="62" t="s">
        <v>156</v>
      </c>
    </row>
    <row r="158">
      <c r="A158" s="59" t="s">
        <v>514</v>
      </c>
      <c r="B158" s="60">
        <v>7.63</v>
      </c>
      <c r="C158" s="60">
        <v>0.0</v>
      </c>
      <c r="D158" s="60">
        <v>0.0</v>
      </c>
      <c r="E158" s="61">
        <v>2440.0</v>
      </c>
      <c r="F158" s="61">
        <v>0.0</v>
      </c>
      <c r="G158" s="59" t="s">
        <v>146</v>
      </c>
      <c r="H158" s="61">
        <v>34.52</v>
      </c>
      <c r="I158" s="62" t="s">
        <v>147</v>
      </c>
      <c r="J158" s="59" t="s">
        <v>148</v>
      </c>
      <c r="K158" s="59" t="s">
        <v>512</v>
      </c>
      <c r="L158" s="63"/>
      <c r="M158" s="63"/>
      <c r="N158" s="63"/>
      <c r="O158" s="63"/>
      <c r="P158" s="59" t="s">
        <v>146</v>
      </c>
      <c r="Q158" s="59" t="s">
        <v>232</v>
      </c>
      <c r="R158" s="59" t="s">
        <v>146</v>
      </c>
      <c r="S158" s="64" t="s">
        <v>515</v>
      </c>
      <c r="T158" s="59" t="s">
        <v>512</v>
      </c>
      <c r="U158" s="62" t="s">
        <v>147</v>
      </c>
      <c r="V158" s="59" t="s">
        <v>161</v>
      </c>
      <c r="W158" s="62" t="s">
        <v>147</v>
      </c>
      <c r="X158" s="62" t="s">
        <v>154</v>
      </c>
      <c r="Y158" s="65" t="s">
        <v>155</v>
      </c>
      <c r="Z158" s="62" t="s">
        <v>156</v>
      </c>
    </row>
    <row r="159">
      <c r="A159" s="59" t="s">
        <v>516</v>
      </c>
      <c r="B159" s="60">
        <v>7.6</v>
      </c>
      <c r="C159" s="60">
        <v>0.0</v>
      </c>
      <c r="D159" s="60">
        <v>0.0</v>
      </c>
      <c r="E159" s="61">
        <v>2805.0</v>
      </c>
      <c r="F159" s="61">
        <v>0.0</v>
      </c>
      <c r="G159" s="59" t="s">
        <v>146</v>
      </c>
      <c r="H159" s="61">
        <v>32.13</v>
      </c>
      <c r="I159" s="62" t="s">
        <v>147</v>
      </c>
      <c r="J159" s="59" t="s">
        <v>148</v>
      </c>
      <c r="K159" s="59" t="s">
        <v>512</v>
      </c>
      <c r="L159" s="63"/>
      <c r="M159" s="63"/>
      <c r="N159" s="63"/>
      <c r="O159" s="63"/>
      <c r="P159" s="59" t="s">
        <v>146</v>
      </c>
      <c r="Q159" s="59" t="s">
        <v>232</v>
      </c>
      <c r="R159" s="59" t="s">
        <v>146</v>
      </c>
      <c r="S159" s="64" t="s">
        <v>517</v>
      </c>
      <c r="T159" s="59" t="s">
        <v>512</v>
      </c>
      <c r="U159" s="62" t="s">
        <v>147</v>
      </c>
      <c r="V159" s="59" t="s">
        <v>161</v>
      </c>
      <c r="W159" s="62" t="s">
        <v>147</v>
      </c>
      <c r="X159" s="62" t="s">
        <v>154</v>
      </c>
      <c r="Y159" s="65" t="s">
        <v>155</v>
      </c>
      <c r="Z159" s="62" t="s">
        <v>156</v>
      </c>
    </row>
    <row r="160">
      <c r="A160" s="59" t="s">
        <v>518</v>
      </c>
      <c r="B160" s="60">
        <v>7.56</v>
      </c>
      <c r="C160" s="60">
        <v>0.0</v>
      </c>
      <c r="D160" s="60">
        <v>0.0</v>
      </c>
      <c r="E160" s="61">
        <v>3170.0</v>
      </c>
      <c r="F160" s="61">
        <v>0.0</v>
      </c>
      <c r="G160" s="59" t="s">
        <v>146</v>
      </c>
      <c r="H160" s="61">
        <v>29.93</v>
      </c>
      <c r="I160" s="62" t="s">
        <v>147</v>
      </c>
      <c r="J160" s="59" t="s">
        <v>148</v>
      </c>
      <c r="K160" s="59" t="s">
        <v>512</v>
      </c>
      <c r="L160" s="63"/>
      <c r="M160" s="63"/>
      <c r="N160" s="63"/>
      <c r="O160" s="63"/>
      <c r="P160" s="59" t="s">
        <v>146</v>
      </c>
      <c r="Q160" s="59" t="s">
        <v>232</v>
      </c>
      <c r="R160" s="59" t="s">
        <v>146</v>
      </c>
      <c r="S160" s="64" t="s">
        <v>519</v>
      </c>
      <c r="T160" s="59" t="s">
        <v>512</v>
      </c>
      <c r="U160" s="62" t="s">
        <v>147</v>
      </c>
      <c r="V160" s="59" t="s">
        <v>161</v>
      </c>
      <c r="W160" s="62" t="s">
        <v>147</v>
      </c>
      <c r="X160" s="62" t="s">
        <v>154</v>
      </c>
      <c r="Y160" s="65" t="s">
        <v>155</v>
      </c>
      <c r="Z160" s="62" t="s">
        <v>156</v>
      </c>
    </row>
    <row r="161">
      <c r="A161" s="59" t="s">
        <v>520</v>
      </c>
      <c r="B161" s="60">
        <v>7.5</v>
      </c>
      <c r="C161" s="60">
        <v>0.0</v>
      </c>
      <c r="D161" s="60">
        <v>0.0</v>
      </c>
      <c r="E161" s="61">
        <v>3535.0</v>
      </c>
      <c r="F161" s="61">
        <v>0.0</v>
      </c>
      <c r="G161" s="59" t="s">
        <v>146</v>
      </c>
      <c r="H161" s="61">
        <v>27.95</v>
      </c>
      <c r="I161" s="62" t="s">
        <v>147</v>
      </c>
      <c r="J161" s="59" t="s">
        <v>148</v>
      </c>
      <c r="K161" s="59" t="s">
        <v>512</v>
      </c>
      <c r="L161" s="63"/>
      <c r="M161" s="63"/>
      <c r="N161" s="63"/>
      <c r="O161" s="63"/>
      <c r="P161" s="59" t="s">
        <v>146</v>
      </c>
      <c r="Q161" s="59" t="s">
        <v>232</v>
      </c>
      <c r="R161" s="59" t="s">
        <v>146</v>
      </c>
      <c r="S161" s="64" t="s">
        <v>521</v>
      </c>
      <c r="T161" s="59" t="s">
        <v>512</v>
      </c>
      <c r="U161" s="62" t="s">
        <v>147</v>
      </c>
      <c r="V161" s="59" t="s">
        <v>161</v>
      </c>
      <c r="W161" s="62" t="s">
        <v>147</v>
      </c>
      <c r="X161" s="62" t="s">
        <v>154</v>
      </c>
      <c r="Y161" s="65" t="s">
        <v>155</v>
      </c>
      <c r="Z161" s="62" t="s">
        <v>156</v>
      </c>
    </row>
    <row r="162">
      <c r="A162" s="59" t="s">
        <v>522</v>
      </c>
      <c r="B162" s="60">
        <v>7.44</v>
      </c>
      <c r="C162" s="60">
        <v>0.0</v>
      </c>
      <c r="D162" s="60">
        <v>0.0</v>
      </c>
      <c r="E162" s="61">
        <v>3901.0</v>
      </c>
      <c r="F162" s="61">
        <v>0.0</v>
      </c>
      <c r="G162" s="59" t="s">
        <v>146</v>
      </c>
      <c r="H162" s="61">
        <v>26.12</v>
      </c>
      <c r="I162" s="62" t="s">
        <v>147</v>
      </c>
      <c r="J162" s="59" t="s">
        <v>148</v>
      </c>
      <c r="K162" s="59" t="s">
        <v>512</v>
      </c>
      <c r="L162" s="63"/>
      <c r="M162" s="63"/>
      <c r="N162" s="63"/>
      <c r="O162" s="63"/>
      <c r="P162" s="59" t="s">
        <v>146</v>
      </c>
      <c r="Q162" s="59" t="s">
        <v>232</v>
      </c>
      <c r="R162" s="59" t="s">
        <v>146</v>
      </c>
      <c r="S162" s="64" t="s">
        <v>523</v>
      </c>
      <c r="T162" s="59" t="s">
        <v>512</v>
      </c>
      <c r="U162" s="62" t="s">
        <v>147</v>
      </c>
      <c r="V162" s="59" t="s">
        <v>161</v>
      </c>
      <c r="W162" s="62" t="s">
        <v>147</v>
      </c>
      <c r="X162" s="62" t="s">
        <v>154</v>
      </c>
      <c r="Y162" s="65" t="s">
        <v>155</v>
      </c>
      <c r="Z162" s="62" t="s">
        <v>156</v>
      </c>
    </row>
    <row r="163">
      <c r="A163" s="59" t="s">
        <v>524</v>
      </c>
      <c r="B163" s="60">
        <v>7.38</v>
      </c>
      <c r="C163" s="60">
        <v>0.0</v>
      </c>
      <c r="D163" s="60">
        <v>0.0</v>
      </c>
      <c r="E163" s="61">
        <v>4266.0</v>
      </c>
      <c r="F163" s="61">
        <v>0.0</v>
      </c>
      <c r="G163" s="59" t="s">
        <v>146</v>
      </c>
      <c r="H163" s="61">
        <v>24.45</v>
      </c>
      <c r="I163" s="62" t="s">
        <v>147</v>
      </c>
      <c r="J163" s="59" t="s">
        <v>148</v>
      </c>
      <c r="K163" s="59" t="s">
        <v>512</v>
      </c>
      <c r="L163" s="63"/>
      <c r="M163" s="63"/>
      <c r="N163" s="63"/>
      <c r="O163" s="63"/>
      <c r="P163" s="59" t="s">
        <v>146</v>
      </c>
      <c r="Q163" s="59" t="s">
        <v>232</v>
      </c>
      <c r="R163" s="59" t="s">
        <v>146</v>
      </c>
      <c r="S163" s="64" t="s">
        <v>525</v>
      </c>
      <c r="T163" s="59" t="s">
        <v>512</v>
      </c>
      <c r="U163" s="62" t="s">
        <v>147</v>
      </c>
      <c r="V163" s="59" t="s">
        <v>161</v>
      </c>
      <c r="W163" s="62" t="s">
        <v>147</v>
      </c>
      <c r="X163" s="62" t="s">
        <v>154</v>
      </c>
      <c r="Y163" s="65" t="s">
        <v>155</v>
      </c>
      <c r="Z163" s="62" t="s">
        <v>156</v>
      </c>
    </row>
    <row r="164">
      <c r="A164" s="59" t="s">
        <v>526</v>
      </c>
      <c r="B164" s="60">
        <v>7.31</v>
      </c>
      <c r="C164" s="60">
        <v>0.0</v>
      </c>
      <c r="D164" s="60">
        <v>0.0</v>
      </c>
      <c r="E164" s="61">
        <v>4631.0</v>
      </c>
      <c r="F164" s="61">
        <v>0.0</v>
      </c>
      <c r="G164" s="59" t="s">
        <v>146</v>
      </c>
      <c r="H164" s="61">
        <v>22.93</v>
      </c>
      <c r="I164" s="62" t="s">
        <v>147</v>
      </c>
      <c r="J164" s="59" t="s">
        <v>148</v>
      </c>
      <c r="K164" s="59" t="s">
        <v>512</v>
      </c>
      <c r="L164" s="63"/>
      <c r="M164" s="63"/>
      <c r="N164" s="63"/>
      <c r="O164" s="63"/>
      <c r="P164" s="59" t="s">
        <v>146</v>
      </c>
      <c r="Q164" s="59" t="s">
        <v>232</v>
      </c>
      <c r="R164" s="59" t="s">
        <v>146</v>
      </c>
      <c r="S164" s="64" t="s">
        <v>527</v>
      </c>
      <c r="T164" s="59" t="s">
        <v>512</v>
      </c>
      <c r="U164" s="62" t="s">
        <v>147</v>
      </c>
      <c r="V164" s="59" t="s">
        <v>161</v>
      </c>
      <c r="W164" s="62" t="s">
        <v>147</v>
      </c>
      <c r="X164" s="62" t="s">
        <v>154</v>
      </c>
      <c r="Y164" s="65" t="s">
        <v>155</v>
      </c>
      <c r="Z164" s="62" t="s">
        <v>156</v>
      </c>
    </row>
    <row r="165">
      <c r="A165" s="59" t="s">
        <v>528</v>
      </c>
      <c r="B165" s="60">
        <v>7.57</v>
      </c>
      <c r="C165" s="60">
        <v>0.0</v>
      </c>
      <c r="D165" s="60">
        <v>0.0</v>
      </c>
      <c r="E165" s="61">
        <v>2318.0</v>
      </c>
      <c r="F165" s="61">
        <v>0.0</v>
      </c>
      <c r="G165" s="59" t="s">
        <v>146</v>
      </c>
      <c r="H165" s="61">
        <v>29.48</v>
      </c>
      <c r="I165" s="62" t="s">
        <v>147</v>
      </c>
      <c r="J165" s="59" t="s">
        <v>148</v>
      </c>
      <c r="K165" s="59" t="s">
        <v>512</v>
      </c>
      <c r="L165" s="63"/>
      <c r="M165" s="63"/>
      <c r="N165" s="63"/>
      <c r="O165" s="63"/>
      <c r="P165" s="59" t="s">
        <v>146</v>
      </c>
      <c r="Q165" s="59" t="s">
        <v>232</v>
      </c>
      <c r="R165" s="59" t="s">
        <v>146</v>
      </c>
      <c r="S165" s="64" t="s">
        <v>529</v>
      </c>
      <c r="T165" s="59" t="s">
        <v>512</v>
      </c>
      <c r="U165" s="62" t="s">
        <v>147</v>
      </c>
      <c r="V165" s="59" t="s">
        <v>161</v>
      </c>
      <c r="W165" s="62" t="s">
        <v>147</v>
      </c>
      <c r="X165" s="62" t="s">
        <v>154</v>
      </c>
      <c r="Y165" s="65" t="s">
        <v>155</v>
      </c>
      <c r="Z165" s="62" t="s">
        <v>156</v>
      </c>
    </row>
    <row r="166">
      <c r="A166" s="59" t="s">
        <v>530</v>
      </c>
      <c r="B166" s="60">
        <v>5.8</v>
      </c>
      <c r="C166" s="60">
        <v>0.0</v>
      </c>
      <c r="D166" s="60">
        <v>0.0</v>
      </c>
      <c r="E166" s="61">
        <v>3285.0</v>
      </c>
      <c r="F166" s="61">
        <v>0.0</v>
      </c>
      <c r="G166" s="59" t="s">
        <v>146</v>
      </c>
      <c r="H166" s="61">
        <v>30.0</v>
      </c>
      <c r="I166" s="62" t="s">
        <v>147</v>
      </c>
      <c r="J166" s="59" t="s">
        <v>148</v>
      </c>
      <c r="K166" s="59" t="s">
        <v>512</v>
      </c>
      <c r="L166" s="63"/>
      <c r="M166" s="63"/>
      <c r="N166" s="63"/>
      <c r="O166" s="63"/>
      <c r="P166" s="59" t="s">
        <v>146</v>
      </c>
      <c r="Q166" s="59" t="s">
        <v>232</v>
      </c>
      <c r="R166" s="59" t="s">
        <v>146</v>
      </c>
      <c r="S166" s="64" t="s">
        <v>531</v>
      </c>
      <c r="T166" s="59" t="s">
        <v>512</v>
      </c>
      <c r="U166" s="62" t="s">
        <v>147</v>
      </c>
      <c r="V166" s="59" t="s">
        <v>161</v>
      </c>
      <c r="W166" s="62" t="s">
        <v>147</v>
      </c>
      <c r="X166" s="62" t="s">
        <v>154</v>
      </c>
      <c r="Y166" s="65" t="s">
        <v>155</v>
      </c>
      <c r="Z166" s="62" t="s">
        <v>156</v>
      </c>
    </row>
    <row r="167">
      <c r="A167" s="59" t="s">
        <v>532</v>
      </c>
      <c r="B167" s="60">
        <v>7.34</v>
      </c>
      <c r="C167" s="60">
        <v>0.0</v>
      </c>
      <c r="D167" s="60">
        <v>0.0</v>
      </c>
      <c r="E167" s="61">
        <v>4052.0</v>
      </c>
      <c r="F167" s="61">
        <v>0.0</v>
      </c>
      <c r="G167" s="59" t="s">
        <v>146</v>
      </c>
      <c r="H167" s="61">
        <v>43.42</v>
      </c>
      <c r="I167" s="62" t="s">
        <v>147</v>
      </c>
      <c r="J167" s="59" t="s">
        <v>148</v>
      </c>
      <c r="K167" s="59" t="s">
        <v>512</v>
      </c>
      <c r="L167" s="63"/>
      <c r="M167" s="63"/>
      <c r="N167" s="63"/>
      <c r="O167" s="63"/>
      <c r="P167" s="59" t="s">
        <v>146</v>
      </c>
      <c r="Q167" s="59" t="s">
        <v>232</v>
      </c>
      <c r="R167" s="59" t="s">
        <v>146</v>
      </c>
      <c r="S167" s="64" t="s">
        <v>533</v>
      </c>
      <c r="T167" s="59" t="s">
        <v>512</v>
      </c>
      <c r="U167" s="62" t="s">
        <v>147</v>
      </c>
      <c r="V167" s="59" t="s">
        <v>161</v>
      </c>
      <c r="W167" s="62" t="s">
        <v>147</v>
      </c>
      <c r="X167" s="62" t="s">
        <v>154</v>
      </c>
      <c r="Y167" s="65" t="s">
        <v>155</v>
      </c>
      <c r="Z167" s="62" t="s">
        <v>156</v>
      </c>
    </row>
    <row r="168">
      <c r="A168" s="59" t="s">
        <v>534</v>
      </c>
      <c r="B168" s="60">
        <v>13.39</v>
      </c>
      <c r="C168" s="60">
        <v>0.0</v>
      </c>
      <c r="D168" s="60">
        <v>0.0</v>
      </c>
      <c r="E168" s="61">
        <v>996.0</v>
      </c>
      <c r="F168" s="61">
        <v>0.0</v>
      </c>
      <c r="G168" s="59" t="s">
        <v>146</v>
      </c>
      <c r="H168" s="61">
        <v>7.12</v>
      </c>
      <c r="I168" s="62" t="s">
        <v>147</v>
      </c>
      <c r="J168" s="59" t="s">
        <v>148</v>
      </c>
      <c r="K168" s="59" t="s">
        <v>512</v>
      </c>
      <c r="L168" s="63"/>
      <c r="M168" s="63"/>
      <c r="N168" s="63"/>
      <c r="O168" s="63"/>
      <c r="P168" s="59" t="s">
        <v>146</v>
      </c>
      <c r="Q168" s="59" t="s">
        <v>220</v>
      </c>
      <c r="R168" s="59" t="s">
        <v>146</v>
      </c>
      <c r="S168" s="64" t="s">
        <v>535</v>
      </c>
      <c r="T168" s="59" t="s">
        <v>512</v>
      </c>
      <c r="U168" s="62" t="s">
        <v>147</v>
      </c>
      <c r="V168" s="59" t="s">
        <v>161</v>
      </c>
      <c r="W168" s="62" t="s">
        <v>147</v>
      </c>
      <c r="X168" s="62" t="s">
        <v>154</v>
      </c>
      <c r="Y168" s="65" t="s">
        <v>155</v>
      </c>
      <c r="Z168" s="62" t="s">
        <v>156</v>
      </c>
    </row>
    <row r="169">
      <c r="A169" s="59" t="s">
        <v>536</v>
      </c>
      <c r="B169" s="60">
        <v>1.0</v>
      </c>
      <c r="C169" s="60">
        <v>0.0</v>
      </c>
      <c r="D169" s="60">
        <v>0.0</v>
      </c>
      <c r="E169" s="61">
        <v>1095.0</v>
      </c>
      <c r="F169" s="61">
        <v>0.0</v>
      </c>
      <c r="G169" s="59" t="s">
        <v>146</v>
      </c>
      <c r="H169" s="61">
        <v>30.0</v>
      </c>
      <c r="I169" s="62" t="s">
        <v>147</v>
      </c>
      <c r="J169" s="59" t="s">
        <v>148</v>
      </c>
      <c r="K169" s="59" t="s">
        <v>512</v>
      </c>
      <c r="L169" s="63"/>
      <c r="M169" s="63"/>
      <c r="N169" s="63"/>
      <c r="O169" s="63"/>
      <c r="P169" s="59" t="s">
        <v>146</v>
      </c>
      <c r="Q169" s="59" t="s">
        <v>215</v>
      </c>
      <c r="R169" s="59" t="s">
        <v>146</v>
      </c>
      <c r="S169" s="64" t="s">
        <v>537</v>
      </c>
      <c r="T169" s="59" t="s">
        <v>512</v>
      </c>
      <c r="U169" s="62" t="s">
        <v>147</v>
      </c>
      <c r="V169" s="59" t="s">
        <v>239</v>
      </c>
      <c r="W169" s="62" t="s">
        <v>147</v>
      </c>
      <c r="X169" s="62" t="s">
        <v>154</v>
      </c>
      <c r="Y169" s="65" t="s">
        <v>155</v>
      </c>
      <c r="Z169" s="62" t="s">
        <v>156</v>
      </c>
    </row>
    <row r="170">
      <c r="A170" s="59" t="s">
        <v>538</v>
      </c>
      <c r="B170" s="60">
        <v>0.09</v>
      </c>
      <c r="C170" s="60">
        <v>0.0</v>
      </c>
      <c r="D170" s="60">
        <v>0.0</v>
      </c>
      <c r="E170" s="61">
        <v>1785.0</v>
      </c>
      <c r="F170" s="61">
        <v>0.0</v>
      </c>
      <c r="G170" s="59" t="s">
        <v>146</v>
      </c>
      <c r="H170" s="61">
        <v>187.06</v>
      </c>
      <c r="I170" s="62" t="s">
        <v>147</v>
      </c>
      <c r="J170" s="59" t="s">
        <v>148</v>
      </c>
      <c r="K170" s="59" t="s">
        <v>512</v>
      </c>
      <c r="L170" s="63"/>
      <c r="M170" s="63"/>
      <c r="N170" s="63"/>
      <c r="O170" s="63"/>
      <c r="P170" s="59" t="s">
        <v>146</v>
      </c>
      <c r="Q170" s="59" t="s">
        <v>215</v>
      </c>
      <c r="R170" s="59" t="s">
        <v>146</v>
      </c>
      <c r="S170" s="64" t="s">
        <v>539</v>
      </c>
      <c r="T170" s="59" t="s">
        <v>512</v>
      </c>
      <c r="U170" s="62" t="s">
        <v>147</v>
      </c>
      <c r="V170" s="59" t="s">
        <v>161</v>
      </c>
      <c r="W170" s="62" t="s">
        <v>147</v>
      </c>
      <c r="X170" s="62" t="s">
        <v>154</v>
      </c>
      <c r="Y170" s="65" t="s">
        <v>155</v>
      </c>
      <c r="Z170" s="62" t="s">
        <v>156</v>
      </c>
    </row>
    <row r="171">
      <c r="A171" s="59" t="s">
        <v>540</v>
      </c>
      <c r="B171" s="60">
        <v>267.89</v>
      </c>
      <c r="C171" s="60">
        <v>0.0</v>
      </c>
      <c r="D171" s="60">
        <v>0.0</v>
      </c>
      <c r="E171" s="61">
        <v>1.0</v>
      </c>
      <c r="F171" s="61">
        <v>6.0</v>
      </c>
      <c r="G171" s="59" t="s">
        <v>146</v>
      </c>
      <c r="H171" s="61">
        <v>100.0</v>
      </c>
      <c r="I171" s="70" t="s">
        <v>147</v>
      </c>
      <c r="J171" s="59" t="s">
        <v>148</v>
      </c>
      <c r="K171" s="59" t="s">
        <v>149</v>
      </c>
      <c r="L171" s="63"/>
      <c r="M171" s="63"/>
      <c r="N171" s="63"/>
      <c r="O171" s="63"/>
      <c r="P171" s="59" t="s">
        <v>146</v>
      </c>
      <c r="Q171" s="59" t="s">
        <v>150</v>
      </c>
      <c r="R171" s="59" t="s">
        <v>146</v>
      </c>
      <c r="S171" s="64" t="s">
        <v>541</v>
      </c>
      <c r="T171" s="59" t="s">
        <v>542</v>
      </c>
      <c r="U171" s="70" t="s">
        <v>147</v>
      </c>
      <c r="V171" s="59" t="s">
        <v>153</v>
      </c>
      <c r="W171" s="70" t="s">
        <v>147</v>
      </c>
      <c r="X171" s="70" t="s">
        <v>368</v>
      </c>
      <c r="Y171" s="65" t="s">
        <v>155</v>
      </c>
      <c r="Z171" s="70" t="s">
        <v>156</v>
      </c>
    </row>
    <row r="172">
      <c r="A172" s="59" t="s">
        <v>543</v>
      </c>
      <c r="B172" s="60">
        <v>338.42</v>
      </c>
      <c r="C172" s="60">
        <v>0.0</v>
      </c>
      <c r="D172" s="60">
        <v>0.0</v>
      </c>
      <c r="E172" s="61">
        <v>1.0</v>
      </c>
      <c r="F172" s="61">
        <v>6.0</v>
      </c>
      <c r="G172" s="59" t="s">
        <v>146</v>
      </c>
      <c r="H172" s="61">
        <v>100.0</v>
      </c>
      <c r="I172" s="70" t="s">
        <v>147</v>
      </c>
      <c r="J172" s="59" t="s">
        <v>148</v>
      </c>
      <c r="K172" s="59" t="s">
        <v>149</v>
      </c>
      <c r="L172" s="63"/>
      <c r="M172" s="63"/>
      <c r="N172" s="63"/>
      <c r="O172" s="63"/>
      <c r="P172" s="59" t="s">
        <v>146</v>
      </c>
      <c r="Q172" s="59" t="s">
        <v>150</v>
      </c>
      <c r="R172" s="59" t="s">
        <v>146</v>
      </c>
      <c r="S172" s="64" t="s">
        <v>544</v>
      </c>
      <c r="T172" s="59" t="s">
        <v>542</v>
      </c>
      <c r="U172" s="70" t="s">
        <v>147</v>
      </c>
      <c r="V172" s="59" t="s">
        <v>153</v>
      </c>
      <c r="W172" s="70" t="s">
        <v>147</v>
      </c>
      <c r="X172" s="70" t="s">
        <v>368</v>
      </c>
      <c r="Y172" s="65" t="s">
        <v>155</v>
      </c>
      <c r="Z172" s="70" t="s">
        <v>156</v>
      </c>
    </row>
    <row r="173">
      <c r="A173" s="59" t="s">
        <v>545</v>
      </c>
      <c r="B173" s="60">
        <v>100.47</v>
      </c>
      <c r="C173" s="60">
        <v>0.0</v>
      </c>
      <c r="D173" s="60">
        <v>0.0</v>
      </c>
      <c r="E173" s="61">
        <v>1.0</v>
      </c>
      <c r="F173" s="61">
        <v>0.0</v>
      </c>
      <c r="G173" s="59" t="s">
        <v>146</v>
      </c>
      <c r="H173" s="61">
        <v>100.0</v>
      </c>
      <c r="I173" s="62" t="s">
        <v>147</v>
      </c>
      <c r="J173" s="59" t="s">
        <v>148</v>
      </c>
      <c r="K173" s="59" t="s">
        <v>149</v>
      </c>
      <c r="L173" s="63"/>
      <c r="M173" s="63"/>
      <c r="N173" s="63"/>
      <c r="O173" s="63"/>
      <c r="P173" s="59" t="s">
        <v>146</v>
      </c>
      <c r="Q173" s="59" t="s">
        <v>158</v>
      </c>
      <c r="R173" s="59" t="s">
        <v>146</v>
      </c>
      <c r="S173" s="64" t="s">
        <v>546</v>
      </c>
      <c r="T173" s="59" t="s">
        <v>542</v>
      </c>
      <c r="U173" s="62" t="s">
        <v>147</v>
      </c>
      <c r="V173" s="59" t="s">
        <v>161</v>
      </c>
      <c r="W173" s="62" t="s">
        <v>147</v>
      </c>
      <c r="X173" s="62" t="s">
        <v>154</v>
      </c>
      <c r="Y173" s="65" t="s">
        <v>155</v>
      </c>
      <c r="Z173" s="62" t="s">
        <v>156</v>
      </c>
    </row>
    <row r="174">
      <c r="A174" s="59" t="s">
        <v>547</v>
      </c>
      <c r="B174" s="60">
        <v>441.89</v>
      </c>
      <c r="C174" s="60">
        <v>0.0</v>
      </c>
      <c r="D174" s="60">
        <v>0.0</v>
      </c>
      <c r="E174" s="61">
        <v>1.0</v>
      </c>
      <c r="F174" s="61">
        <v>6.0</v>
      </c>
      <c r="G174" s="59" t="s">
        <v>146</v>
      </c>
      <c r="H174" s="61">
        <v>100.0</v>
      </c>
      <c r="I174" s="70" t="s">
        <v>147</v>
      </c>
      <c r="J174" s="59" t="s">
        <v>148</v>
      </c>
      <c r="K174" s="59" t="s">
        <v>149</v>
      </c>
      <c r="L174" s="63"/>
      <c r="M174" s="63"/>
      <c r="N174" s="63"/>
      <c r="O174" s="63"/>
      <c r="P174" s="59" t="s">
        <v>146</v>
      </c>
      <c r="Q174" s="59" t="s">
        <v>150</v>
      </c>
      <c r="R174" s="59" t="s">
        <v>146</v>
      </c>
      <c r="S174" s="64" t="s">
        <v>548</v>
      </c>
      <c r="T174" s="59" t="s">
        <v>542</v>
      </c>
      <c r="U174" s="70" t="s">
        <v>147</v>
      </c>
      <c r="V174" s="59" t="s">
        <v>153</v>
      </c>
      <c r="W174" s="70" t="s">
        <v>147</v>
      </c>
      <c r="X174" s="70" t="s">
        <v>368</v>
      </c>
      <c r="Y174" s="65" t="s">
        <v>155</v>
      </c>
      <c r="Z174" s="70" t="s">
        <v>156</v>
      </c>
    </row>
    <row r="175">
      <c r="A175" s="59" t="s">
        <v>549</v>
      </c>
      <c r="B175" s="60">
        <v>94.85</v>
      </c>
      <c r="C175" s="60">
        <v>0.0</v>
      </c>
      <c r="D175" s="60">
        <v>0.0</v>
      </c>
      <c r="E175" s="61">
        <v>1.0</v>
      </c>
      <c r="F175" s="61">
        <v>0.0</v>
      </c>
      <c r="G175" s="59" t="s">
        <v>146</v>
      </c>
      <c r="H175" s="61">
        <v>100.0</v>
      </c>
      <c r="I175" s="70" t="s">
        <v>147</v>
      </c>
      <c r="J175" s="59" t="s">
        <v>148</v>
      </c>
      <c r="K175" s="59" t="s">
        <v>392</v>
      </c>
      <c r="L175" s="63"/>
      <c r="M175" s="63"/>
      <c r="N175" s="63"/>
      <c r="O175" s="63"/>
      <c r="P175" s="59" t="s">
        <v>146</v>
      </c>
      <c r="Q175" s="59" t="s">
        <v>158</v>
      </c>
      <c r="R175" s="59" t="s">
        <v>146</v>
      </c>
      <c r="S175" s="64" t="s">
        <v>550</v>
      </c>
      <c r="T175" s="59" t="s">
        <v>551</v>
      </c>
      <c r="U175" s="70" t="s">
        <v>147</v>
      </c>
      <c r="V175" s="59" t="s">
        <v>161</v>
      </c>
      <c r="W175" s="70" t="s">
        <v>147</v>
      </c>
      <c r="X175" s="70" t="s">
        <v>368</v>
      </c>
      <c r="Y175" s="65" t="s">
        <v>155</v>
      </c>
      <c r="Z175" s="70" t="s">
        <v>156</v>
      </c>
    </row>
    <row r="176">
      <c r="A176" s="59" t="s">
        <v>552</v>
      </c>
      <c r="B176" s="60">
        <v>103.05</v>
      </c>
      <c r="C176" s="60">
        <v>0.0</v>
      </c>
      <c r="D176" s="60">
        <v>0.0</v>
      </c>
      <c r="E176" s="61">
        <v>1.0</v>
      </c>
      <c r="F176" s="61">
        <v>1.0</v>
      </c>
      <c r="G176" s="59" t="s">
        <v>146</v>
      </c>
      <c r="H176" s="61">
        <v>500.0</v>
      </c>
      <c r="I176" s="62" t="s">
        <v>147</v>
      </c>
      <c r="J176" s="59" t="s">
        <v>148</v>
      </c>
      <c r="K176" s="59" t="s">
        <v>149</v>
      </c>
      <c r="L176" s="63"/>
      <c r="M176" s="63"/>
      <c r="N176" s="63"/>
      <c r="O176" s="63"/>
      <c r="P176" s="59" t="s">
        <v>146</v>
      </c>
      <c r="Q176" s="59" t="s">
        <v>158</v>
      </c>
      <c r="R176" s="59" t="s">
        <v>146</v>
      </c>
      <c r="S176" s="64" t="s">
        <v>553</v>
      </c>
      <c r="T176" s="59" t="s">
        <v>554</v>
      </c>
      <c r="U176" s="62" t="s">
        <v>147</v>
      </c>
      <c r="V176" s="59" t="s">
        <v>161</v>
      </c>
      <c r="W176" s="62" t="s">
        <v>147</v>
      </c>
      <c r="X176" s="62" t="s">
        <v>154</v>
      </c>
      <c r="Y176" s="65" t="s">
        <v>155</v>
      </c>
      <c r="Z176" s="62" t="s">
        <v>156</v>
      </c>
    </row>
    <row r="177">
      <c r="A177" s="59" t="s">
        <v>555</v>
      </c>
      <c r="B177" s="60">
        <v>99.53</v>
      </c>
      <c r="C177" s="60">
        <v>0.0</v>
      </c>
      <c r="D177" s="60">
        <v>0.0</v>
      </c>
      <c r="E177" s="61">
        <v>1.0</v>
      </c>
      <c r="F177" s="61">
        <v>0.0</v>
      </c>
      <c r="G177" s="59" t="s">
        <v>146</v>
      </c>
      <c r="H177" s="61">
        <v>100000.0</v>
      </c>
      <c r="I177" s="62" t="s">
        <v>147</v>
      </c>
      <c r="J177" s="59" t="s">
        <v>148</v>
      </c>
      <c r="K177" s="59" t="s">
        <v>149</v>
      </c>
      <c r="L177" s="63"/>
      <c r="M177" s="63"/>
      <c r="N177" s="63"/>
      <c r="O177" s="63"/>
      <c r="P177" s="59" t="s">
        <v>146</v>
      </c>
      <c r="Q177" s="59" t="s">
        <v>158</v>
      </c>
      <c r="R177" s="59" t="s">
        <v>146</v>
      </c>
      <c r="S177" s="64" t="s">
        <v>556</v>
      </c>
      <c r="T177" s="59" t="s">
        <v>360</v>
      </c>
      <c r="U177" s="62" t="s">
        <v>147</v>
      </c>
      <c r="V177" s="59" t="s">
        <v>161</v>
      </c>
      <c r="W177" s="62" t="s">
        <v>147</v>
      </c>
      <c r="X177" s="62" t="s">
        <v>154</v>
      </c>
      <c r="Y177" s="65" t="s">
        <v>155</v>
      </c>
      <c r="Z177" s="62" t="s">
        <v>156</v>
      </c>
    </row>
    <row r="178">
      <c r="A178" s="59" t="s">
        <v>557</v>
      </c>
      <c r="B178" s="60">
        <v>99.19</v>
      </c>
      <c r="C178" s="60">
        <v>0.0</v>
      </c>
      <c r="D178" s="60">
        <v>0.0</v>
      </c>
      <c r="E178" s="61">
        <v>1.0</v>
      </c>
      <c r="F178" s="61">
        <v>0.0</v>
      </c>
      <c r="G178" s="59" t="s">
        <v>146</v>
      </c>
      <c r="H178" s="61">
        <v>100.0</v>
      </c>
      <c r="I178" s="62" t="s">
        <v>147</v>
      </c>
      <c r="J178" s="59" t="s">
        <v>148</v>
      </c>
      <c r="K178" s="59" t="s">
        <v>149</v>
      </c>
      <c r="L178" s="63"/>
      <c r="M178" s="63"/>
      <c r="N178" s="63"/>
      <c r="O178" s="63"/>
      <c r="P178" s="59" t="s">
        <v>146</v>
      </c>
      <c r="Q178" s="59" t="s">
        <v>158</v>
      </c>
      <c r="R178" s="59" t="s">
        <v>146</v>
      </c>
      <c r="S178" s="64" t="s">
        <v>558</v>
      </c>
      <c r="T178" s="59" t="s">
        <v>360</v>
      </c>
      <c r="U178" s="62" t="s">
        <v>147</v>
      </c>
      <c r="V178" s="59" t="s">
        <v>161</v>
      </c>
      <c r="W178" s="62" t="s">
        <v>147</v>
      </c>
      <c r="X178" s="62" t="s">
        <v>154</v>
      </c>
      <c r="Y178" s="65" t="s">
        <v>155</v>
      </c>
      <c r="Z178" s="62" t="s">
        <v>156</v>
      </c>
    </row>
    <row r="179">
      <c r="A179" s="59" t="s">
        <v>559</v>
      </c>
      <c r="B179" s="60">
        <v>99.19</v>
      </c>
      <c r="C179" s="60">
        <v>0.0</v>
      </c>
      <c r="D179" s="60">
        <v>0.0</v>
      </c>
      <c r="E179" s="61">
        <v>1.0</v>
      </c>
      <c r="F179" s="61">
        <v>0.0</v>
      </c>
      <c r="G179" s="59" t="s">
        <v>146</v>
      </c>
      <c r="H179" s="61">
        <v>100.0</v>
      </c>
      <c r="I179" s="62" t="s">
        <v>147</v>
      </c>
      <c r="J179" s="59" t="s">
        <v>148</v>
      </c>
      <c r="K179" s="59" t="s">
        <v>149</v>
      </c>
      <c r="L179" s="63"/>
      <c r="M179" s="63"/>
      <c r="N179" s="63"/>
      <c r="O179" s="63"/>
      <c r="P179" s="59" t="s">
        <v>146</v>
      </c>
      <c r="Q179" s="59" t="s">
        <v>158</v>
      </c>
      <c r="R179" s="59" t="s">
        <v>146</v>
      </c>
      <c r="S179" s="64" t="s">
        <v>560</v>
      </c>
      <c r="T179" s="59" t="s">
        <v>360</v>
      </c>
      <c r="U179" s="62" t="s">
        <v>147</v>
      </c>
      <c r="V179" s="59" t="s">
        <v>161</v>
      </c>
      <c r="W179" s="62" t="s">
        <v>147</v>
      </c>
      <c r="X179" s="62" t="s">
        <v>154</v>
      </c>
      <c r="Y179" s="65" t="s">
        <v>155</v>
      </c>
      <c r="Z179" s="62" t="s">
        <v>156</v>
      </c>
    </row>
    <row r="180">
      <c r="B180" s="72"/>
    </row>
    <row r="181">
      <c r="B181" s="72"/>
    </row>
    <row r="182">
      <c r="B182" s="72"/>
    </row>
    <row r="183">
      <c r="B183" s="72"/>
    </row>
    <row r="184">
      <c r="B184" s="72"/>
    </row>
    <row r="185">
      <c r="B185" s="72"/>
    </row>
    <row r="186">
      <c r="B186" s="72"/>
    </row>
    <row r="187">
      <c r="B187" s="72"/>
    </row>
    <row r="188">
      <c r="B188" s="72"/>
    </row>
    <row r="189">
      <c r="B189" s="72"/>
    </row>
    <row r="190">
      <c r="B190" s="72"/>
    </row>
    <row r="191">
      <c r="B191" s="72"/>
    </row>
    <row r="192">
      <c r="B192" s="72"/>
    </row>
    <row r="193">
      <c r="B193" s="72"/>
    </row>
    <row r="194">
      <c r="B194" s="72"/>
    </row>
    <row r="195">
      <c r="B195" s="72"/>
    </row>
    <row r="196">
      <c r="B196" s="72"/>
    </row>
    <row r="197">
      <c r="B197" s="72"/>
    </row>
    <row r="198">
      <c r="B198" s="72"/>
    </row>
    <row r="199">
      <c r="B199" s="72"/>
    </row>
    <row r="200">
      <c r="B200" s="72"/>
    </row>
    <row r="201">
      <c r="B201" s="72"/>
    </row>
    <row r="202">
      <c r="B202" s="72"/>
    </row>
    <row r="203">
      <c r="B203" s="72"/>
    </row>
    <row r="204">
      <c r="B204" s="72"/>
    </row>
    <row r="205">
      <c r="B205" s="72"/>
    </row>
    <row r="206">
      <c r="B206" s="72"/>
    </row>
    <row r="207">
      <c r="B207" s="72"/>
    </row>
    <row r="208">
      <c r="B208" s="72"/>
    </row>
    <row r="209">
      <c r="B209" s="72"/>
    </row>
    <row r="210">
      <c r="B210" s="72"/>
    </row>
    <row r="211">
      <c r="B211" s="72"/>
    </row>
    <row r="212">
      <c r="B212" s="72"/>
    </row>
    <row r="213">
      <c r="B213" s="72"/>
    </row>
    <row r="214">
      <c r="B214" s="72"/>
    </row>
    <row r="215">
      <c r="B215" s="72"/>
    </row>
    <row r="216">
      <c r="B216" s="72"/>
    </row>
    <row r="217">
      <c r="B217" s="72"/>
    </row>
    <row r="218">
      <c r="B218" s="72"/>
    </row>
    <row r="219">
      <c r="B219" s="72"/>
    </row>
    <row r="220">
      <c r="B220" s="72"/>
    </row>
    <row r="221">
      <c r="B221" s="72"/>
    </row>
    <row r="222">
      <c r="B222" s="72"/>
    </row>
    <row r="223">
      <c r="B223" s="72"/>
    </row>
    <row r="224">
      <c r="B224" s="72"/>
    </row>
    <row r="225">
      <c r="B225" s="72"/>
    </row>
    <row r="226">
      <c r="B226" s="72"/>
    </row>
    <row r="227">
      <c r="B227" s="72"/>
    </row>
    <row r="228">
      <c r="B228" s="72"/>
    </row>
    <row r="229">
      <c r="B229" s="72"/>
    </row>
    <row r="230">
      <c r="B230" s="72"/>
    </row>
    <row r="231">
      <c r="B231" s="72"/>
    </row>
    <row r="232">
      <c r="B232" s="72"/>
    </row>
    <row r="233">
      <c r="B233" s="72"/>
    </row>
    <row r="234">
      <c r="B234" s="72"/>
    </row>
    <row r="235">
      <c r="B235" s="72"/>
    </row>
    <row r="236">
      <c r="B236" s="72"/>
    </row>
    <row r="237">
      <c r="B237" s="72"/>
    </row>
    <row r="238">
      <c r="B238" s="72"/>
    </row>
    <row r="239">
      <c r="B239" s="72"/>
    </row>
    <row r="240">
      <c r="B240" s="72"/>
    </row>
    <row r="241">
      <c r="B241" s="72"/>
    </row>
    <row r="242">
      <c r="B242" s="72"/>
    </row>
    <row r="243">
      <c r="B243" s="72"/>
    </row>
    <row r="244">
      <c r="B244" s="72"/>
    </row>
    <row r="245">
      <c r="B245" s="72"/>
    </row>
    <row r="246">
      <c r="B246" s="72"/>
    </row>
    <row r="247">
      <c r="B247" s="72"/>
    </row>
    <row r="248">
      <c r="B248" s="72"/>
    </row>
    <row r="249">
      <c r="B249" s="72"/>
    </row>
    <row r="250">
      <c r="B250" s="72"/>
    </row>
    <row r="251">
      <c r="B251" s="72"/>
    </row>
    <row r="252">
      <c r="B252" s="72"/>
    </row>
    <row r="253">
      <c r="B253" s="72"/>
    </row>
    <row r="254">
      <c r="B254" s="72"/>
    </row>
    <row r="255">
      <c r="B255" s="72"/>
    </row>
    <row r="256">
      <c r="B256" s="72"/>
    </row>
    <row r="257">
      <c r="B257" s="72"/>
    </row>
    <row r="258">
      <c r="B258" s="72"/>
    </row>
    <row r="259">
      <c r="B259" s="72"/>
    </row>
    <row r="260">
      <c r="B260" s="72"/>
    </row>
    <row r="261">
      <c r="B261" s="72"/>
    </row>
    <row r="262">
      <c r="B262" s="72"/>
    </row>
    <row r="263">
      <c r="B263" s="72"/>
    </row>
    <row r="264">
      <c r="B264" s="72"/>
    </row>
    <row r="265">
      <c r="B265" s="72"/>
    </row>
    <row r="266">
      <c r="B266" s="72"/>
    </row>
    <row r="267">
      <c r="B267" s="72"/>
    </row>
    <row r="268">
      <c r="B268" s="72"/>
    </row>
    <row r="269">
      <c r="B269" s="72"/>
    </row>
    <row r="270">
      <c r="B270" s="72"/>
    </row>
    <row r="271">
      <c r="B271" s="72"/>
    </row>
    <row r="272">
      <c r="B272" s="72"/>
    </row>
    <row r="273">
      <c r="B273" s="72"/>
    </row>
    <row r="274">
      <c r="B274" s="72"/>
    </row>
    <row r="275">
      <c r="B275" s="72"/>
    </row>
    <row r="276">
      <c r="B276" s="72"/>
    </row>
    <row r="277">
      <c r="B277" s="72"/>
    </row>
    <row r="278">
      <c r="B278" s="72"/>
    </row>
    <row r="279">
      <c r="B279" s="72"/>
    </row>
    <row r="280">
      <c r="B280" s="72"/>
    </row>
    <row r="281">
      <c r="B281" s="72"/>
    </row>
    <row r="282">
      <c r="B282" s="72"/>
    </row>
    <row r="283">
      <c r="B283" s="72"/>
    </row>
    <row r="284">
      <c r="B284" s="72"/>
    </row>
    <row r="285">
      <c r="B285" s="72"/>
    </row>
    <row r="286">
      <c r="B286" s="72"/>
    </row>
    <row r="287">
      <c r="B287" s="72"/>
    </row>
    <row r="288">
      <c r="B288" s="72"/>
    </row>
    <row r="289">
      <c r="B289" s="72"/>
    </row>
    <row r="290">
      <c r="B290" s="72"/>
    </row>
    <row r="291">
      <c r="B291" s="72"/>
    </row>
    <row r="292">
      <c r="B292" s="72"/>
    </row>
    <row r="293">
      <c r="B293" s="72"/>
    </row>
    <row r="294">
      <c r="B294" s="72"/>
    </row>
    <row r="295">
      <c r="B295" s="72"/>
    </row>
    <row r="296">
      <c r="B296" s="72"/>
    </row>
    <row r="297">
      <c r="B297" s="72"/>
    </row>
    <row r="298">
      <c r="B298" s="72"/>
    </row>
    <row r="299">
      <c r="B299" s="72"/>
    </row>
    <row r="300">
      <c r="B300" s="72"/>
    </row>
    <row r="301">
      <c r="B301" s="72"/>
    </row>
    <row r="302">
      <c r="B302" s="72"/>
    </row>
    <row r="303">
      <c r="B303" s="72"/>
    </row>
    <row r="304">
      <c r="B304" s="72"/>
    </row>
    <row r="305">
      <c r="B305" s="72"/>
    </row>
    <row r="306">
      <c r="B306" s="72"/>
    </row>
    <row r="307">
      <c r="B307" s="72"/>
    </row>
    <row r="308">
      <c r="B308" s="72"/>
    </row>
    <row r="309">
      <c r="B309" s="72"/>
    </row>
    <row r="310">
      <c r="B310" s="72"/>
    </row>
    <row r="311">
      <c r="B311" s="72"/>
    </row>
    <row r="312">
      <c r="B312" s="72"/>
    </row>
    <row r="313">
      <c r="B313" s="72"/>
    </row>
    <row r="314">
      <c r="B314" s="72"/>
    </row>
    <row r="315">
      <c r="B315" s="72"/>
    </row>
    <row r="316">
      <c r="B316" s="72"/>
    </row>
    <row r="317">
      <c r="B317" s="72"/>
    </row>
    <row r="318">
      <c r="B318" s="72"/>
    </row>
    <row r="319">
      <c r="B319" s="72"/>
    </row>
    <row r="320">
      <c r="B320" s="72"/>
    </row>
    <row r="321">
      <c r="B321" s="72"/>
    </row>
    <row r="322">
      <c r="B322" s="72"/>
    </row>
    <row r="323">
      <c r="B323" s="72"/>
    </row>
    <row r="324">
      <c r="B324" s="72"/>
    </row>
    <row r="325">
      <c r="B325" s="72"/>
    </row>
    <row r="326">
      <c r="B326" s="72"/>
    </row>
    <row r="327">
      <c r="B327" s="72"/>
    </row>
    <row r="328">
      <c r="B328" s="72"/>
    </row>
    <row r="329">
      <c r="B329" s="72"/>
    </row>
    <row r="330">
      <c r="B330" s="72"/>
    </row>
    <row r="331">
      <c r="B331" s="72"/>
    </row>
    <row r="332">
      <c r="B332" s="72"/>
    </row>
    <row r="333">
      <c r="B333" s="72"/>
    </row>
    <row r="334">
      <c r="B334" s="72"/>
    </row>
    <row r="335">
      <c r="B335" s="72"/>
    </row>
    <row r="336">
      <c r="B336" s="72"/>
    </row>
    <row r="337">
      <c r="B337" s="72"/>
    </row>
    <row r="338">
      <c r="B338" s="72"/>
    </row>
    <row r="339">
      <c r="B339" s="72"/>
    </row>
    <row r="340">
      <c r="B340" s="72"/>
    </row>
    <row r="341">
      <c r="B341" s="72"/>
    </row>
    <row r="342">
      <c r="B342" s="72"/>
    </row>
    <row r="343">
      <c r="B343" s="72"/>
    </row>
    <row r="344">
      <c r="B344" s="72"/>
    </row>
    <row r="345">
      <c r="B345" s="72"/>
    </row>
    <row r="346">
      <c r="B346" s="72"/>
    </row>
    <row r="347">
      <c r="B347" s="72"/>
    </row>
    <row r="348">
      <c r="B348" s="72"/>
    </row>
    <row r="349">
      <c r="B349" s="72"/>
    </row>
    <row r="350">
      <c r="B350" s="72"/>
    </row>
    <row r="351">
      <c r="B351" s="72"/>
    </row>
    <row r="352">
      <c r="B352" s="72"/>
    </row>
    <row r="353">
      <c r="B353" s="72"/>
    </row>
    <row r="354">
      <c r="B354" s="72"/>
    </row>
    <row r="355">
      <c r="B355" s="72"/>
    </row>
    <row r="356">
      <c r="B356" s="72"/>
    </row>
    <row r="357">
      <c r="B357" s="72"/>
    </row>
    <row r="358">
      <c r="B358" s="72"/>
    </row>
    <row r="359">
      <c r="B359" s="72"/>
    </row>
    <row r="360">
      <c r="B360" s="72"/>
    </row>
    <row r="361">
      <c r="B361" s="72"/>
    </row>
    <row r="362">
      <c r="B362" s="72"/>
    </row>
    <row r="363">
      <c r="B363" s="72"/>
    </row>
    <row r="364">
      <c r="B364" s="72"/>
    </row>
    <row r="365">
      <c r="B365" s="72"/>
    </row>
    <row r="366">
      <c r="B366" s="72"/>
    </row>
    <row r="367">
      <c r="B367" s="72"/>
    </row>
    <row r="368">
      <c r="B368" s="72"/>
    </row>
    <row r="369">
      <c r="B369" s="72"/>
    </row>
    <row r="370">
      <c r="B370" s="72"/>
    </row>
    <row r="371">
      <c r="B371" s="72"/>
    </row>
    <row r="372">
      <c r="B372" s="72"/>
    </row>
    <row r="373">
      <c r="B373" s="72"/>
    </row>
    <row r="374">
      <c r="B374" s="72"/>
    </row>
    <row r="375">
      <c r="B375" s="72"/>
    </row>
    <row r="376">
      <c r="B376" s="72"/>
    </row>
    <row r="377">
      <c r="B377" s="72"/>
    </row>
    <row r="378">
      <c r="B378" s="72"/>
    </row>
    <row r="379">
      <c r="B379" s="72"/>
    </row>
    <row r="380">
      <c r="B380" s="72"/>
    </row>
    <row r="381">
      <c r="B381" s="72"/>
    </row>
    <row r="382">
      <c r="B382" s="72"/>
    </row>
    <row r="383">
      <c r="B383" s="72"/>
    </row>
    <row r="384">
      <c r="B384" s="72"/>
    </row>
    <row r="385">
      <c r="B385" s="72"/>
    </row>
    <row r="386">
      <c r="B386" s="72"/>
    </row>
    <row r="387">
      <c r="B387" s="72"/>
    </row>
    <row r="388">
      <c r="B388" s="72"/>
    </row>
    <row r="389">
      <c r="B389" s="72"/>
    </row>
    <row r="390">
      <c r="B390" s="72"/>
    </row>
    <row r="391">
      <c r="B391" s="72"/>
    </row>
    <row r="392">
      <c r="B392" s="72"/>
    </row>
    <row r="393">
      <c r="B393" s="72"/>
    </row>
    <row r="394">
      <c r="B394" s="72"/>
    </row>
    <row r="395">
      <c r="B395" s="72"/>
    </row>
    <row r="396">
      <c r="B396" s="72"/>
    </row>
    <row r="397">
      <c r="B397" s="72"/>
    </row>
    <row r="398">
      <c r="B398" s="72"/>
    </row>
    <row r="399">
      <c r="B399" s="72"/>
    </row>
    <row r="400">
      <c r="B400" s="72"/>
    </row>
    <row r="401">
      <c r="B401" s="72"/>
    </row>
    <row r="402">
      <c r="B402" s="72"/>
    </row>
    <row r="403">
      <c r="B403" s="72"/>
    </row>
    <row r="404">
      <c r="B404" s="72"/>
    </row>
    <row r="405">
      <c r="B405" s="72"/>
    </row>
    <row r="406">
      <c r="B406" s="72"/>
    </row>
    <row r="407">
      <c r="B407" s="72"/>
    </row>
    <row r="408">
      <c r="B408" s="72"/>
    </row>
    <row r="409">
      <c r="B409" s="72"/>
    </row>
    <row r="410">
      <c r="B410" s="72"/>
    </row>
    <row r="411">
      <c r="B411" s="72"/>
    </row>
    <row r="412">
      <c r="B412" s="72"/>
    </row>
    <row r="413">
      <c r="B413" s="72"/>
    </row>
    <row r="414">
      <c r="B414" s="72"/>
    </row>
    <row r="415">
      <c r="B415" s="72"/>
    </row>
    <row r="416">
      <c r="B416" s="72"/>
    </row>
    <row r="417">
      <c r="B417" s="72"/>
    </row>
    <row r="418">
      <c r="B418" s="72"/>
    </row>
    <row r="419">
      <c r="B419" s="72"/>
    </row>
    <row r="420">
      <c r="B420" s="72"/>
    </row>
    <row r="421">
      <c r="B421" s="72"/>
    </row>
    <row r="422">
      <c r="B422" s="72"/>
    </row>
    <row r="423">
      <c r="B423" s="72"/>
    </row>
    <row r="424">
      <c r="B424" s="72"/>
    </row>
    <row r="425">
      <c r="B425" s="72"/>
    </row>
    <row r="426">
      <c r="B426" s="72"/>
    </row>
    <row r="427">
      <c r="B427" s="72"/>
    </row>
    <row r="428">
      <c r="B428" s="72"/>
    </row>
    <row r="429">
      <c r="B429" s="72"/>
    </row>
    <row r="430">
      <c r="B430" s="72"/>
    </row>
    <row r="431">
      <c r="B431" s="72"/>
    </row>
    <row r="432">
      <c r="B432" s="72"/>
    </row>
    <row r="433">
      <c r="B433" s="72"/>
    </row>
    <row r="434">
      <c r="B434" s="72"/>
    </row>
    <row r="435">
      <c r="B435" s="72"/>
    </row>
    <row r="436">
      <c r="B436" s="72"/>
    </row>
    <row r="437">
      <c r="B437" s="72"/>
    </row>
    <row r="438">
      <c r="B438" s="72"/>
    </row>
    <row r="439">
      <c r="B439" s="72"/>
    </row>
    <row r="440">
      <c r="B440" s="72"/>
    </row>
    <row r="441">
      <c r="B441" s="72"/>
    </row>
    <row r="442">
      <c r="B442" s="72"/>
    </row>
    <row r="443">
      <c r="B443" s="72"/>
    </row>
    <row r="444">
      <c r="B444" s="72"/>
    </row>
    <row r="445">
      <c r="B445" s="72"/>
    </row>
    <row r="446">
      <c r="B446" s="72"/>
    </row>
    <row r="447">
      <c r="B447" s="72"/>
    </row>
    <row r="448">
      <c r="B448" s="72"/>
    </row>
    <row r="449">
      <c r="B449" s="72"/>
    </row>
    <row r="450">
      <c r="B450" s="72"/>
    </row>
    <row r="451">
      <c r="B451" s="72"/>
    </row>
    <row r="452">
      <c r="B452" s="72"/>
    </row>
    <row r="453">
      <c r="B453" s="72"/>
    </row>
    <row r="454">
      <c r="B454" s="72"/>
    </row>
    <row r="455">
      <c r="B455" s="72"/>
    </row>
    <row r="456">
      <c r="B456" s="72"/>
    </row>
    <row r="457">
      <c r="B457" s="72"/>
    </row>
    <row r="458">
      <c r="B458" s="72"/>
    </row>
    <row r="459">
      <c r="B459" s="72"/>
    </row>
    <row r="460">
      <c r="B460" s="72"/>
    </row>
    <row r="461">
      <c r="B461" s="72"/>
    </row>
    <row r="462">
      <c r="B462" s="72"/>
    </row>
    <row r="463">
      <c r="B463" s="72"/>
    </row>
    <row r="464">
      <c r="B464" s="72"/>
    </row>
    <row r="465">
      <c r="B465" s="72"/>
    </row>
    <row r="466">
      <c r="B466" s="72"/>
    </row>
    <row r="467">
      <c r="B467" s="72"/>
    </row>
    <row r="468">
      <c r="B468" s="72"/>
    </row>
    <row r="469">
      <c r="B469" s="72"/>
    </row>
    <row r="470">
      <c r="B470" s="72"/>
    </row>
    <row r="471">
      <c r="B471" s="72"/>
    </row>
    <row r="472">
      <c r="B472" s="72"/>
    </row>
    <row r="473">
      <c r="B473" s="72"/>
    </row>
    <row r="474">
      <c r="B474" s="72"/>
    </row>
    <row r="475">
      <c r="B475" s="72"/>
    </row>
    <row r="476">
      <c r="B476" s="72"/>
    </row>
    <row r="477">
      <c r="B477" s="72"/>
    </row>
    <row r="478">
      <c r="B478" s="72"/>
    </row>
    <row r="479">
      <c r="B479" s="72"/>
    </row>
    <row r="480">
      <c r="B480" s="72"/>
    </row>
    <row r="481">
      <c r="B481" s="72"/>
    </row>
    <row r="482">
      <c r="B482" s="72"/>
    </row>
    <row r="483">
      <c r="B483" s="72"/>
    </row>
    <row r="484">
      <c r="B484" s="72"/>
    </row>
    <row r="485">
      <c r="B485" s="72"/>
    </row>
    <row r="486">
      <c r="B486" s="72"/>
    </row>
    <row r="487">
      <c r="B487" s="72"/>
    </row>
    <row r="488">
      <c r="B488" s="72"/>
    </row>
    <row r="489">
      <c r="B489" s="72"/>
    </row>
    <row r="490">
      <c r="B490" s="72"/>
    </row>
    <row r="491">
      <c r="B491" s="72"/>
    </row>
    <row r="492">
      <c r="B492" s="72"/>
    </row>
    <row r="493">
      <c r="B493" s="72"/>
    </row>
    <row r="494">
      <c r="B494" s="72"/>
    </row>
    <row r="495">
      <c r="B495" s="72"/>
    </row>
    <row r="496">
      <c r="B496" s="72"/>
    </row>
    <row r="497">
      <c r="B497" s="72"/>
    </row>
    <row r="498">
      <c r="B498" s="72"/>
    </row>
    <row r="499">
      <c r="B499" s="72"/>
    </row>
    <row r="500">
      <c r="B500" s="72"/>
    </row>
    <row r="501">
      <c r="B501" s="72"/>
    </row>
    <row r="502">
      <c r="B502" s="72"/>
    </row>
    <row r="503">
      <c r="B503" s="72"/>
    </row>
    <row r="504">
      <c r="B504" s="72"/>
    </row>
    <row r="505">
      <c r="B505" s="72"/>
    </row>
    <row r="506">
      <c r="B506" s="72"/>
    </row>
    <row r="507">
      <c r="B507" s="72"/>
    </row>
    <row r="508">
      <c r="B508" s="72"/>
    </row>
    <row r="509">
      <c r="B509" s="72"/>
    </row>
    <row r="510">
      <c r="B510" s="72"/>
    </row>
    <row r="511">
      <c r="B511" s="72"/>
    </row>
    <row r="512">
      <c r="B512" s="72"/>
    </row>
    <row r="513">
      <c r="B513" s="72"/>
    </row>
    <row r="514">
      <c r="B514" s="72"/>
    </row>
    <row r="515">
      <c r="B515" s="72"/>
    </row>
    <row r="516">
      <c r="B516" s="72"/>
    </row>
    <row r="517">
      <c r="B517" s="72"/>
    </row>
    <row r="518">
      <c r="B518" s="72"/>
    </row>
    <row r="519">
      <c r="B519" s="72"/>
    </row>
    <row r="520">
      <c r="B520" s="72"/>
    </row>
    <row r="521">
      <c r="B521" s="72"/>
    </row>
    <row r="522">
      <c r="B522" s="72"/>
    </row>
    <row r="523">
      <c r="B523" s="72"/>
    </row>
    <row r="524">
      <c r="B524" s="72"/>
    </row>
    <row r="525">
      <c r="B525" s="72"/>
    </row>
    <row r="526">
      <c r="B526" s="72"/>
    </row>
    <row r="527">
      <c r="B527" s="72"/>
    </row>
    <row r="528">
      <c r="B528" s="72"/>
    </row>
    <row r="529">
      <c r="B529" s="72"/>
    </row>
    <row r="530">
      <c r="B530" s="72"/>
    </row>
    <row r="531">
      <c r="B531" s="72"/>
    </row>
    <row r="532">
      <c r="B532" s="72"/>
    </row>
    <row r="533">
      <c r="B533" s="72"/>
    </row>
    <row r="534">
      <c r="B534" s="72"/>
    </row>
    <row r="535">
      <c r="B535" s="72"/>
    </row>
    <row r="536">
      <c r="B536" s="72"/>
    </row>
    <row r="537">
      <c r="B537" s="72"/>
    </row>
    <row r="538">
      <c r="B538" s="72"/>
    </row>
    <row r="539">
      <c r="B539" s="72"/>
    </row>
    <row r="540">
      <c r="B540" s="72"/>
    </row>
    <row r="541">
      <c r="B541" s="72"/>
    </row>
    <row r="542">
      <c r="B542" s="72"/>
    </row>
    <row r="543">
      <c r="B543" s="72"/>
    </row>
    <row r="544">
      <c r="B544" s="72"/>
    </row>
    <row r="545">
      <c r="B545" s="72"/>
    </row>
    <row r="546">
      <c r="B546" s="72"/>
    </row>
    <row r="547">
      <c r="B547" s="72"/>
    </row>
    <row r="548">
      <c r="B548" s="72"/>
    </row>
    <row r="549">
      <c r="B549" s="72"/>
    </row>
    <row r="550">
      <c r="B550" s="72"/>
    </row>
    <row r="551">
      <c r="B551" s="72"/>
    </row>
    <row r="552">
      <c r="B552" s="72"/>
    </row>
    <row r="553">
      <c r="B553" s="72"/>
    </row>
    <row r="554">
      <c r="B554" s="72"/>
    </row>
    <row r="555">
      <c r="B555" s="72"/>
    </row>
    <row r="556">
      <c r="B556" s="72"/>
    </row>
    <row r="557">
      <c r="B557" s="72"/>
    </row>
    <row r="558">
      <c r="B558" s="72"/>
    </row>
    <row r="559">
      <c r="B559" s="72"/>
    </row>
    <row r="560">
      <c r="B560" s="72"/>
    </row>
    <row r="561">
      <c r="B561" s="72"/>
    </row>
    <row r="562">
      <c r="B562" s="72"/>
    </row>
    <row r="563">
      <c r="B563" s="72"/>
    </row>
    <row r="564">
      <c r="B564" s="72"/>
    </row>
    <row r="565">
      <c r="B565" s="72"/>
    </row>
    <row r="566">
      <c r="B566" s="72"/>
    </row>
    <row r="567">
      <c r="B567" s="72"/>
    </row>
    <row r="568">
      <c r="B568" s="72"/>
    </row>
    <row r="569">
      <c r="B569" s="72"/>
    </row>
    <row r="570">
      <c r="B570" s="72"/>
    </row>
    <row r="571">
      <c r="B571" s="72"/>
    </row>
    <row r="572">
      <c r="B572" s="72"/>
    </row>
    <row r="573">
      <c r="B573" s="72"/>
    </row>
    <row r="574">
      <c r="B574" s="72"/>
    </row>
    <row r="575">
      <c r="B575" s="72"/>
    </row>
    <row r="576">
      <c r="B576" s="72"/>
    </row>
    <row r="577">
      <c r="B577" s="72"/>
    </row>
    <row r="578">
      <c r="B578" s="72"/>
    </row>
    <row r="579">
      <c r="B579" s="72"/>
    </row>
    <row r="580">
      <c r="B580" s="72"/>
    </row>
    <row r="581">
      <c r="B581" s="72"/>
    </row>
    <row r="582">
      <c r="B582" s="72"/>
    </row>
    <row r="583">
      <c r="B583" s="72"/>
    </row>
    <row r="584">
      <c r="B584" s="72"/>
    </row>
    <row r="585">
      <c r="B585" s="72"/>
    </row>
    <row r="586">
      <c r="B586" s="72"/>
    </row>
    <row r="587">
      <c r="B587" s="72"/>
    </row>
    <row r="588">
      <c r="B588" s="72"/>
    </row>
    <row r="589">
      <c r="B589" s="72"/>
    </row>
    <row r="590">
      <c r="B590" s="72"/>
    </row>
    <row r="591">
      <c r="B591" s="72"/>
    </row>
    <row r="592">
      <c r="B592" s="72"/>
    </row>
    <row r="593">
      <c r="B593" s="72"/>
    </row>
    <row r="594">
      <c r="B594" s="72"/>
    </row>
    <row r="595">
      <c r="B595" s="72"/>
    </row>
    <row r="596">
      <c r="B596" s="72"/>
    </row>
    <row r="597">
      <c r="B597" s="72"/>
    </row>
    <row r="598">
      <c r="B598" s="72"/>
    </row>
    <row r="599">
      <c r="B599" s="72"/>
    </row>
    <row r="600">
      <c r="B600" s="72"/>
    </row>
    <row r="601">
      <c r="B601" s="72"/>
    </row>
    <row r="602">
      <c r="B602" s="72"/>
    </row>
    <row r="603">
      <c r="B603" s="72"/>
    </row>
    <row r="604">
      <c r="B604" s="72"/>
    </row>
    <row r="605">
      <c r="B605" s="72"/>
    </row>
    <row r="606">
      <c r="B606" s="72"/>
    </row>
    <row r="607">
      <c r="B607" s="72"/>
    </row>
    <row r="608">
      <c r="B608" s="72"/>
    </row>
    <row r="609">
      <c r="B609" s="72"/>
    </row>
    <row r="610">
      <c r="B610" s="72"/>
    </row>
    <row r="611">
      <c r="B611" s="72"/>
    </row>
    <row r="612">
      <c r="B612" s="72"/>
    </row>
    <row r="613">
      <c r="B613" s="72"/>
    </row>
    <row r="614">
      <c r="B614" s="72"/>
    </row>
    <row r="615">
      <c r="B615" s="72"/>
    </row>
    <row r="616">
      <c r="B616" s="72"/>
    </row>
    <row r="617">
      <c r="B617" s="72"/>
    </row>
    <row r="618">
      <c r="B618" s="72"/>
    </row>
    <row r="619">
      <c r="B619" s="72"/>
    </row>
    <row r="620">
      <c r="B620" s="72"/>
    </row>
    <row r="621">
      <c r="B621" s="72"/>
    </row>
    <row r="622">
      <c r="B622" s="72"/>
    </row>
    <row r="623">
      <c r="B623" s="72"/>
    </row>
    <row r="624">
      <c r="B624" s="72"/>
    </row>
    <row r="625">
      <c r="B625" s="72"/>
    </row>
    <row r="626">
      <c r="B626" s="72"/>
    </row>
    <row r="627">
      <c r="B627" s="72"/>
    </row>
    <row r="628">
      <c r="B628" s="72"/>
    </row>
    <row r="629">
      <c r="B629" s="72"/>
    </row>
    <row r="630">
      <c r="B630" s="72"/>
    </row>
    <row r="631">
      <c r="B631" s="72"/>
    </row>
    <row r="632">
      <c r="B632" s="72"/>
    </row>
    <row r="633">
      <c r="B633" s="72"/>
    </row>
    <row r="634">
      <c r="B634" s="72"/>
    </row>
    <row r="635">
      <c r="B635" s="72"/>
    </row>
    <row r="636">
      <c r="B636" s="72"/>
    </row>
    <row r="637">
      <c r="B637" s="72"/>
    </row>
    <row r="638">
      <c r="B638" s="72"/>
    </row>
    <row r="639">
      <c r="B639" s="72"/>
    </row>
    <row r="640">
      <c r="B640" s="72"/>
    </row>
    <row r="641">
      <c r="B641" s="72"/>
    </row>
    <row r="642">
      <c r="B642" s="72"/>
    </row>
    <row r="643">
      <c r="B643" s="72"/>
    </row>
    <row r="644">
      <c r="B644" s="72"/>
    </row>
    <row r="645">
      <c r="B645" s="72"/>
    </row>
    <row r="646">
      <c r="B646" s="72"/>
    </row>
    <row r="647">
      <c r="B647" s="72"/>
    </row>
    <row r="648">
      <c r="B648" s="72"/>
    </row>
    <row r="649">
      <c r="B649" s="72"/>
    </row>
    <row r="650">
      <c r="B650" s="72"/>
    </row>
    <row r="651">
      <c r="B651" s="72"/>
    </row>
    <row r="652">
      <c r="B652" s="72"/>
    </row>
    <row r="653">
      <c r="B653" s="72"/>
    </row>
    <row r="654">
      <c r="B654" s="72"/>
    </row>
    <row r="655">
      <c r="B655" s="72"/>
    </row>
    <row r="656">
      <c r="B656" s="72"/>
    </row>
    <row r="657">
      <c r="B657" s="72"/>
    </row>
    <row r="658">
      <c r="B658" s="72"/>
    </row>
    <row r="659">
      <c r="B659" s="72"/>
    </row>
    <row r="660">
      <c r="B660" s="72"/>
    </row>
    <row r="661">
      <c r="B661" s="72"/>
    </row>
    <row r="662">
      <c r="B662" s="72"/>
    </row>
    <row r="663">
      <c r="B663" s="72"/>
    </row>
    <row r="664">
      <c r="B664" s="72"/>
    </row>
    <row r="665">
      <c r="B665" s="72"/>
    </row>
    <row r="666">
      <c r="B666" s="72"/>
    </row>
    <row r="667">
      <c r="B667" s="72"/>
    </row>
    <row r="668">
      <c r="B668" s="72"/>
    </row>
    <row r="669">
      <c r="B669" s="72"/>
    </row>
    <row r="670">
      <c r="B670" s="72"/>
    </row>
    <row r="671">
      <c r="B671" s="72"/>
    </row>
    <row r="672">
      <c r="B672" s="72"/>
    </row>
    <row r="673">
      <c r="B673" s="72"/>
    </row>
    <row r="674">
      <c r="B674" s="72"/>
    </row>
    <row r="675">
      <c r="B675" s="72"/>
    </row>
    <row r="676">
      <c r="B676" s="72"/>
    </row>
    <row r="677">
      <c r="B677" s="72"/>
    </row>
    <row r="678">
      <c r="B678" s="72"/>
    </row>
    <row r="679">
      <c r="B679" s="72"/>
    </row>
    <row r="680">
      <c r="B680" s="72"/>
    </row>
    <row r="681">
      <c r="B681" s="72"/>
    </row>
    <row r="682">
      <c r="B682" s="72"/>
    </row>
    <row r="683">
      <c r="B683" s="72"/>
    </row>
    <row r="684">
      <c r="B684" s="72"/>
    </row>
    <row r="685">
      <c r="B685" s="72"/>
    </row>
    <row r="686">
      <c r="B686" s="72"/>
    </row>
    <row r="687">
      <c r="B687" s="72"/>
    </row>
    <row r="688">
      <c r="B688" s="72"/>
    </row>
    <row r="689">
      <c r="B689" s="72"/>
    </row>
    <row r="690">
      <c r="B690" s="72"/>
    </row>
    <row r="691">
      <c r="B691" s="72"/>
    </row>
    <row r="692">
      <c r="B692" s="72"/>
    </row>
    <row r="693">
      <c r="B693" s="72"/>
    </row>
    <row r="694">
      <c r="B694" s="72"/>
    </row>
    <row r="695">
      <c r="B695" s="72"/>
    </row>
    <row r="696">
      <c r="B696" s="72"/>
    </row>
    <row r="697">
      <c r="B697" s="72"/>
    </row>
    <row r="698">
      <c r="B698" s="72"/>
    </row>
    <row r="699">
      <c r="B699" s="72"/>
    </row>
    <row r="700">
      <c r="B700" s="72"/>
    </row>
    <row r="701">
      <c r="B701" s="72"/>
    </row>
    <row r="702">
      <c r="B702" s="72"/>
    </row>
    <row r="703">
      <c r="B703" s="72"/>
    </row>
    <row r="704">
      <c r="B704" s="72"/>
    </row>
    <row r="705">
      <c r="B705" s="72"/>
    </row>
    <row r="706">
      <c r="B706" s="72"/>
    </row>
    <row r="707">
      <c r="B707" s="72"/>
    </row>
    <row r="708">
      <c r="B708" s="72"/>
    </row>
    <row r="709">
      <c r="B709" s="72"/>
    </row>
    <row r="710">
      <c r="B710" s="72"/>
    </row>
    <row r="711">
      <c r="B711" s="72"/>
    </row>
    <row r="712">
      <c r="B712" s="72"/>
    </row>
    <row r="713">
      <c r="B713" s="72"/>
    </row>
    <row r="714">
      <c r="B714" s="72"/>
    </row>
    <row r="715">
      <c r="B715" s="72"/>
    </row>
    <row r="716">
      <c r="B716" s="72"/>
    </row>
    <row r="717">
      <c r="B717" s="72"/>
    </row>
    <row r="718">
      <c r="B718" s="72"/>
    </row>
    <row r="719">
      <c r="B719" s="72"/>
    </row>
    <row r="720">
      <c r="B720" s="72"/>
    </row>
    <row r="721">
      <c r="B721" s="72"/>
    </row>
    <row r="722">
      <c r="B722" s="72"/>
    </row>
    <row r="723">
      <c r="B723" s="72"/>
    </row>
    <row r="724">
      <c r="B724" s="72"/>
    </row>
    <row r="725">
      <c r="B725" s="72"/>
    </row>
    <row r="726">
      <c r="B726" s="72"/>
    </row>
    <row r="727">
      <c r="B727" s="72"/>
    </row>
    <row r="728">
      <c r="B728" s="72"/>
    </row>
    <row r="729">
      <c r="B729" s="72"/>
    </row>
    <row r="730">
      <c r="B730" s="72"/>
    </row>
    <row r="731">
      <c r="B731" s="72"/>
    </row>
    <row r="732">
      <c r="B732" s="72"/>
    </row>
    <row r="733">
      <c r="B733" s="72"/>
    </row>
    <row r="734">
      <c r="B734" s="72"/>
    </row>
    <row r="735">
      <c r="B735" s="72"/>
    </row>
    <row r="736">
      <c r="B736" s="72"/>
    </row>
    <row r="737">
      <c r="B737" s="72"/>
    </row>
    <row r="738">
      <c r="B738" s="72"/>
    </row>
    <row r="739">
      <c r="B739" s="72"/>
    </row>
    <row r="740">
      <c r="B740" s="72"/>
    </row>
    <row r="741">
      <c r="B741" s="72"/>
    </row>
    <row r="742">
      <c r="B742" s="72"/>
    </row>
    <row r="743">
      <c r="B743" s="72"/>
    </row>
    <row r="744">
      <c r="B744" s="72"/>
    </row>
    <row r="745">
      <c r="B745" s="72"/>
    </row>
    <row r="746">
      <c r="B746" s="72"/>
    </row>
    <row r="747">
      <c r="B747" s="72"/>
    </row>
    <row r="748">
      <c r="B748" s="72"/>
    </row>
    <row r="749">
      <c r="B749" s="72"/>
    </row>
    <row r="750">
      <c r="B750" s="72"/>
    </row>
    <row r="751">
      <c r="B751" s="72"/>
    </row>
    <row r="752">
      <c r="B752" s="72"/>
    </row>
    <row r="753">
      <c r="B753" s="72"/>
    </row>
    <row r="754">
      <c r="B754" s="72"/>
    </row>
    <row r="755">
      <c r="B755" s="72"/>
    </row>
    <row r="756">
      <c r="B756" s="72"/>
    </row>
    <row r="757">
      <c r="B757" s="72"/>
    </row>
    <row r="758">
      <c r="B758" s="72"/>
    </row>
    <row r="759">
      <c r="B759" s="72"/>
    </row>
    <row r="760">
      <c r="B760" s="72"/>
    </row>
    <row r="761">
      <c r="B761" s="72"/>
    </row>
    <row r="762">
      <c r="B762" s="72"/>
    </row>
    <row r="763">
      <c r="B763" s="72"/>
    </row>
    <row r="764">
      <c r="B764" s="72"/>
    </row>
    <row r="765">
      <c r="B765" s="72"/>
    </row>
    <row r="766">
      <c r="B766" s="72"/>
    </row>
    <row r="767">
      <c r="B767" s="72"/>
    </row>
    <row r="768">
      <c r="B768" s="72"/>
    </row>
    <row r="769">
      <c r="B769" s="72"/>
    </row>
    <row r="770">
      <c r="B770" s="72"/>
    </row>
    <row r="771">
      <c r="B771" s="72"/>
    </row>
    <row r="772">
      <c r="B772" s="72"/>
    </row>
    <row r="773">
      <c r="B773" s="72"/>
    </row>
    <row r="774">
      <c r="B774" s="72"/>
    </row>
    <row r="775">
      <c r="B775" s="72"/>
    </row>
    <row r="776">
      <c r="B776" s="72"/>
    </row>
    <row r="777">
      <c r="B777" s="72"/>
    </row>
    <row r="778">
      <c r="B778" s="72"/>
    </row>
    <row r="779">
      <c r="B779" s="72"/>
    </row>
    <row r="780">
      <c r="B780" s="72"/>
    </row>
    <row r="781">
      <c r="B781" s="72"/>
    </row>
    <row r="782">
      <c r="B782" s="72"/>
    </row>
    <row r="783">
      <c r="B783" s="72"/>
    </row>
    <row r="784">
      <c r="B784" s="72"/>
    </row>
    <row r="785">
      <c r="B785" s="72"/>
    </row>
    <row r="786">
      <c r="B786" s="72"/>
    </row>
    <row r="787">
      <c r="B787" s="72"/>
    </row>
    <row r="788">
      <c r="B788" s="72"/>
    </row>
    <row r="789">
      <c r="B789" s="72"/>
    </row>
    <row r="790">
      <c r="B790" s="72"/>
    </row>
    <row r="791">
      <c r="B791" s="72"/>
    </row>
    <row r="792">
      <c r="B792" s="72"/>
    </row>
    <row r="793">
      <c r="B793" s="72"/>
    </row>
    <row r="794">
      <c r="B794" s="72"/>
    </row>
    <row r="795">
      <c r="B795" s="72"/>
    </row>
    <row r="796">
      <c r="B796" s="72"/>
    </row>
    <row r="797">
      <c r="B797" s="72"/>
    </row>
    <row r="798">
      <c r="B798" s="72"/>
    </row>
    <row r="799">
      <c r="B799" s="72"/>
    </row>
    <row r="800">
      <c r="B800" s="72"/>
    </row>
    <row r="801">
      <c r="B801" s="72"/>
    </row>
    <row r="802">
      <c r="B802" s="72"/>
    </row>
    <row r="803">
      <c r="B803" s="72"/>
    </row>
    <row r="804">
      <c r="B804" s="72"/>
    </row>
    <row r="805">
      <c r="B805" s="72"/>
    </row>
    <row r="806">
      <c r="B806" s="72"/>
    </row>
    <row r="807">
      <c r="B807" s="72"/>
    </row>
    <row r="808">
      <c r="B808" s="72"/>
    </row>
    <row r="809">
      <c r="B809" s="72"/>
    </row>
    <row r="810">
      <c r="B810" s="72"/>
    </row>
    <row r="811">
      <c r="B811" s="72"/>
    </row>
    <row r="812">
      <c r="B812" s="72"/>
    </row>
    <row r="813">
      <c r="B813" s="72"/>
    </row>
    <row r="814">
      <c r="B814" s="72"/>
    </row>
    <row r="815">
      <c r="B815" s="72"/>
    </row>
    <row r="816">
      <c r="B816" s="72"/>
    </row>
    <row r="817">
      <c r="B817" s="72"/>
    </row>
    <row r="818">
      <c r="B818" s="72"/>
    </row>
    <row r="819">
      <c r="B819" s="72"/>
    </row>
    <row r="820">
      <c r="B820" s="72"/>
    </row>
    <row r="821">
      <c r="B821" s="72"/>
    </row>
    <row r="822">
      <c r="B822" s="72"/>
    </row>
    <row r="823">
      <c r="B823" s="72"/>
    </row>
    <row r="824">
      <c r="B824" s="72"/>
    </row>
    <row r="825">
      <c r="B825" s="72"/>
    </row>
    <row r="826">
      <c r="B826" s="72"/>
    </row>
    <row r="827">
      <c r="B827" s="72"/>
    </row>
    <row r="828">
      <c r="B828" s="72"/>
    </row>
    <row r="829">
      <c r="B829" s="72"/>
    </row>
    <row r="830">
      <c r="B830" s="72"/>
    </row>
    <row r="831">
      <c r="B831" s="72"/>
    </row>
    <row r="832">
      <c r="B832" s="72"/>
    </row>
    <row r="833">
      <c r="B833" s="72"/>
    </row>
    <row r="834">
      <c r="B834" s="72"/>
    </row>
    <row r="835">
      <c r="B835" s="72"/>
    </row>
    <row r="836">
      <c r="B836" s="72"/>
    </row>
    <row r="837">
      <c r="B837" s="72"/>
    </row>
    <row r="838">
      <c r="B838" s="72"/>
    </row>
    <row r="839">
      <c r="B839" s="72"/>
    </row>
    <row r="840">
      <c r="B840" s="72"/>
    </row>
    <row r="841">
      <c r="B841" s="72"/>
    </row>
    <row r="842">
      <c r="B842" s="72"/>
    </row>
    <row r="843">
      <c r="B843" s="72"/>
    </row>
    <row r="844">
      <c r="B844" s="72"/>
    </row>
    <row r="845">
      <c r="B845" s="72"/>
    </row>
    <row r="846">
      <c r="B846" s="72"/>
    </row>
    <row r="847">
      <c r="B847" s="72"/>
    </row>
    <row r="848">
      <c r="B848" s="72"/>
    </row>
    <row r="849">
      <c r="B849" s="72"/>
    </row>
    <row r="850">
      <c r="B850" s="72"/>
    </row>
    <row r="851">
      <c r="B851" s="72"/>
    </row>
    <row r="852">
      <c r="B852" s="72"/>
    </row>
    <row r="853">
      <c r="B853" s="72"/>
    </row>
    <row r="854">
      <c r="B854" s="72"/>
    </row>
    <row r="855">
      <c r="B855" s="72"/>
    </row>
    <row r="856">
      <c r="B856" s="72"/>
    </row>
    <row r="857">
      <c r="B857" s="72"/>
    </row>
    <row r="858">
      <c r="B858" s="72"/>
    </row>
    <row r="859">
      <c r="B859" s="72"/>
    </row>
    <row r="860">
      <c r="B860" s="72"/>
    </row>
    <row r="861">
      <c r="B861" s="72"/>
    </row>
    <row r="862">
      <c r="B862" s="72"/>
    </row>
    <row r="863">
      <c r="B863" s="72"/>
    </row>
    <row r="864">
      <c r="B864" s="72"/>
    </row>
    <row r="865">
      <c r="B865" s="72"/>
    </row>
    <row r="866">
      <c r="B866" s="72"/>
    </row>
    <row r="867">
      <c r="B867" s="72"/>
    </row>
    <row r="868">
      <c r="B868" s="72"/>
    </row>
    <row r="869">
      <c r="B869" s="72"/>
    </row>
    <row r="870">
      <c r="B870" s="72"/>
    </row>
    <row r="871">
      <c r="B871" s="72"/>
    </row>
    <row r="872">
      <c r="B872" s="72"/>
    </row>
    <row r="873">
      <c r="B873" s="72"/>
    </row>
    <row r="874">
      <c r="B874" s="72"/>
    </row>
    <row r="875">
      <c r="B875" s="72"/>
    </row>
    <row r="876">
      <c r="B876" s="72"/>
    </row>
    <row r="877">
      <c r="B877" s="72"/>
    </row>
    <row r="878">
      <c r="B878" s="72"/>
    </row>
    <row r="879">
      <c r="B879" s="72"/>
    </row>
    <row r="880">
      <c r="B880" s="72"/>
    </row>
    <row r="881">
      <c r="B881" s="72"/>
    </row>
    <row r="882">
      <c r="B882" s="72"/>
    </row>
    <row r="883">
      <c r="B883" s="72"/>
    </row>
    <row r="884">
      <c r="B884" s="72"/>
    </row>
    <row r="885">
      <c r="B885" s="72"/>
    </row>
    <row r="886">
      <c r="B886" s="72"/>
    </row>
    <row r="887">
      <c r="B887" s="72"/>
    </row>
    <row r="888">
      <c r="B888" s="72"/>
    </row>
    <row r="889">
      <c r="B889" s="72"/>
    </row>
    <row r="890">
      <c r="B890" s="72"/>
    </row>
    <row r="891">
      <c r="B891" s="72"/>
    </row>
    <row r="892">
      <c r="B892" s="72"/>
    </row>
    <row r="893">
      <c r="B893" s="72"/>
    </row>
    <row r="894">
      <c r="B894" s="72"/>
    </row>
    <row r="895">
      <c r="B895" s="72"/>
    </row>
    <row r="896">
      <c r="B896" s="72"/>
    </row>
    <row r="897">
      <c r="B897" s="72"/>
    </row>
    <row r="898">
      <c r="B898" s="72"/>
    </row>
    <row r="899">
      <c r="B899" s="72"/>
    </row>
    <row r="900">
      <c r="B900" s="72"/>
    </row>
    <row r="901">
      <c r="B901" s="72"/>
    </row>
    <row r="902">
      <c r="B902" s="72"/>
    </row>
    <row r="903">
      <c r="B903" s="72"/>
    </row>
    <row r="904">
      <c r="B904" s="72"/>
    </row>
    <row r="905">
      <c r="B905" s="72"/>
    </row>
    <row r="906">
      <c r="B906" s="72"/>
    </row>
    <row r="907">
      <c r="B907" s="72"/>
    </row>
    <row r="908">
      <c r="B908" s="72"/>
    </row>
    <row r="909">
      <c r="B909" s="72"/>
    </row>
    <row r="910">
      <c r="B910" s="72"/>
    </row>
    <row r="911">
      <c r="B911" s="72"/>
    </row>
    <row r="912">
      <c r="B912" s="72"/>
    </row>
    <row r="913">
      <c r="B913" s="72"/>
    </row>
    <row r="914">
      <c r="B914" s="72"/>
    </row>
    <row r="915">
      <c r="B915" s="72"/>
    </row>
    <row r="916">
      <c r="B916" s="72"/>
    </row>
    <row r="917">
      <c r="B917" s="72"/>
    </row>
    <row r="918">
      <c r="B918" s="72"/>
    </row>
    <row r="919">
      <c r="B919" s="72"/>
    </row>
    <row r="920">
      <c r="B920" s="72"/>
    </row>
    <row r="921">
      <c r="B921" s="72"/>
    </row>
    <row r="922">
      <c r="B922" s="72"/>
    </row>
    <row r="923">
      <c r="B923" s="72"/>
    </row>
    <row r="924">
      <c r="B924" s="72"/>
    </row>
    <row r="925">
      <c r="B925" s="72"/>
    </row>
    <row r="926">
      <c r="B926" s="72"/>
    </row>
    <row r="927">
      <c r="B927" s="72"/>
    </row>
    <row r="928">
      <c r="B928" s="72"/>
    </row>
    <row r="929">
      <c r="B929" s="72"/>
    </row>
    <row r="930">
      <c r="B930" s="72"/>
    </row>
    <row r="931">
      <c r="B931" s="72"/>
    </row>
    <row r="932">
      <c r="B932" s="72"/>
    </row>
    <row r="933">
      <c r="B933" s="72"/>
    </row>
    <row r="934">
      <c r="B934" s="72"/>
    </row>
    <row r="935">
      <c r="B935" s="72"/>
    </row>
    <row r="936">
      <c r="B936" s="72"/>
    </row>
    <row r="937">
      <c r="B937" s="72"/>
    </row>
    <row r="938">
      <c r="B938" s="72"/>
    </row>
    <row r="939">
      <c r="B939" s="72"/>
    </row>
    <row r="940">
      <c r="B940" s="72"/>
    </row>
    <row r="941">
      <c r="B941" s="72"/>
    </row>
    <row r="942">
      <c r="B942" s="72"/>
    </row>
    <row r="943">
      <c r="B943" s="72"/>
    </row>
    <row r="944">
      <c r="B944" s="72"/>
    </row>
    <row r="945">
      <c r="B945" s="72"/>
    </row>
    <row r="946">
      <c r="B946" s="72"/>
    </row>
    <row r="947">
      <c r="B947" s="72"/>
    </row>
    <row r="948">
      <c r="B948" s="72"/>
    </row>
    <row r="949">
      <c r="B949" s="72"/>
    </row>
    <row r="950">
      <c r="B950" s="72"/>
    </row>
    <row r="951">
      <c r="B951" s="72"/>
    </row>
    <row r="952">
      <c r="B952" s="72"/>
    </row>
    <row r="953">
      <c r="B953" s="72"/>
    </row>
    <row r="954">
      <c r="B954" s="72"/>
    </row>
    <row r="955">
      <c r="B955" s="72"/>
    </row>
    <row r="956">
      <c r="B956" s="72"/>
    </row>
    <row r="957">
      <c r="B957" s="72"/>
    </row>
    <row r="958">
      <c r="B958" s="72"/>
    </row>
    <row r="959">
      <c r="B959" s="72"/>
    </row>
    <row r="960">
      <c r="B960" s="72"/>
    </row>
    <row r="961">
      <c r="B961" s="72"/>
    </row>
    <row r="962">
      <c r="B962" s="72"/>
    </row>
    <row r="963">
      <c r="B963" s="72"/>
    </row>
    <row r="964">
      <c r="B964" s="72"/>
    </row>
    <row r="965">
      <c r="B965" s="72"/>
    </row>
    <row r="966">
      <c r="B966" s="72"/>
    </row>
    <row r="967">
      <c r="B967" s="72"/>
    </row>
    <row r="968">
      <c r="B968" s="72"/>
    </row>
    <row r="969">
      <c r="B969" s="72"/>
    </row>
    <row r="970">
      <c r="B970" s="72"/>
    </row>
    <row r="971">
      <c r="B971" s="72"/>
    </row>
    <row r="972">
      <c r="B972" s="72"/>
    </row>
    <row r="973">
      <c r="B973" s="72"/>
    </row>
    <row r="974">
      <c r="B974" s="72"/>
    </row>
    <row r="975">
      <c r="B975" s="72"/>
    </row>
    <row r="976">
      <c r="B976" s="72"/>
    </row>
    <row r="977">
      <c r="B977" s="72"/>
    </row>
    <row r="978">
      <c r="B978" s="72"/>
    </row>
    <row r="979">
      <c r="B979" s="72"/>
    </row>
    <row r="980">
      <c r="B980" s="72"/>
    </row>
    <row r="981">
      <c r="B981" s="72"/>
    </row>
    <row r="982">
      <c r="B982" s="72"/>
    </row>
    <row r="983">
      <c r="B983" s="72"/>
    </row>
    <row r="984">
      <c r="B984" s="72"/>
    </row>
    <row r="985">
      <c r="B985" s="72"/>
    </row>
    <row r="986">
      <c r="B986" s="72"/>
    </row>
    <row r="987">
      <c r="B987" s="72"/>
    </row>
    <row r="988">
      <c r="B988" s="72"/>
    </row>
    <row r="989">
      <c r="B989" s="72"/>
    </row>
    <row r="990">
      <c r="B990" s="72"/>
    </row>
    <row r="991">
      <c r="B991" s="72"/>
    </row>
    <row r="992">
      <c r="B992" s="72"/>
    </row>
    <row r="993">
      <c r="B993" s="72"/>
    </row>
    <row r="994">
      <c r="B994" s="72"/>
    </row>
    <row r="995">
      <c r="B995" s="72"/>
    </row>
    <row r="996">
      <c r="B996" s="72"/>
    </row>
    <row r="997">
      <c r="B997" s="72"/>
    </row>
    <row r="998">
      <c r="B998" s="72"/>
    </row>
    <row r="999">
      <c r="B999" s="72"/>
    </row>
    <row r="1000">
      <c r="B1000" s="72"/>
    </row>
  </sheetData>
  <autoFilter ref="$A$1:$Z$179">
    <sortState ref="A1:Z179">
      <sortCondition ref="A1:A179"/>
      <sortCondition ref="J1:J179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2026-03-06T21:22:10Z</dcterms:created>
  <dc:creator>openpyxl</dc:creator>
</cp:coreProperties>
</file>