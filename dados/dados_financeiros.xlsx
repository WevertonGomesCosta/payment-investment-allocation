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Gastos'!$A$1:$E$284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nncVmsWHrl/8sRzGtqbVa/SPkhPG5LgcLpOy3m3oEU="/>
    </ext>
  </extLst>
</workbook>
</file>

<file path=xl/sharedStrings.xml><?xml version="1.0" encoding="utf-8"?>
<sst xmlns="http://schemas.openxmlformats.org/spreadsheetml/2006/main" count="2498" uniqueCount="436">
  <si>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</si>
  <si>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</si>
  <si>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</si>
  <si>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</si>
  <si>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</si>
  <si>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</si>
  <si>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</si>
  <si>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</si>
  <si>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</si>
  <si>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</si>
  <si>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</si>
  <si>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</si>
  <si>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</si>
  <si>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</si>
  <si>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</si>
  <si>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</si>
  <si>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</si>
  <si>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</si>
  <si>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</si>
  <si>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</si>
  <si>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</si>
  <si>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</si>
  <si>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</si>
  <si>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</si>
  <si>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</si>
  <si>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</si>
  <si>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</si>
  <si>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</si>
  <si>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</si>
  <si>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</si>
  <si>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</si>
  <si>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</si>
  <si>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</si>
  <si>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</si>
  <si>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</si>
  <si>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</si>
  <si>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</si>
  <si>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</si>
  <si>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Lote 10342 fev.</t>
  </si>
  <si>
    <t>Aluguel</t>
  </si>
  <si>
    <t>Lote 190 mai</t>
  </si>
  <si>
    <t>IPVA</t>
  </si>
  <si>
    <t>Lote 2063,11 fev.</t>
  </si>
  <si>
    <t>Internet</t>
  </si>
  <si>
    <t>Lote 2800 mai.</t>
  </si>
  <si>
    <t>Material</t>
  </si>
  <si>
    <t>Lote 3120 mai</t>
  </si>
  <si>
    <t>Escola</t>
  </si>
  <si>
    <t xml:space="preserve">Lote 3800 mai. </t>
  </si>
  <si>
    <t>Lote 4000 fev.</t>
  </si>
  <si>
    <t>Lote 4124,75 fev.</t>
  </si>
  <si>
    <t>Lote 4876 jun</t>
  </si>
  <si>
    <t>Pelada</t>
  </si>
  <si>
    <t>Lote 5400 fev.</t>
  </si>
  <si>
    <t>Lote 5680 abr.</t>
  </si>
  <si>
    <t>Lote 6630,64 fev.</t>
  </si>
  <si>
    <t>Condomínio</t>
  </si>
  <si>
    <t>Lote 7500 mai.</t>
  </si>
  <si>
    <t>Futebol</t>
  </si>
  <si>
    <t>Lote 7600 jun.</t>
  </si>
  <si>
    <t>Implante Velt</t>
  </si>
  <si>
    <t>Lote 8500 mar.</t>
  </si>
  <si>
    <t>Ginástica Biola</t>
  </si>
  <si>
    <t>Saldo</t>
  </si>
  <si>
    <t>Thayrine</t>
  </si>
  <si>
    <t>Total geral</t>
  </si>
  <si>
    <t>Cartão PS</t>
  </si>
  <si>
    <t>Cartão NU</t>
  </si>
  <si>
    <t>Claro</t>
  </si>
  <si>
    <t>Cemig</t>
  </si>
  <si>
    <t>Pelada e churrasco</t>
  </si>
  <si>
    <t xml:space="preserve">Concerto Carro </t>
  </si>
  <si>
    <t>Calça biola</t>
  </si>
  <si>
    <t>Cleitim</t>
  </si>
  <si>
    <t>Consulta Maite</t>
  </si>
  <si>
    <t>Cemig SIM</t>
  </si>
  <si>
    <t>Roberta</t>
  </si>
  <si>
    <t>Tia Maria Jose</t>
  </si>
  <si>
    <t>Churrasco são miguelense</t>
  </si>
  <si>
    <t>Churrasco Pelada</t>
  </si>
  <si>
    <t>Churrasco Zim</t>
  </si>
  <si>
    <t>Faxina Rosa</t>
  </si>
  <si>
    <t>Cartão Mercado Pago</t>
  </si>
  <si>
    <t>Concurso velt</t>
  </si>
  <si>
    <t>Tratamento Lara</t>
  </si>
  <si>
    <t>Resto praia</t>
  </si>
  <si>
    <t>Concurso ze</t>
  </si>
  <si>
    <t>Camisa velt</t>
  </si>
  <si>
    <t>Sapatos</t>
  </si>
  <si>
    <t>Entrada Hotel</t>
  </si>
  <si>
    <t>Presente Gi</t>
  </si>
  <si>
    <t>Presente Negs</t>
  </si>
  <si>
    <t>Roupa biola</t>
  </si>
  <si>
    <t>Spotify</t>
  </si>
  <si>
    <t>Licenciamento</t>
  </si>
  <si>
    <t>Ana Paula</t>
  </si>
  <si>
    <t>Cida</t>
  </si>
  <si>
    <t>Embreagem</t>
  </si>
  <si>
    <t>Pircing</t>
  </si>
  <si>
    <t>Poupança Lara</t>
  </si>
  <si>
    <t>Unha</t>
  </si>
  <si>
    <t>Fran</t>
  </si>
  <si>
    <t>Churrasco pelada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</si>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</sst>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Alignment="1" applyBorder="1" applyFont="1">
      <alignment readingOrder="0"/>
    </xf>
    <xf borderId="1" fillId="0" fontId="8" numFmtId="166" xfId="0" applyBorder="1" applyFont="1" applyNumberFormat="1"/>
    <xf borderId="1" fillId="0" fontId="10" numFmtId="0" xfId="0" applyBorder="1" applyFont="1"/>
    <xf borderId="1" fillId="0" fontId="8" numFmtId="166" xfId="0" applyAlignment="1" applyBorder="1" applyFont="1" applyNumberFormat="1">
      <alignment horizontal="right"/>
    </xf>
    <xf borderId="1" fillId="0" fontId="8" numFmtId="167" xfId="0" applyAlignment="1" applyBorder="1" applyFont="1" applyNumberFormat="1">
      <alignment readingOrder="0"/>
    </xf>
    <xf borderId="1" fillId="0" fontId="6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0" xfId="0" applyAlignment="1" applyBorder="1" applyFont="1">
      <alignment readingOrder="0"/>
    </xf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0" fillId="0" fontId="2" numFmtId="2" xfId="0" applyFont="1" applyNumberFormat="1"/>
    <xf borderId="0" fillId="0" fontId="2" numFmtId="169" xfId="0" applyFont="1" applyNumberForma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166" xfId="0" applyAlignment="1" applyBorder="1" applyFont="1" applyNumberFormat="1">
      <alignment horizontal="right" vertical="bottom"/>
    </xf>
    <xf borderId="1" fillId="0" fontId="8" numFmtId="0" xfId="0" applyAlignment="1" applyBorder="1" applyFont="1">
      <alignment vertical="bottom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299836620"/>
        <c:axId val="1374639790"/>
      </c:barChart>
      <c:catAx>
        <c:axId val="299836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74639790"/>
      </c:catAx>
      <c:valAx>
        <c:axId val="1374639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9983662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8" sheet="Todos os Gastos"/>
  </cacheSource>
  <cacheFields>
    <cacheField name="Valor" numFmtId="166">
      <sharedItems containsString="0" containsBlank="1" containsNumber="1">
        <n v="6014.06"/>
        <n v="981.95"/>
        <n v="1407.63"/>
        <n v="131.4"/>
        <n v="460.0"/>
        <n v="1368.12"/>
        <n v="192.89"/>
        <n v="2063.23"/>
        <n v="2811.15"/>
        <n v="24.0"/>
        <n v="132.4"/>
        <n v="2913.53"/>
        <n v="19.02"/>
        <n v="5.0"/>
        <n v="45.78"/>
        <n v="65.0"/>
        <n v="120.0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16.15"/>
        <n v="807.2"/>
        <n v="4540.55"/>
        <n v="70.0"/>
        <n v="434.75"/>
        <n v="45.0"/>
        <n v="151.71"/>
        <n v="206.8"/>
        <n v="18.75"/>
        <n v="2894.0"/>
        <n v="35.0"/>
        <n v="87.84"/>
        <n v="450.0"/>
        <n v="75.0"/>
        <n v="182.8"/>
        <n v="65.6"/>
        <n v="2837.48"/>
        <n v="3452.5"/>
        <n v="59.8"/>
        <n v="250.0"/>
        <n v="44.0"/>
        <n v="98.88"/>
        <n v="787.11"/>
        <n v="26.0"/>
        <n v="5301.64"/>
        <n v="354.22"/>
        <n v="20.0"/>
        <n v="60.0"/>
        <n v="745.15"/>
        <n v="55.0"/>
        <n v="82.09"/>
        <n v="101.47"/>
        <n v="800.0"/>
        <n v="48.85"/>
        <n v="2842.53"/>
        <n v="98.98"/>
        <n v="120.75"/>
        <n v="113.8"/>
        <n v="400.0"/>
        <n v="530.0"/>
        <n v="417.1"/>
        <n v="950.0"/>
        <n v="7796.0"/>
        <n v="1394.74"/>
        <n v="105.37"/>
        <n v="116.56"/>
        <n v="771.36"/>
        <n v="100.0"/>
        <n v="102.36"/>
        <n v="281.1"/>
        <n v="135.89"/>
        <n v="983.13"/>
        <n v="800.88"/>
        <n v="78.0"/>
        <n v="1062.64"/>
        <n v="195.05"/>
        <n v="64.89"/>
        <n v="520.0"/>
        <n v="58.0"/>
        <n v="138.69"/>
        <n v="40.0"/>
        <n v="81.8"/>
        <n v="136.15"/>
        <n v="36.02"/>
        <n v="150.0"/>
        <n v="5310.25"/>
        <n v="170.0"/>
        <n v="900.0"/>
        <n v="52.0"/>
        <n v="981.22"/>
        <n v="2472.89"/>
        <n v="670.0"/>
        <n v="110.0"/>
        <n v="73.19"/>
        <n v="204.85"/>
        <n v="183.8"/>
        <n v="4875.26"/>
        <n v="113.31"/>
        <n v="930.0"/>
        <n v="981.88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342 fev."/>
        <s v="Lote 190 mai"/>
        <s v="Lote 2063,11 fev."/>
        <s v="Lote 2800 mai."/>
        <s v="Lote 3120 mai"/>
        <s v="Lote 3800 mai. "/>
        <s v="Lote 4000 fev."/>
        <s v="Lote 4124,75 fev."/>
        <s v="Lote 4876 jun"/>
        <s v="Lote 5400 fev."/>
        <s v="Lote 5680 abr."/>
        <s v="Lote 6630,64 fev."/>
        <s v="Lote 7500 mai."/>
        <s v="Lote 7600 jun."/>
        <s v="Lote 8500 mar."/>
        <s v="Saldo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261386.58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14471.92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G:G&lt;&gt;"""")))"),-2838.249999999989)</f>
        <v>-2838.25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16766.37</v>
      </c>
      <c r="C7" s="6">
        <f>IF($A7="","",SUMIFS('Salários'!$D:$D,'Salários'!$B:$B,"&gt;="&amp;$A7,'Salários'!$B:$B,"&lt;"&amp;EDATE($A7,1)))</f>
        <v>17143</v>
      </c>
      <c r="D7" s="6">
        <f t="shared" si="1"/>
        <v>376.63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14471.92</v>
      </c>
      <c r="I7" s="7" t="s">
        <v>14</v>
      </c>
      <c r="J7" s="8">
        <f>SUMIFS(D:D,A:A,"&gt;="&amp;EOMONTH(TODAY(),-1)+1,A:A,"&lt;"&amp;EDATE(EOMONTH(TODAY(),-1)+1,1))</f>
        <v>376.63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13969.11</v>
      </c>
      <c r="C8" s="3">
        <f>IF($A8="","",SUMIFS('Salários'!$D:$D,'Salários'!$B:$B,"&gt;="&amp;$A8,'Salários'!$B:$B,"&lt;"&amp;EDATE($A8,1)))</f>
        <v>12680</v>
      </c>
      <c r="D8" s="3">
        <f t="shared" si="1"/>
        <v>-1289.11</v>
      </c>
      <c r="E8" s="4">
        <f>IF($A8="","",COUNTIFS('Todos os Gastos'!$A:$A,"&gt;="&amp;$A8,'Todos os Gastos'!$A:$A,"&lt;"&amp;EDATE($A8,1)))</f>
        <v>15</v>
      </c>
      <c r="F8" s="4">
        <f>IF($A8="","",COUNTIFS('Salários'!$B:$B,"&gt;="&amp;$A8,'Salários'!$B:$B,"&lt;"&amp;EDATE($A8,1)))</f>
        <v>2</v>
      </c>
      <c r="G8" s="3">
        <f t="shared" si="2"/>
        <v>13182.81</v>
      </c>
      <c r="I8" s="7" t="s">
        <v>15</v>
      </c>
      <c r="J8" s="8">
        <f>AVERAGEIF(D:D,"&lt;&gt;",D:D)</f>
        <v>-166.9558824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11761.83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9772.65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8183.67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7094.49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2885.31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5725.05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2654.15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-526.97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-4880.02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-2838.25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46062.0</v>
      </c>
      <c r="B2" s="35" t="s">
        <v>36</v>
      </c>
      <c r="C2" s="36">
        <v>6014.06</v>
      </c>
      <c r="D2" s="35" t="s">
        <v>37</v>
      </c>
      <c r="E2" s="35" t="s">
        <v>38</v>
      </c>
      <c r="F2" s="37"/>
      <c r="I2" s="40"/>
      <c r="J2" s="40"/>
    </row>
    <row r="3" ht="14.25" customHeight="1">
      <c r="A3" s="34">
        <v>46065.0</v>
      </c>
      <c r="B3" s="41" t="s">
        <v>39</v>
      </c>
      <c r="C3" s="42">
        <v>981.95</v>
      </c>
      <c r="D3" s="35" t="s">
        <v>37</v>
      </c>
      <c r="E3" s="35" t="s">
        <v>38</v>
      </c>
      <c r="F3" s="37"/>
      <c r="I3" s="40"/>
      <c r="J3" s="40"/>
    </row>
    <row r="4" ht="14.25" customHeight="1">
      <c r="A4" s="34">
        <v>46065.0</v>
      </c>
      <c r="B4" s="43" t="s">
        <v>41</v>
      </c>
      <c r="C4" s="36">
        <v>1407.63</v>
      </c>
      <c r="D4" s="35" t="s">
        <v>37</v>
      </c>
      <c r="E4" s="35" t="s">
        <v>38</v>
      </c>
      <c r="F4" s="37"/>
      <c r="I4" s="40"/>
      <c r="J4" s="40"/>
    </row>
    <row r="5" ht="14.25" customHeight="1">
      <c r="A5" s="34">
        <v>46069.0</v>
      </c>
      <c r="B5" s="41" t="s">
        <v>43</v>
      </c>
      <c r="C5" s="36">
        <v>131.4</v>
      </c>
      <c r="D5" s="35" t="s">
        <v>37</v>
      </c>
      <c r="E5" s="35" t="s">
        <v>38</v>
      </c>
      <c r="F5" s="37"/>
      <c r="I5" s="40"/>
      <c r="J5" s="40"/>
    </row>
    <row r="6" ht="14.25" customHeight="1">
      <c r="A6" s="34">
        <v>46072.0</v>
      </c>
      <c r="B6" s="43" t="s">
        <v>45</v>
      </c>
      <c r="C6" s="42">
        <v>460.0</v>
      </c>
      <c r="D6" s="35" t="s">
        <v>37</v>
      </c>
      <c r="E6" s="35" t="s">
        <v>38</v>
      </c>
      <c r="F6" s="37"/>
      <c r="I6" s="40"/>
      <c r="J6" s="40"/>
    </row>
    <row r="7" ht="14.25" customHeight="1">
      <c r="A7" s="34">
        <v>46094.0</v>
      </c>
      <c r="B7" s="43" t="s">
        <v>47</v>
      </c>
      <c r="C7" s="44">
        <v>1368.12</v>
      </c>
      <c r="D7" s="35" t="s">
        <v>37</v>
      </c>
      <c r="E7" s="35" t="s">
        <v>38</v>
      </c>
      <c r="F7" s="37"/>
      <c r="I7" s="40"/>
      <c r="J7" s="40"/>
    </row>
    <row r="8" ht="14.25" customHeight="1">
      <c r="A8" s="45">
        <v>46155.0</v>
      </c>
      <c r="B8" s="41" t="s">
        <v>39</v>
      </c>
      <c r="C8" s="36">
        <v>192.89</v>
      </c>
      <c r="D8" s="41" t="s">
        <v>37</v>
      </c>
      <c r="E8" s="46" t="s">
        <v>40</v>
      </c>
      <c r="F8" s="37"/>
      <c r="I8" s="40"/>
      <c r="J8" s="40"/>
    </row>
    <row r="9" ht="14.25" customHeight="1">
      <c r="A9" s="34">
        <v>46062.0</v>
      </c>
      <c r="B9" s="35" t="s">
        <v>36</v>
      </c>
      <c r="C9" s="42">
        <v>2063.23</v>
      </c>
      <c r="D9" s="35" t="s">
        <v>37</v>
      </c>
      <c r="E9" s="35" t="s">
        <v>42</v>
      </c>
      <c r="F9" s="37"/>
      <c r="I9" s="40"/>
      <c r="J9" s="40"/>
    </row>
    <row r="10" ht="14.25" customHeight="1">
      <c r="A10" s="34">
        <v>46162.0</v>
      </c>
      <c r="B10" s="35" t="s">
        <v>36</v>
      </c>
      <c r="C10" s="36">
        <v>2811.15</v>
      </c>
      <c r="D10" s="41" t="s">
        <v>37</v>
      </c>
      <c r="E10" s="46" t="s">
        <v>44</v>
      </c>
      <c r="F10" s="37"/>
      <c r="I10" s="47"/>
      <c r="J10" s="40"/>
    </row>
    <row r="11" ht="14.25" customHeight="1">
      <c r="A11" s="45">
        <v>46155.0</v>
      </c>
      <c r="B11" s="41" t="s">
        <v>52</v>
      </c>
      <c r="C11" s="36">
        <v>24.0</v>
      </c>
      <c r="D11" s="41" t="s">
        <v>37</v>
      </c>
      <c r="E11" s="46" t="s">
        <v>46</v>
      </c>
      <c r="F11" s="37"/>
      <c r="I11" s="40"/>
      <c r="J11" s="40"/>
    </row>
    <row r="12" ht="14.25" customHeight="1">
      <c r="A12" s="34">
        <v>46157.0</v>
      </c>
      <c r="B12" s="41" t="s">
        <v>43</v>
      </c>
      <c r="C12" s="42">
        <v>132.4</v>
      </c>
      <c r="D12" s="41" t="s">
        <v>37</v>
      </c>
      <c r="E12" s="46" t="s">
        <v>46</v>
      </c>
      <c r="F12" s="37"/>
      <c r="I12" s="40"/>
      <c r="J12" s="40"/>
    </row>
    <row r="13" ht="14.25" customHeight="1">
      <c r="A13" s="34">
        <v>46162.0</v>
      </c>
      <c r="B13" s="35" t="s">
        <v>36</v>
      </c>
      <c r="C13" s="36">
        <v>2913.53</v>
      </c>
      <c r="D13" s="41" t="s">
        <v>37</v>
      </c>
      <c r="E13" s="46" t="s">
        <v>46</v>
      </c>
      <c r="F13" s="37"/>
      <c r="I13" s="40"/>
      <c r="J13" s="40"/>
    </row>
    <row r="14" ht="14.25" customHeight="1">
      <c r="A14" s="34">
        <v>46162.0</v>
      </c>
      <c r="B14" s="41" t="s">
        <v>56</v>
      </c>
      <c r="C14" s="36">
        <v>19.02</v>
      </c>
      <c r="D14" s="41" t="s">
        <v>37</v>
      </c>
      <c r="E14" s="46" t="s">
        <v>46</v>
      </c>
      <c r="F14" s="37"/>
      <c r="I14" s="40"/>
      <c r="J14" s="40"/>
    </row>
    <row r="15" ht="14.25" customHeight="1">
      <c r="A15" s="45">
        <v>46166.0</v>
      </c>
      <c r="B15" s="41" t="s">
        <v>58</v>
      </c>
      <c r="C15" s="36">
        <v>5.0</v>
      </c>
      <c r="D15" s="48" t="s">
        <v>37</v>
      </c>
      <c r="E15" s="46" t="s">
        <v>46</v>
      </c>
      <c r="F15" s="37"/>
      <c r="I15" s="40"/>
      <c r="J15" s="40"/>
    </row>
    <row r="16" ht="14.25" customHeight="1">
      <c r="A16" s="34">
        <v>46175.0</v>
      </c>
      <c r="B16" s="41" t="s">
        <v>60</v>
      </c>
      <c r="C16" s="36">
        <v>45.78</v>
      </c>
      <c r="D16" s="41" t="s">
        <v>37</v>
      </c>
      <c r="E16" s="46" t="s">
        <v>46</v>
      </c>
      <c r="F16" s="37"/>
      <c r="I16" s="40"/>
      <c r="J16" s="40"/>
    </row>
    <row r="17" ht="14.25" customHeight="1">
      <c r="A17" s="34">
        <v>46150.0</v>
      </c>
      <c r="B17" s="35" t="s">
        <v>62</v>
      </c>
      <c r="C17" s="42">
        <v>65.0</v>
      </c>
      <c r="D17" s="41" t="s">
        <v>37</v>
      </c>
      <c r="E17" s="48" t="s">
        <v>48</v>
      </c>
      <c r="F17" s="37"/>
      <c r="I17" s="40"/>
      <c r="J17" s="40"/>
    </row>
    <row r="18" ht="14.25" customHeight="1">
      <c r="A18" s="34">
        <v>46150.0</v>
      </c>
      <c r="B18" s="43" t="s">
        <v>64</v>
      </c>
      <c r="C18" s="36">
        <v>120.0</v>
      </c>
      <c r="D18" s="41" t="s">
        <v>37</v>
      </c>
      <c r="E18" s="48" t="s">
        <v>48</v>
      </c>
      <c r="F18" s="37"/>
      <c r="I18" s="40"/>
      <c r="J18" s="40"/>
    </row>
    <row r="19" ht="14.25" customHeight="1">
      <c r="A19" s="34">
        <v>46063.0</v>
      </c>
      <c r="B19" s="35" t="s">
        <v>66</v>
      </c>
      <c r="C19" s="42">
        <v>123.44</v>
      </c>
      <c r="D19" s="35" t="s">
        <v>37</v>
      </c>
      <c r="E19" s="35" t="s">
        <v>49</v>
      </c>
      <c r="F19" s="37"/>
      <c r="G19" s="38"/>
      <c r="H19" s="39"/>
      <c r="I19" s="40"/>
      <c r="J19" s="40"/>
    </row>
    <row r="20" ht="14.25" customHeight="1">
      <c r="A20" s="34">
        <v>46073.0</v>
      </c>
      <c r="B20" s="41" t="s">
        <v>56</v>
      </c>
      <c r="C20" s="42">
        <v>74.18</v>
      </c>
      <c r="D20" s="35" t="s">
        <v>37</v>
      </c>
      <c r="E20" s="35" t="s">
        <v>49</v>
      </c>
      <c r="F20" s="37"/>
      <c r="G20" s="38"/>
      <c r="H20" s="39"/>
      <c r="I20" s="40"/>
      <c r="J20" s="40"/>
    </row>
    <row r="21" ht="14.25" customHeight="1">
      <c r="A21" s="34">
        <v>46083.0</v>
      </c>
      <c r="B21" s="43" t="s">
        <v>67</v>
      </c>
      <c r="C21" s="42">
        <v>1771.95</v>
      </c>
      <c r="D21" s="35" t="s">
        <v>37</v>
      </c>
      <c r="E21" s="35" t="s">
        <v>49</v>
      </c>
      <c r="F21" s="37"/>
      <c r="G21" s="38"/>
      <c r="H21" s="39"/>
      <c r="I21" s="40"/>
      <c r="J21" s="40"/>
    </row>
    <row r="22" ht="14.25" customHeight="1">
      <c r="A22" s="34">
        <v>46090.0</v>
      </c>
      <c r="B22" s="41" t="s">
        <v>68</v>
      </c>
      <c r="C22" s="42">
        <v>57.89</v>
      </c>
      <c r="D22" s="35" t="s">
        <v>37</v>
      </c>
      <c r="E22" s="35" t="s">
        <v>49</v>
      </c>
      <c r="F22" s="37"/>
      <c r="G22" s="38"/>
      <c r="H22" s="39"/>
      <c r="I22" s="40"/>
      <c r="J22" s="40"/>
    </row>
    <row r="23" ht="14.25" customHeight="1">
      <c r="A23" s="34">
        <v>46091.0</v>
      </c>
      <c r="B23" s="35" t="s">
        <v>66</v>
      </c>
      <c r="C23" s="42">
        <v>1336.73</v>
      </c>
      <c r="D23" s="35" t="s">
        <v>37</v>
      </c>
      <c r="E23" s="35" t="s">
        <v>49</v>
      </c>
      <c r="F23" s="37"/>
      <c r="G23" s="38"/>
      <c r="H23" s="39"/>
      <c r="I23" s="40"/>
      <c r="J23" s="40"/>
    </row>
    <row r="24" ht="14.25" customHeight="1">
      <c r="A24" s="34">
        <v>46091.0</v>
      </c>
      <c r="B24" s="35" t="s">
        <v>62</v>
      </c>
      <c r="C24" s="42">
        <v>65.0</v>
      </c>
      <c r="D24" s="35" t="s">
        <v>37</v>
      </c>
      <c r="E24" s="35" t="s">
        <v>49</v>
      </c>
      <c r="F24" s="37"/>
      <c r="G24" s="38"/>
      <c r="H24" s="39"/>
      <c r="I24" s="40"/>
      <c r="J24" s="40"/>
    </row>
    <row r="25" ht="14.25" customHeight="1">
      <c r="A25" s="34">
        <v>46092.0</v>
      </c>
      <c r="B25" s="43" t="s">
        <v>69</v>
      </c>
      <c r="C25" s="42">
        <v>86.15</v>
      </c>
      <c r="D25" s="35" t="s">
        <v>37</v>
      </c>
      <c r="E25" s="35" t="s">
        <v>49</v>
      </c>
      <c r="F25" s="37"/>
      <c r="G25" s="38"/>
      <c r="H25" s="39"/>
      <c r="I25" s="40"/>
      <c r="J25" s="40"/>
    </row>
    <row r="26" ht="14.25" customHeight="1">
      <c r="A26" s="34">
        <v>46092.0</v>
      </c>
      <c r="B26" s="41" t="s">
        <v>52</v>
      </c>
      <c r="C26" s="42">
        <v>50.0</v>
      </c>
      <c r="D26" s="35" t="s">
        <v>37</v>
      </c>
      <c r="E26" s="35" t="s">
        <v>49</v>
      </c>
      <c r="F26" s="37"/>
      <c r="G26" s="38"/>
      <c r="H26" s="39"/>
      <c r="I26" s="40"/>
      <c r="J26" s="40"/>
    </row>
    <row r="27" ht="14.25" customHeight="1">
      <c r="A27" s="34">
        <v>46094.0</v>
      </c>
      <c r="B27" s="41" t="s">
        <v>39</v>
      </c>
      <c r="C27" s="42">
        <v>473.73</v>
      </c>
      <c r="D27" s="35" t="s">
        <v>37</v>
      </c>
      <c r="E27" s="35" t="s">
        <v>49</v>
      </c>
      <c r="F27" s="37"/>
      <c r="G27" s="38"/>
      <c r="H27" s="39"/>
      <c r="I27" s="40"/>
      <c r="J27" s="40"/>
      <c r="O27" s="49"/>
      <c r="P27" s="50"/>
      <c r="Q27" s="49"/>
      <c r="R27" s="50"/>
    </row>
    <row r="28" ht="14.25" customHeight="1">
      <c r="A28" s="34">
        <v>46064.0</v>
      </c>
      <c r="B28" s="43" t="s">
        <v>69</v>
      </c>
      <c r="C28" s="42">
        <v>95.12</v>
      </c>
      <c r="D28" s="35" t="s">
        <v>37</v>
      </c>
      <c r="E28" s="35" t="s">
        <v>50</v>
      </c>
      <c r="F28" s="37"/>
      <c r="G28" s="38"/>
      <c r="H28" s="39"/>
      <c r="I28" s="40"/>
      <c r="J28" s="40"/>
      <c r="O28" s="49"/>
      <c r="P28" s="50"/>
      <c r="Q28" s="49"/>
      <c r="R28" s="50"/>
    </row>
    <row r="29" ht="14.25" customHeight="1">
      <c r="A29" s="34">
        <v>46064.0</v>
      </c>
      <c r="B29" s="41" t="s">
        <v>52</v>
      </c>
      <c r="C29" s="42">
        <v>50.0</v>
      </c>
      <c r="D29" s="35" t="s">
        <v>37</v>
      </c>
      <c r="E29" s="35" t="s">
        <v>50</v>
      </c>
      <c r="F29" s="37"/>
      <c r="G29" s="38"/>
      <c r="H29" s="39"/>
      <c r="I29" s="40"/>
      <c r="J29" s="40"/>
    </row>
    <row r="30" ht="14.25" customHeight="1">
      <c r="A30" s="34">
        <v>46072.0</v>
      </c>
      <c r="B30" s="43" t="s">
        <v>47</v>
      </c>
      <c r="C30" s="42">
        <v>2831.4</v>
      </c>
      <c r="D30" s="35" t="s">
        <v>37</v>
      </c>
      <c r="E30" s="35" t="s">
        <v>50</v>
      </c>
      <c r="F30" s="37"/>
      <c r="G30" s="38"/>
      <c r="H30" s="39"/>
      <c r="I30" s="40"/>
      <c r="J30" s="40"/>
    </row>
    <row r="31" ht="14.25" customHeight="1">
      <c r="A31" s="34">
        <v>46094.0</v>
      </c>
      <c r="B31" s="41" t="s">
        <v>39</v>
      </c>
      <c r="C31" s="42">
        <v>508.07</v>
      </c>
      <c r="D31" s="35" t="s">
        <v>37</v>
      </c>
      <c r="E31" s="35" t="s">
        <v>50</v>
      </c>
      <c r="F31" s="37"/>
      <c r="G31" s="38"/>
      <c r="H31" s="39"/>
      <c r="I31" s="40"/>
      <c r="J31" s="40"/>
    </row>
    <row r="32" ht="14.25" customHeight="1">
      <c r="A32" s="34">
        <v>46094.0</v>
      </c>
      <c r="B32" s="43" t="s">
        <v>47</v>
      </c>
      <c r="C32" s="44">
        <v>660.99</v>
      </c>
      <c r="D32" s="35" t="s">
        <v>37</v>
      </c>
      <c r="E32" s="35" t="s">
        <v>50</v>
      </c>
      <c r="F32" s="37"/>
      <c r="G32" s="38"/>
      <c r="H32" s="39"/>
      <c r="I32" s="40"/>
      <c r="J32" s="40"/>
    </row>
    <row r="33" ht="14.25" customHeight="1">
      <c r="A33" s="34">
        <v>46188.0</v>
      </c>
      <c r="B33" s="43" t="s">
        <v>47</v>
      </c>
      <c r="C33" s="42">
        <v>2831.4</v>
      </c>
      <c r="D33" s="41" t="s">
        <v>37</v>
      </c>
      <c r="E33" s="22" t="s">
        <v>51</v>
      </c>
      <c r="F33" s="51"/>
      <c r="G33" s="38"/>
      <c r="H33" s="39"/>
      <c r="I33" s="40"/>
      <c r="J33" s="40"/>
    </row>
    <row r="34" ht="14.25" customHeight="1">
      <c r="A34" s="45">
        <v>46188.0</v>
      </c>
      <c r="B34" s="35" t="s">
        <v>62</v>
      </c>
      <c r="C34" s="36">
        <v>16.15</v>
      </c>
      <c r="D34" s="41" t="s">
        <v>37</v>
      </c>
      <c r="E34" s="22" t="s">
        <v>51</v>
      </c>
      <c r="F34" s="37"/>
      <c r="G34" s="38"/>
      <c r="H34" s="39"/>
      <c r="I34" s="40"/>
      <c r="J34" s="40"/>
    </row>
    <row r="35" ht="14.25" customHeight="1">
      <c r="A35" s="34">
        <v>46188.0</v>
      </c>
      <c r="B35" s="41" t="s">
        <v>43</v>
      </c>
      <c r="C35" s="42">
        <v>132.4</v>
      </c>
      <c r="D35" s="41" t="s">
        <v>37</v>
      </c>
      <c r="E35" s="22" t="s">
        <v>51</v>
      </c>
      <c r="F35" s="51"/>
      <c r="G35" s="38"/>
      <c r="H35" s="39"/>
      <c r="I35" s="40"/>
      <c r="J35" s="40"/>
    </row>
    <row r="36" ht="14.25" customHeight="1">
      <c r="A36" s="34">
        <v>46094.0</v>
      </c>
      <c r="B36" s="43" t="s">
        <v>47</v>
      </c>
      <c r="C36" s="42">
        <v>807.2</v>
      </c>
      <c r="D36" s="35" t="s">
        <v>37</v>
      </c>
      <c r="E36" s="35" t="s">
        <v>53</v>
      </c>
      <c r="F36" s="51"/>
      <c r="G36" s="38"/>
      <c r="H36" s="39"/>
      <c r="I36" s="40"/>
      <c r="J36" s="40"/>
    </row>
    <row r="37" ht="14.25" customHeight="1">
      <c r="A37" s="34">
        <v>46097.0</v>
      </c>
      <c r="B37" s="41" t="s">
        <v>43</v>
      </c>
      <c r="C37" s="42">
        <v>132.4</v>
      </c>
      <c r="D37" s="35" t="s">
        <v>37</v>
      </c>
      <c r="E37" s="35" t="s">
        <v>53</v>
      </c>
      <c r="F37" s="51"/>
      <c r="G37" s="38"/>
      <c r="H37" s="39"/>
      <c r="I37" s="40"/>
      <c r="J37" s="40"/>
    </row>
    <row r="38" ht="14.25" customHeight="1">
      <c r="A38" s="34">
        <v>46101.0</v>
      </c>
      <c r="B38" s="35" t="s">
        <v>36</v>
      </c>
      <c r="C38" s="42">
        <v>4540.55</v>
      </c>
      <c r="D38" s="35" t="s">
        <v>37</v>
      </c>
      <c r="E38" s="35" t="s">
        <v>53</v>
      </c>
      <c r="F38" s="51"/>
      <c r="G38" s="38"/>
      <c r="H38" s="39"/>
      <c r="I38" s="40"/>
      <c r="J38" s="40"/>
    </row>
    <row r="39" ht="14.25" customHeight="1">
      <c r="A39" s="34">
        <v>46120.0</v>
      </c>
      <c r="B39" s="43" t="s">
        <v>70</v>
      </c>
      <c r="C39" s="42">
        <v>70.0</v>
      </c>
      <c r="D39" s="43" t="s">
        <v>37</v>
      </c>
      <c r="E39" s="35" t="s">
        <v>54</v>
      </c>
      <c r="F39" s="51"/>
      <c r="G39" s="38"/>
      <c r="H39" s="52"/>
      <c r="I39" s="40"/>
      <c r="J39" s="40"/>
    </row>
    <row r="40" ht="14.25" customHeight="1">
      <c r="A40" s="34">
        <v>46122.0</v>
      </c>
      <c r="B40" s="35" t="s">
        <v>71</v>
      </c>
      <c r="C40" s="42">
        <v>434.75</v>
      </c>
      <c r="D40" s="43" t="s">
        <v>37</v>
      </c>
      <c r="E40" s="35" t="s">
        <v>54</v>
      </c>
      <c r="F40" s="51"/>
      <c r="G40" s="38"/>
      <c r="H40" s="52"/>
      <c r="I40" s="40"/>
      <c r="J40" s="40"/>
    </row>
    <row r="41" ht="14.25" customHeight="1">
      <c r="A41" s="45">
        <v>46126.0</v>
      </c>
      <c r="B41" s="41" t="s">
        <v>72</v>
      </c>
      <c r="C41" s="36">
        <v>45.0</v>
      </c>
      <c r="D41" s="41" t="s">
        <v>37</v>
      </c>
      <c r="E41" s="35" t="s">
        <v>54</v>
      </c>
      <c r="F41" s="51"/>
      <c r="G41" s="38"/>
      <c r="H41" s="52"/>
      <c r="I41" s="40"/>
      <c r="J41" s="40"/>
    </row>
    <row r="42" ht="14.25" customHeight="1">
      <c r="A42" s="45">
        <v>46126.0</v>
      </c>
      <c r="B42" s="43" t="s">
        <v>47</v>
      </c>
      <c r="C42" s="36">
        <v>151.71</v>
      </c>
      <c r="D42" s="41" t="s">
        <v>37</v>
      </c>
      <c r="E42" s="35" t="s">
        <v>54</v>
      </c>
      <c r="F42" s="51"/>
      <c r="G42" s="38"/>
      <c r="H42" s="52"/>
      <c r="I42" s="40"/>
      <c r="J42" s="40"/>
    </row>
    <row r="43" ht="14.25" customHeight="1">
      <c r="A43" s="45">
        <v>46126.0</v>
      </c>
      <c r="B43" s="43" t="s">
        <v>47</v>
      </c>
      <c r="C43" s="36">
        <v>206.8</v>
      </c>
      <c r="D43" s="41" t="s">
        <v>37</v>
      </c>
      <c r="E43" s="35" t="s">
        <v>54</v>
      </c>
      <c r="F43" s="51"/>
      <c r="G43" s="38"/>
      <c r="H43" s="52"/>
      <c r="I43" s="40"/>
      <c r="J43" s="40"/>
    </row>
    <row r="44" ht="14.25" customHeight="1">
      <c r="A44" s="45">
        <v>46126.0</v>
      </c>
      <c r="B44" s="43" t="s">
        <v>26</v>
      </c>
      <c r="C44" s="36">
        <v>18.75</v>
      </c>
      <c r="D44" s="41" t="s">
        <v>37</v>
      </c>
      <c r="E44" s="35" t="s">
        <v>54</v>
      </c>
      <c r="F44" s="51"/>
      <c r="G44" s="38"/>
      <c r="H44" s="52"/>
      <c r="I44" s="40"/>
      <c r="J44" s="40"/>
    </row>
    <row r="45" ht="14.25" customHeight="1">
      <c r="A45" s="34">
        <v>46101.0</v>
      </c>
      <c r="B45" s="35" t="s">
        <v>36</v>
      </c>
      <c r="C45" s="42">
        <v>2894.0</v>
      </c>
      <c r="D45" s="35" t="s">
        <v>37</v>
      </c>
      <c r="E45" s="35" t="s">
        <v>55</v>
      </c>
      <c r="F45" s="51"/>
      <c r="G45" s="38"/>
      <c r="H45" s="52"/>
      <c r="I45" s="40"/>
      <c r="J45" s="40"/>
    </row>
    <row r="46" ht="14.25" customHeight="1">
      <c r="A46" s="34">
        <v>46101.0</v>
      </c>
      <c r="B46" s="43" t="s">
        <v>73</v>
      </c>
      <c r="C46" s="42">
        <v>35.0</v>
      </c>
      <c r="D46" s="35" t="s">
        <v>37</v>
      </c>
      <c r="E46" s="35" t="s">
        <v>55</v>
      </c>
      <c r="F46" s="51"/>
      <c r="G46" s="38"/>
      <c r="H46" s="52"/>
      <c r="I46" s="40"/>
      <c r="J46" s="40"/>
    </row>
    <row r="47" ht="14.25" customHeight="1">
      <c r="A47" s="34">
        <v>46101.0</v>
      </c>
      <c r="B47" s="41" t="s">
        <v>56</v>
      </c>
      <c r="C47" s="42">
        <v>87.84</v>
      </c>
      <c r="D47" s="35" t="s">
        <v>37</v>
      </c>
      <c r="E47" s="35" t="s">
        <v>55</v>
      </c>
      <c r="F47" s="51"/>
      <c r="G47" s="38"/>
      <c r="H47" s="52"/>
      <c r="I47" s="40"/>
      <c r="J47" s="40"/>
    </row>
    <row r="48" ht="14.25" customHeight="1">
      <c r="A48" s="34">
        <v>46101.0</v>
      </c>
      <c r="B48" s="43" t="s">
        <v>74</v>
      </c>
      <c r="C48" s="42">
        <v>450.0</v>
      </c>
      <c r="D48" s="35" t="s">
        <v>37</v>
      </c>
      <c r="E48" s="35" t="s">
        <v>55</v>
      </c>
      <c r="F48" s="51"/>
      <c r="G48" s="40"/>
      <c r="H48" s="52"/>
      <c r="I48" s="40"/>
      <c r="J48" s="40"/>
    </row>
    <row r="49" ht="14.25" customHeight="1">
      <c r="A49" s="34">
        <v>46101.0</v>
      </c>
      <c r="B49" s="43" t="s">
        <v>26</v>
      </c>
      <c r="C49" s="42">
        <v>75.0</v>
      </c>
      <c r="D49" s="35" t="s">
        <v>37</v>
      </c>
      <c r="E49" s="35" t="s">
        <v>55</v>
      </c>
      <c r="F49" s="53"/>
      <c r="G49" s="38"/>
      <c r="H49" s="52"/>
      <c r="I49" s="40"/>
      <c r="J49" s="40"/>
    </row>
    <row r="50" ht="14.25" customHeight="1">
      <c r="A50" s="34">
        <v>46118.0</v>
      </c>
      <c r="B50" s="41" t="s">
        <v>75</v>
      </c>
      <c r="C50" s="42">
        <v>182.8</v>
      </c>
      <c r="D50" s="43" t="s">
        <v>37</v>
      </c>
      <c r="E50" s="35" t="s">
        <v>55</v>
      </c>
      <c r="F50" s="53"/>
      <c r="G50" s="38"/>
      <c r="H50" s="52"/>
      <c r="I50" s="40"/>
      <c r="J50" s="40"/>
    </row>
    <row r="51" ht="14.25" customHeight="1">
      <c r="A51" s="34">
        <v>46120.0</v>
      </c>
      <c r="B51" s="41" t="s">
        <v>68</v>
      </c>
      <c r="C51" s="42">
        <v>65.6</v>
      </c>
      <c r="D51" s="43" t="s">
        <v>37</v>
      </c>
      <c r="E51" s="35" t="s">
        <v>55</v>
      </c>
      <c r="F51" s="53"/>
      <c r="G51" s="38"/>
      <c r="H51" s="52"/>
      <c r="I51" s="40"/>
      <c r="J51" s="40"/>
    </row>
    <row r="52" ht="14.25" customHeight="1">
      <c r="A52" s="34">
        <v>46127.0</v>
      </c>
      <c r="B52" s="41" t="s">
        <v>43</v>
      </c>
      <c r="C52" s="42">
        <v>132.4</v>
      </c>
      <c r="D52" s="41" t="s">
        <v>37</v>
      </c>
      <c r="E52" s="35" t="s">
        <v>55</v>
      </c>
      <c r="F52" s="53"/>
      <c r="G52" s="38"/>
      <c r="H52" s="52"/>
      <c r="I52" s="40"/>
      <c r="J52" s="40"/>
    </row>
    <row r="53" ht="14.25" customHeight="1">
      <c r="A53" s="34">
        <v>46132.0</v>
      </c>
      <c r="B53" s="35" t="s">
        <v>36</v>
      </c>
      <c r="C53" s="36">
        <v>2837.48</v>
      </c>
      <c r="D53" s="35" t="s">
        <v>37</v>
      </c>
      <c r="E53" s="35" t="s">
        <v>55</v>
      </c>
      <c r="F53" s="53"/>
      <c r="G53" s="38"/>
      <c r="H53" s="52"/>
      <c r="I53" s="40"/>
      <c r="J53" s="40"/>
    </row>
    <row r="54" ht="14.25" customHeight="1">
      <c r="A54" s="34">
        <v>46146.0</v>
      </c>
      <c r="B54" s="43" t="s">
        <v>67</v>
      </c>
      <c r="C54" s="36">
        <v>3452.5</v>
      </c>
      <c r="D54" s="41" t="s">
        <v>37</v>
      </c>
      <c r="E54" s="48" t="s">
        <v>57</v>
      </c>
      <c r="F54" s="53"/>
      <c r="G54" s="38"/>
      <c r="H54" s="52"/>
      <c r="I54" s="40"/>
      <c r="J54" s="40"/>
    </row>
    <row r="55" ht="14.25" customHeight="1">
      <c r="A55" s="34">
        <v>46146.0</v>
      </c>
      <c r="B55" s="41" t="s">
        <v>76</v>
      </c>
      <c r="C55" s="36">
        <v>59.8</v>
      </c>
      <c r="D55" s="41" t="s">
        <v>37</v>
      </c>
      <c r="E55" s="48" t="s">
        <v>57</v>
      </c>
      <c r="F55" s="53"/>
      <c r="G55" s="38"/>
      <c r="H55" s="52"/>
      <c r="I55" s="40"/>
      <c r="J55" s="40"/>
    </row>
    <row r="56" ht="14.25" customHeight="1">
      <c r="A56" s="34">
        <v>46146.0</v>
      </c>
      <c r="B56" s="41" t="s">
        <v>77</v>
      </c>
      <c r="C56" s="36">
        <v>250.0</v>
      </c>
      <c r="D56" s="41" t="s">
        <v>37</v>
      </c>
      <c r="E56" s="48" t="s">
        <v>57</v>
      </c>
      <c r="F56" s="53"/>
      <c r="G56" s="38"/>
      <c r="H56" s="52"/>
      <c r="I56" s="40"/>
      <c r="J56" s="40"/>
    </row>
    <row r="57" ht="14.25" customHeight="1">
      <c r="A57" s="45">
        <v>46151.0</v>
      </c>
      <c r="B57" s="41" t="s">
        <v>78</v>
      </c>
      <c r="C57" s="36">
        <v>44.0</v>
      </c>
      <c r="D57" s="41" t="s">
        <v>37</v>
      </c>
      <c r="E57" s="46" t="s">
        <v>57</v>
      </c>
      <c r="F57" s="53"/>
      <c r="G57" s="38"/>
      <c r="H57" s="52"/>
      <c r="I57" s="40"/>
      <c r="J57" s="40"/>
    </row>
    <row r="58" ht="14.25" customHeight="1">
      <c r="A58" s="34">
        <v>46153.0</v>
      </c>
      <c r="B58" s="43" t="s">
        <v>69</v>
      </c>
      <c r="C58" s="36">
        <v>98.88</v>
      </c>
      <c r="D58" s="41" t="s">
        <v>37</v>
      </c>
      <c r="E58" s="46" t="s">
        <v>57</v>
      </c>
      <c r="F58" s="53"/>
      <c r="G58" s="38"/>
      <c r="H58" s="52"/>
      <c r="I58" s="40"/>
      <c r="J58" s="40"/>
    </row>
    <row r="59" ht="14.25" customHeight="1">
      <c r="A59" s="45">
        <v>46155.0</v>
      </c>
      <c r="B59" s="41" t="s">
        <v>39</v>
      </c>
      <c r="C59" s="36">
        <v>787.11</v>
      </c>
      <c r="D59" s="41" t="s">
        <v>37</v>
      </c>
      <c r="E59" s="46" t="s">
        <v>57</v>
      </c>
      <c r="F59" s="53"/>
      <c r="G59" s="38"/>
      <c r="H59" s="52"/>
      <c r="I59" s="40"/>
      <c r="J59" s="40"/>
    </row>
    <row r="60" ht="14.25" customHeight="1">
      <c r="A60" s="45">
        <v>46155.0</v>
      </c>
      <c r="B60" s="43" t="s">
        <v>47</v>
      </c>
      <c r="C60" s="42">
        <v>2831.4</v>
      </c>
      <c r="D60" s="41" t="s">
        <v>37</v>
      </c>
      <c r="E60" s="46" t="s">
        <v>57</v>
      </c>
      <c r="F60" s="53"/>
      <c r="G60" s="38"/>
      <c r="H60" s="52"/>
      <c r="I60" s="40"/>
      <c r="J60" s="40"/>
    </row>
    <row r="61" ht="14.25" customHeight="1">
      <c r="A61" s="45">
        <v>46155.0</v>
      </c>
      <c r="B61" s="41" t="s">
        <v>52</v>
      </c>
      <c r="C61" s="36">
        <v>26.0</v>
      </c>
      <c r="D61" s="41" t="s">
        <v>37</v>
      </c>
      <c r="E61" s="46" t="s">
        <v>57</v>
      </c>
      <c r="F61" s="53"/>
      <c r="G61" s="38"/>
      <c r="H61" s="52"/>
      <c r="I61" s="40"/>
      <c r="J61" s="40"/>
    </row>
    <row r="62" ht="14.25" customHeight="1">
      <c r="A62" s="34">
        <v>46175.0</v>
      </c>
      <c r="B62" s="43" t="s">
        <v>67</v>
      </c>
      <c r="C62" s="36">
        <v>5301.64</v>
      </c>
      <c r="D62" s="41" t="s">
        <v>37</v>
      </c>
      <c r="E62" s="46" t="s">
        <v>59</v>
      </c>
      <c r="F62" s="53"/>
      <c r="G62" s="38"/>
      <c r="H62" s="52"/>
      <c r="I62" s="40"/>
      <c r="J62" s="40"/>
    </row>
    <row r="63" ht="14.25" customHeight="1">
      <c r="A63" s="34">
        <v>46175.0</v>
      </c>
      <c r="B63" s="41" t="s">
        <v>60</v>
      </c>
      <c r="C63" s="36">
        <v>354.22</v>
      </c>
      <c r="D63" s="48" t="s">
        <v>37</v>
      </c>
      <c r="E63" s="46" t="s">
        <v>59</v>
      </c>
      <c r="F63" s="53"/>
      <c r="G63" s="38"/>
      <c r="H63" s="52"/>
      <c r="I63" s="40"/>
      <c r="J63" s="40"/>
    </row>
    <row r="64" ht="14.25" customHeight="1">
      <c r="A64" s="45">
        <v>46176.0</v>
      </c>
      <c r="B64" s="41" t="s">
        <v>79</v>
      </c>
      <c r="C64" s="36">
        <v>20.0</v>
      </c>
      <c r="D64" s="48" t="s">
        <v>37</v>
      </c>
      <c r="E64" s="46" t="s">
        <v>59</v>
      </c>
      <c r="F64" s="53"/>
      <c r="G64" s="38"/>
      <c r="H64" s="52"/>
      <c r="I64" s="40"/>
      <c r="J64" s="40"/>
    </row>
    <row r="65" ht="14.25" customHeight="1">
      <c r="A65" s="45">
        <v>46178.0</v>
      </c>
      <c r="B65" s="41" t="s">
        <v>80</v>
      </c>
      <c r="C65" s="36">
        <v>60.0</v>
      </c>
      <c r="D65" s="48" t="s">
        <v>37</v>
      </c>
      <c r="E65" s="46" t="s">
        <v>59</v>
      </c>
      <c r="F65" s="53"/>
      <c r="G65" s="38"/>
      <c r="H65" s="52"/>
      <c r="I65" s="40"/>
      <c r="J65" s="40"/>
    </row>
    <row r="66" ht="14.25" customHeight="1">
      <c r="A66" s="45">
        <v>46178.0</v>
      </c>
      <c r="B66" s="41" t="s">
        <v>81</v>
      </c>
      <c r="C66" s="36">
        <v>745.15</v>
      </c>
      <c r="D66" s="48" t="s">
        <v>37</v>
      </c>
      <c r="E66" s="46" t="s">
        <v>59</v>
      </c>
      <c r="F66" s="53"/>
      <c r="G66" s="38"/>
      <c r="H66" s="52"/>
      <c r="I66" s="40"/>
      <c r="J66" s="40"/>
    </row>
    <row r="67" ht="14.25" customHeight="1">
      <c r="A67" s="45">
        <v>46180.0</v>
      </c>
      <c r="B67" s="41" t="s">
        <v>68</v>
      </c>
      <c r="C67" s="36">
        <v>55.0</v>
      </c>
      <c r="D67" s="48" t="s">
        <v>37</v>
      </c>
      <c r="E67" s="46" t="s">
        <v>59</v>
      </c>
      <c r="F67" s="53"/>
      <c r="G67" s="38"/>
      <c r="H67" s="52"/>
      <c r="I67" s="40"/>
      <c r="J67" s="40"/>
    </row>
    <row r="68" ht="14.25" customHeight="1">
      <c r="A68" s="45">
        <v>46181.0</v>
      </c>
      <c r="B68" s="48" t="s">
        <v>82</v>
      </c>
      <c r="C68" s="36">
        <v>82.09</v>
      </c>
      <c r="D68" s="41" t="s">
        <v>37</v>
      </c>
      <c r="E68" s="46" t="s">
        <v>59</v>
      </c>
      <c r="F68" s="53"/>
      <c r="G68" s="38"/>
      <c r="H68" s="52"/>
      <c r="I68" s="40"/>
      <c r="J68" s="40"/>
    </row>
    <row r="69" ht="14.25" customHeight="1">
      <c r="A69" s="34">
        <v>46184.0</v>
      </c>
      <c r="B69" s="43" t="s">
        <v>69</v>
      </c>
      <c r="C69" s="36">
        <v>101.47</v>
      </c>
      <c r="D69" s="41" t="s">
        <v>37</v>
      </c>
      <c r="E69" s="46" t="s">
        <v>59</v>
      </c>
      <c r="F69" s="53"/>
      <c r="G69" s="38"/>
      <c r="H69" s="52"/>
      <c r="I69" s="40"/>
      <c r="J69" s="40"/>
    </row>
    <row r="70" ht="14.25" customHeight="1">
      <c r="A70" s="34">
        <v>46185.0</v>
      </c>
      <c r="B70" s="41" t="s">
        <v>39</v>
      </c>
      <c r="C70" s="36">
        <v>800.0</v>
      </c>
      <c r="D70" s="41" t="s">
        <v>37</v>
      </c>
      <c r="E70" s="46" t="s">
        <v>59</v>
      </c>
      <c r="F70" s="53"/>
      <c r="G70" s="38"/>
      <c r="H70" s="52"/>
      <c r="I70" s="40"/>
      <c r="J70" s="40"/>
    </row>
    <row r="71" ht="14.25" customHeight="1">
      <c r="A71" s="45">
        <v>46188.0</v>
      </c>
      <c r="B71" s="35" t="s">
        <v>62</v>
      </c>
      <c r="C71" s="36">
        <v>48.85</v>
      </c>
      <c r="D71" s="41" t="s">
        <v>37</v>
      </c>
      <c r="E71" s="46" t="s">
        <v>59</v>
      </c>
      <c r="F71" s="53"/>
      <c r="G71" s="38"/>
      <c r="H71" s="52"/>
      <c r="I71" s="40"/>
      <c r="J71" s="40"/>
    </row>
    <row r="72" ht="14.25" customHeight="1">
      <c r="A72" s="34">
        <v>46132.0</v>
      </c>
      <c r="B72" s="35" t="s">
        <v>36</v>
      </c>
      <c r="C72" s="36">
        <v>2842.53</v>
      </c>
      <c r="D72" s="35" t="s">
        <v>37</v>
      </c>
      <c r="E72" s="35" t="s">
        <v>61</v>
      </c>
      <c r="F72" s="53"/>
      <c r="G72" s="38"/>
      <c r="H72" s="52"/>
      <c r="I72" s="40"/>
      <c r="J72" s="40"/>
    </row>
    <row r="73" ht="14.25" customHeight="1">
      <c r="A73" s="34">
        <v>46132.0</v>
      </c>
      <c r="B73" s="43" t="s">
        <v>69</v>
      </c>
      <c r="C73" s="42">
        <v>98.98</v>
      </c>
      <c r="D73" s="35" t="s">
        <v>37</v>
      </c>
      <c r="E73" s="35" t="s">
        <v>61</v>
      </c>
      <c r="F73" s="53"/>
      <c r="G73" s="38"/>
      <c r="H73" s="52"/>
      <c r="I73" s="40"/>
      <c r="J73" s="40"/>
    </row>
    <row r="74" ht="14.25" customHeight="1">
      <c r="A74" s="34">
        <v>46132.0</v>
      </c>
      <c r="B74" s="41" t="s">
        <v>83</v>
      </c>
      <c r="C74" s="36">
        <v>120.75</v>
      </c>
      <c r="D74" s="35" t="s">
        <v>37</v>
      </c>
      <c r="E74" s="35" t="s">
        <v>61</v>
      </c>
      <c r="F74" s="53"/>
      <c r="G74" s="38"/>
      <c r="H74" s="52"/>
      <c r="I74" s="40"/>
      <c r="J74" s="40"/>
    </row>
    <row r="75" ht="14.25" customHeight="1">
      <c r="A75" s="34">
        <v>46132.0</v>
      </c>
      <c r="B75" s="41" t="s">
        <v>56</v>
      </c>
      <c r="C75" s="36">
        <v>113.8</v>
      </c>
      <c r="D75" s="35" t="s">
        <v>37</v>
      </c>
      <c r="E75" s="35" t="s">
        <v>61</v>
      </c>
      <c r="F75" s="53"/>
      <c r="G75" s="38"/>
      <c r="H75" s="52"/>
      <c r="I75" s="40"/>
      <c r="J75" s="40"/>
    </row>
    <row r="76" ht="14.25" customHeight="1">
      <c r="A76" s="45">
        <v>46142.0</v>
      </c>
      <c r="B76" s="41" t="s">
        <v>24</v>
      </c>
      <c r="C76" s="36">
        <v>60.0</v>
      </c>
      <c r="D76" s="41" t="s">
        <v>37</v>
      </c>
      <c r="E76" s="35" t="s">
        <v>61</v>
      </c>
      <c r="G76" s="54"/>
      <c r="H76" s="55"/>
    </row>
    <row r="77" ht="14.25" customHeight="1">
      <c r="A77" s="45">
        <v>46142.0</v>
      </c>
      <c r="B77" s="41" t="s">
        <v>60</v>
      </c>
      <c r="C77" s="36">
        <v>400.0</v>
      </c>
      <c r="D77" s="35" t="s">
        <v>37</v>
      </c>
      <c r="E77" s="35" t="s">
        <v>61</v>
      </c>
      <c r="G77" s="54"/>
      <c r="H77" s="55"/>
    </row>
    <row r="78" ht="14.25" customHeight="1">
      <c r="A78" s="45">
        <v>46142.0</v>
      </c>
      <c r="B78" s="43" t="s">
        <v>84</v>
      </c>
      <c r="C78" s="42">
        <v>530.0</v>
      </c>
      <c r="D78" s="35" t="s">
        <v>37</v>
      </c>
      <c r="E78" s="35" t="s">
        <v>61</v>
      </c>
      <c r="G78" s="54"/>
      <c r="H78" s="55"/>
    </row>
    <row r="79" ht="14.25" customHeight="1">
      <c r="A79" s="34">
        <v>46148.0</v>
      </c>
      <c r="B79" s="41" t="s">
        <v>75</v>
      </c>
      <c r="C79" s="36">
        <v>417.1</v>
      </c>
      <c r="D79" s="41" t="s">
        <v>37</v>
      </c>
      <c r="E79" s="35" t="s">
        <v>61</v>
      </c>
      <c r="G79" s="54"/>
      <c r="H79" s="55"/>
    </row>
    <row r="80" ht="14.25" customHeight="1">
      <c r="A80" s="34">
        <v>46148.0</v>
      </c>
      <c r="B80" s="41" t="s">
        <v>81</v>
      </c>
      <c r="C80" s="42">
        <v>950.0</v>
      </c>
      <c r="D80" s="41" t="s">
        <v>37</v>
      </c>
      <c r="E80" s="35" t="s">
        <v>61</v>
      </c>
      <c r="G80" s="54"/>
      <c r="H80" s="55"/>
    </row>
    <row r="81" ht="14.25" customHeight="1">
      <c r="A81" s="34">
        <v>46024.0</v>
      </c>
      <c r="B81" s="35" t="s">
        <v>36</v>
      </c>
      <c r="C81" s="56">
        <v>7796.0</v>
      </c>
      <c r="D81" s="35" t="s">
        <v>37</v>
      </c>
      <c r="E81" s="48" t="s">
        <v>63</v>
      </c>
      <c r="G81" s="54"/>
      <c r="H81" s="55"/>
    </row>
    <row r="82" ht="14.25" customHeight="1">
      <c r="A82" s="34">
        <v>46024.0</v>
      </c>
      <c r="B82" s="43" t="s">
        <v>67</v>
      </c>
      <c r="C82" s="56">
        <v>1394.74</v>
      </c>
      <c r="D82" s="35" t="s">
        <v>37</v>
      </c>
      <c r="E82" s="48" t="s">
        <v>63</v>
      </c>
      <c r="G82" s="54"/>
      <c r="H82" s="55"/>
    </row>
    <row r="83" ht="14.25" customHeight="1">
      <c r="A83" s="34">
        <v>46024.0</v>
      </c>
      <c r="B83" s="43" t="s">
        <v>69</v>
      </c>
      <c r="C83" s="56">
        <v>105.37</v>
      </c>
      <c r="D83" s="35" t="s">
        <v>37</v>
      </c>
      <c r="E83" s="48" t="s">
        <v>63</v>
      </c>
      <c r="G83" s="54"/>
      <c r="H83" s="55"/>
    </row>
    <row r="84" ht="14.25" customHeight="1">
      <c r="A84" s="34">
        <v>46027.0</v>
      </c>
      <c r="B84" s="41" t="s">
        <v>68</v>
      </c>
      <c r="C84" s="56">
        <v>50.0</v>
      </c>
      <c r="D84" s="35" t="s">
        <v>37</v>
      </c>
      <c r="E84" s="48" t="s">
        <v>63</v>
      </c>
      <c r="G84" s="54"/>
      <c r="H84" s="55"/>
    </row>
    <row r="85" ht="14.25" customHeight="1">
      <c r="A85" s="34">
        <v>46030.0</v>
      </c>
      <c r="B85" s="41" t="s">
        <v>68</v>
      </c>
      <c r="C85" s="56">
        <v>55.0</v>
      </c>
      <c r="D85" s="35" t="s">
        <v>37</v>
      </c>
      <c r="E85" s="48" t="s">
        <v>63</v>
      </c>
      <c r="G85" s="54"/>
      <c r="H85" s="55"/>
    </row>
    <row r="86" ht="14.25" customHeight="1">
      <c r="A86" s="34">
        <v>46030.0</v>
      </c>
      <c r="B86" s="41" t="s">
        <v>85</v>
      </c>
      <c r="C86" s="56">
        <v>116.56</v>
      </c>
      <c r="D86" s="35" t="s">
        <v>37</v>
      </c>
      <c r="E86" s="48" t="s">
        <v>63</v>
      </c>
      <c r="G86" s="54"/>
      <c r="H86" s="55"/>
    </row>
    <row r="87" ht="14.25" customHeight="1">
      <c r="A87" s="34">
        <v>46032.0</v>
      </c>
      <c r="B87" s="43" t="s">
        <v>67</v>
      </c>
      <c r="C87" s="56">
        <v>771.36</v>
      </c>
      <c r="D87" s="35" t="s">
        <v>37</v>
      </c>
      <c r="E87" s="48" t="s">
        <v>63</v>
      </c>
      <c r="G87" s="54"/>
      <c r="H87" s="55"/>
    </row>
    <row r="88" ht="14.25" customHeight="1">
      <c r="A88" s="34">
        <v>46032.0</v>
      </c>
      <c r="B88" s="35" t="s">
        <v>66</v>
      </c>
      <c r="C88" s="56">
        <v>123.44</v>
      </c>
      <c r="D88" s="35" t="s">
        <v>37</v>
      </c>
      <c r="E88" s="48" t="s">
        <v>63</v>
      </c>
      <c r="G88" s="54"/>
      <c r="H88" s="55"/>
    </row>
    <row r="89" ht="14.25" customHeight="1">
      <c r="A89" s="34">
        <v>46032.0</v>
      </c>
      <c r="B89" s="41" t="s">
        <v>86</v>
      </c>
      <c r="C89" s="56">
        <v>100.0</v>
      </c>
      <c r="D89" s="35" t="s">
        <v>37</v>
      </c>
      <c r="E89" s="48" t="s">
        <v>63</v>
      </c>
      <c r="G89" s="54"/>
      <c r="H89" s="55"/>
    </row>
    <row r="90" ht="14.25" customHeight="1">
      <c r="A90" s="34">
        <v>46033.0</v>
      </c>
      <c r="B90" s="41" t="s">
        <v>56</v>
      </c>
      <c r="C90" s="56">
        <v>102.36</v>
      </c>
      <c r="D90" s="35" t="s">
        <v>37</v>
      </c>
      <c r="E90" s="48" t="s">
        <v>63</v>
      </c>
      <c r="G90" s="54"/>
      <c r="H90" s="55"/>
    </row>
    <row r="91" ht="14.25" customHeight="1">
      <c r="A91" s="34">
        <v>46033.0</v>
      </c>
      <c r="B91" s="41" t="s">
        <v>52</v>
      </c>
      <c r="C91" s="56">
        <v>50.0</v>
      </c>
      <c r="D91" s="35" t="s">
        <v>37</v>
      </c>
      <c r="E91" s="48" t="s">
        <v>63</v>
      </c>
      <c r="G91" s="54"/>
      <c r="H91" s="55"/>
    </row>
    <row r="92" ht="14.25" customHeight="1">
      <c r="A92" s="34">
        <v>46034.0</v>
      </c>
      <c r="B92" s="41" t="s">
        <v>75</v>
      </c>
      <c r="C92" s="56">
        <v>281.1</v>
      </c>
      <c r="D92" s="35" t="s">
        <v>37</v>
      </c>
      <c r="E92" s="48" t="s">
        <v>63</v>
      </c>
      <c r="G92" s="54"/>
      <c r="H92" s="55"/>
    </row>
    <row r="93" ht="14.25" customHeight="1">
      <c r="A93" s="34">
        <v>46034.0</v>
      </c>
      <c r="B93" s="41" t="s">
        <v>81</v>
      </c>
      <c r="C93" s="56">
        <v>950.0</v>
      </c>
      <c r="D93" s="35" t="s">
        <v>37</v>
      </c>
      <c r="E93" s="48" t="s">
        <v>63</v>
      </c>
      <c r="G93" s="54"/>
      <c r="H93" s="55"/>
    </row>
    <row r="94" ht="14.25" customHeight="1">
      <c r="A94" s="34">
        <v>46038.0</v>
      </c>
      <c r="B94" s="41" t="s">
        <v>43</v>
      </c>
      <c r="C94" s="56">
        <v>135.89</v>
      </c>
      <c r="D94" s="35" t="s">
        <v>37</v>
      </c>
      <c r="E94" s="48" t="s">
        <v>63</v>
      </c>
      <c r="G94" s="54"/>
      <c r="H94" s="55"/>
    </row>
    <row r="95" ht="14.25" customHeight="1">
      <c r="A95" s="34">
        <v>46042.0</v>
      </c>
      <c r="B95" s="41" t="s">
        <v>39</v>
      </c>
      <c r="C95" s="56">
        <v>983.13</v>
      </c>
      <c r="D95" s="35" t="s">
        <v>37</v>
      </c>
      <c r="E95" s="48" t="s">
        <v>63</v>
      </c>
      <c r="G95" s="54"/>
      <c r="H95" s="55"/>
    </row>
    <row r="96" ht="14.25" customHeight="1">
      <c r="A96" s="34">
        <v>46055.0</v>
      </c>
      <c r="B96" s="43" t="s">
        <v>67</v>
      </c>
      <c r="C96" s="57">
        <v>800.88</v>
      </c>
      <c r="D96" s="35" t="s">
        <v>37</v>
      </c>
      <c r="E96" s="48" t="s">
        <v>63</v>
      </c>
      <c r="G96" s="54"/>
      <c r="H96" s="55"/>
    </row>
    <row r="97" ht="14.25" customHeight="1">
      <c r="A97" s="45">
        <v>46056.0</v>
      </c>
      <c r="B97" s="43" t="s">
        <v>84</v>
      </c>
      <c r="C97" s="36">
        <v>530.0</v>
      </c>
      <c r="D97" s="35" t="s">
        <v>37</v>
      </c>
      <c r="E97" s="48" t="s">
        <v>63</v>
      </c>
      <c r="G97" s="54"/>
      <c r="H97" s="55"/>
    </row>
    <row r="98" ht="14.25" customHeight="1">
      <c r="A98" s="34">
        <v>46057.0</v>
      </c>
      <c r="B98" s="58" t="s">
        <v>87</v>
      </c>
      <c r="C98" s="57">
        <v>78.0</v>
      </c>
      <c r="D98" s="35" t="s">
        <v>37</v>
      </c>
      <c r="E98" s="48" t="s">
        <v>63</v>
      </c>
      <c r="G98" s="54"/>
      <c r="H98" s="55"/>
    </row>
    <row r="99" ht="14.25" customHeight="1">
      <c r="A99" s="34">
        <v>46057.0</v>
      </c>
      <c r="B99" s="43" t="s">
        <v>67</v>
      </c>
      <c r="C99" s="57">
        <v>1062.64</v>
      </c>
      <c r="D99" s="35" t="s">
        <v>37</v>
      </c>
      <c r="E99" s="48" t="s">
        <v>63</v>
      </c>
      <c r="G99" s="54"/>
      <c r="H99" s="55"/>
    </row>
    <row r="100" ht="14.25" customHeight="1">
      <c r="A100" s="45">
        <v>46057.0</v>
      </c>
      <c r="B100" s="41" t="s">
        <v>75</v>
      </c>
      <c r="C100" s="36">
        <v>195.05</v>
      </c>
      <c r="D100" s="35" t="s">
        <v>37</v>
      </c>
      <c r="E100" s="48" t="s">
        <v>63</v>
      </c>
      <c r="G100" s="54"/>
      <c r="H100" s="55"/>
    </row>
    <row r="101" ht="14.25" customHeight="1">
      <c r="A101" s="45">
        <v>46057.0</v>
      </c>
      <c r="B101" s="41" t="s">
        <v>81</v>
      </c>
      <c r="C101" s="36">
        <v>950.0</v>
      </c>
      <c r="D101" s="35" t="s">
        <v>37</v>
      </c>
      <c r="E101" s="48" t="s">
        <v>63</v>
      </c>
      <c r="G101" s="54"/>
      <c r="H101" s="55"/>
    </row>
    <row r="102" ht="14.25" customHeight="1">
      <c r="A102" s="34">
        <v>46057.0</v>
      </c>
      <c r="B102" s="43" t="s">
        <v>88</v>
      </c>
      <c r="C102" s="57">
        <v>75.0</v>
      </c>
      <c r="D102" s="35" t="s">
        <v>37</v>
      </c>
      <c r="E102" s="48" t="s">
        <v>63</v>
      </c>
      <c r="G102" s="54"/>
      <c r="H102" s="55"/>
    </row>
    <row r="103" ht="14.25" customHeight="1">
      <c r="A103" s="34">
        <v>46058.0</v>
      </c>
      <c r="B103" s="41" t="s">
        <v>68</v>
      </c>
      <c r="C103" s="57">
        <v>65.0</v>
      </c>
      <c r="D103" s="35" t="s">
        <v>37</v>
      </c>
      <c r="E103" s="48" t="s">
        <v>63</v>
      </c>
      <c r="G103" s="54"/>
      <c r="H103" s="55"/>
    </row>
    <row r="104" ht="14.25" customHeight="1">
      <c r="A104" s="45">
        <v>46062.0</v>
      </c>
      <c r="B104" s="41" t="s">
        <v>68</v>
      </c>
      <c r="C104" s="57">
        <v>65.0</v>
      </c>
      <c r="D104" s="35" t="s">
        <v>37</v>
      </c>
      <c r="E104" s="48" t="s">
        <v>63</v>
      </c>
      <c r="G104" s="54"/>
      <c r="H104" s="55"/>
    </row>
    <row r="105" ht="14.25" customHeight="1">
      <c r="A105" s="34">
        <v>46086.0</v>
      </c>
      <c r="B105" s="41" t="s">
        <v>68</v>
      </c>
      <c r="C105" s="42">
        <v>64.89</v>
      </c>
      <c r="D105" s="35" t="s">
        <v>37</v>
      </c>
      <c r="E105" s="48" t="s">
        <v>63</v>
      </c>
      <c r="G105" s="54"/>
      <c r="H105" s="55"/>
    </row>
    <row r="106" ht="14.25" customHeight="1">
      <c r="A106" s="34">
        <v>46086.0</v>
      </c>
      <c r="B106" s="43" t="s">
        <v>89</v>
      </c>
      <c r="C106" s="42">
        <v>520.0</v>
      </c>
      <c r="D106" s="35" t="s">
        <v>37</v>
      </c>
      <c r="E106" s="48" t="s">
        <v>63</v>
      </c>
      <c r="G106" s="54"/>
      <c r="H106" s="55"/>
    </row>
    <row r="107" ht="14.25" customHeight="1">
      <c r="A107" s="34">
        <v>46086.0</v>
      </c>
      <c r="B107" s="43" t="s">
        <v>90</v>
      </c>
      <c r="C107" s="42">
        <v>60.0</v>
      </c>
      <c r="D107" s="35" t="s">
        <v>37</v>
      </c>
      <c r="E107" s="48" t="s">
        <v>63</v>
      </c>
      <c r="G107" s="54"/>
      <c r="H107" s="55"/>
    </row>
    <row r="108" ht="14.25" customHeight="1">
      <c r="A108" s="34">
        <v>46086.0</v>
      </c>
      <c r="B108" s="41" t="s">
        <v>90</v>
      </c>
      <c r="C108" s="36">
        <v>60.0</v>
      </c>
      <c r="D108" s="35" t="s">
        <v>37</v>
      </c>
      <c r="E108" s="48" t="s">
        <v>63</v>
      </c>
      <c r="G108" s="54"/>
      <c r="H108" s="55"/>
    </row>
    <row r="109" ht="14.25" customHeight="1">
      <c r="A109" s="34">
        <v>46086.0</v>
      </c>
      <c r="B109" s="43" t="s">
        <v>91</v>
      </c>
      <c r="C109" s="42">
        <v>58.0</v>
      </c>
      <c r="D109" s="35" t="s">
        <v>37</v>
      </c>
      <c r="E109" s="48" t="s">
        <v>63</v>
      </c>
      <c r="G109" s="54"/>
      <c r="H109" s="55"/>
    </row>
    <row r="110" ht="14.25" customHeight="1">
      <c r="A110" s="34">
        <v>46086.0</v>
      </c>
      <c r="B110" s="43" t="s">
        <v>92</v>
      </c>
      <c r="C110" s="42">
        <v>138.69</v>
      </c>
      <c r="D110" s="35" t="s">
        <v>37</v>
      </c>
      <c r="E110" s="48" t="s">
        <v>63</v>
      </c>
      <c r="G110" s="54"/>
      <c r="H110" s="55"/>
    </row>
    <row r="111" ht="14.25" customHeight="1">
      <c r="A111" s="34">
        <v>46086.0</v>
      </c>
      <c r="B111" s="43" t="s">
        <v>92</v>
      </c>
      <c r="C111" s="42">
        <v>40.0</v>
      </c>
      <c r="D111" s="35" t="s">
        <v>37</v>
      </c>
      <c r="E111" s="48" t="s">
        <v>63</v>
      </c>
      <c r="G111" s="54"/>
      <c r="H111" s="55"/>
    </row>
    <row r="112" ht="14.25" customHeight="1">
      <c r="A112" s="34">
        <v>46086.0</v>
      </c>
      <c r="B112" s="43" t="s">
        <v>88</v>
      </c>
      <c r="C112" s="42">
        <v>40.0</v>
      </c>
      <c r="D112" s="35" t="s">
        <v>37</v>
      </c>
      <c r="E112" s="48" t="s">
        <v>63</v>
      </c>
      <c r="G112" s="54"/>
      <c r="H112" s="55"/>
    </row>
    <row r="113" ht="14.25" customHeight="1">
      <c r="A113" s="34">
        <v>46086.0</v>
      </c>
      <c r="B113" s="43" t="s">
        <v>93</v>
      </c>
      <c r="C113" s="42">
        <v>81.8</v>
      </c>
      <c r="D113" s="35" t="s">
        <v>37</v>
      </c>
      <c r="E113" s="48" t="s">
        <v>63</v>
      </c>
      <c r="G113" s="54"/>
      <c r="H113" s="55"/>
    </row>
    <row r="114" ht="14.25" customHeight="1">
      <c r="A114" s="34">
        <v>46087.0</v>
      </c>
      <c r="B114" s="41" t="s">
        <v>75</v>
      </c>
      <c r="C114" s="42">
        <v>136.15</v>
      </c>
      <c r="D114" s="35" t="s">
        <v>37</v>
      </c>
      <c r="E114" s="48" t="s">
        <v>63</v>
      </c>
      <c r="G114" s="54"/>
      <c r="H114" s="55"/>
    </row>
    <row r="115" ht="14.25" customHeight="1">
      <c r="A115" s="34">
        <v>46087.0</v>
      </c>
      <c r="B115" s="41" t="s">
        <v>81</v>
      </c>
      <c r="C115" s="42">
        <v>800.0</v>
      </c>
      <c r="D115" s="35" t="s">
        <v>37</v>
      </c>
      <c r="E115" s="48" t="s">
        <v>63</v>
      </c>
      <c r="G115" s="54"/>
      <c r="H115" s="55"/>
    </row>
    <row r="116" ht="14.25" customHeight="1">
      <c r="A116" s="34">
        <v>46113.0</v>
      </c>
      <c r="B116" s="43" t="s">
        <v>94</v>
      </c>
      <c r="C116" s="59">
        <v>36.02</v>
      </c>
      <c r="D116" s="35" t="s">
        <v>37</v>
      </c>
      <c r="E116" s="48" t="s">
        <v>63</v>
      </c>
      <c r="G116" s="54"/>
      <c r="H116" s="55"/>
    </row>
    <row r="117" ht="14.25" customHeight="1">
      <c r="A117" s="34">
        <v>46114.0</v>
      </c>
      <c r="B117" s="43" t="s">
        <v>95</v>
      </c>
      <c r="C117" s="42">
        <v>150.0</v>
      </c>
      <c r="D117" s="35" t="s">
        <v>37</v>
      </c>
      <c r="E117" s="48" t="s">
        <v>63</v>
      </c>
      <c r="G117" s="54"/>
      <c r="H117" s="55"/>
    </row>
    <row r="118" ht="14.25" customHeight="1">
      <c r="A118" s="34">
        <v>46114.0</v>
      </c>
      <c r="B118" s="43" t="s">
        <v>67</v>
      </c>
      <c r="C118" s="42">
        <v>5310.25</v>
      </c>
      <c r="D118" s="35" t="s">
        <v>37</v>
      </c>
      <c r="E118" s="48" t="s">
        <v>63</v>
      </c>
      <c r="G118" s="54"/>
      <c r="H118" s="55"/>
    </row>
    <row r="119" ht="14.25" customHeight="1">
      <c r="A119" s="34">
        <v>46114.0</v>
      </c>
      <c r="B119" s="43" t="s">
        <v>96</v>
      </c>
      <c r="C119" s="42">
        <v>170.0</v>
      </c>
      <c r="D119" s="43" t="s">
        <v>37</v>
      </c>
      <c r="E119" s="48" t="s">
        <v>63</v>
      </c>
      <c r="G119" s="54"/>
      <c r="H119" s="55"/>
    </row>
    <row r="120" ht="14.25" customHeight="1">
      <c r="A120" s="34">
        <v>46114.0</v>
      </c>
      <c r="B120" s="43" t="s">
        <v>97</v>
      </c>
      <c r="C120" s="42">
        <v>900.0</v>
      </c>
      <c r="D120" s="35" t="s">
        <v>37</v>
      </c>
      <c r="E120" s="48" t="s">
        <v>63</v>
      </c>
      <c r="G120" s="54"/>
      <c r="H120" s="55"/>
    </row>
    <row r="121" ht="14.25" customHeight="1">
      <c r="A121" s="34">
        <v>46114.0</v>
      </c>
      <c r="B121" s="43" t="s">
        <v>98</v>
      </c>
      <c r="C121" s="42">
        <v>170.0</v>
      </c>
      <c r="D121" s="35" t="s">
        <v>37</v>
      </c>
      <c r="E121" s="48" t="s">
        <v>63</v>
      </c>
      <c r="G121" s="54"/>
      <c r="H121" s="55"/>
    </row>
    <row r="122" ht="14.25" customHeight="1">
      <c r="A122" s="34">
        <v>46114.0</v>
      </c>
      <c r="B122" s="43" t="s">
        <v>99</v>
      </c>
      <c r="C122" s="42">
        <v>52.0</v>
      </c>
      <c r="D122" s="43" t="s">
        <v>37</v>
      </c>
      <c r="E122" s="48" t="s">
        <v>63</v>
      </c>
      <c r="G122" s="54"/>
      <c r="H122" s="55"/>
    </row>
    <row r="123" ht="14.25" customHeight="1">
      <c r="A123" s="34">
        <v>46114.0</v>
      </c>
      <c r="B123" s="43" t="s">
        <v>64</v>
      </c>
      <c r="C123" s="42">
        <v>120.0</v>
      </c>
      <c r="D123" s="35" t="s">
        <v>37</v>
      </c>
      <c r="E123" s="48" t="s">
        <v>63</v>
      </c>
      <c r="G123" s="54"/>
      <c r="H123" s="55"/>
    </row>
    <row r="124" ht="14.25" customHeight="1">
      <c r="A124" s="34">
        <v>46114.0</v>
      </c>
      <c r="B124" s="43" t="s">
        <v>100</v>
      </c>
      <c r="C124" s="42">
        <v>35.0</v>
      </c>
      <c r="D124" s="43" t="s">
        <v>37</v>
      </c>
      <c r="E124" s="48" t="s">
        <v>63</v>
      </c>
      <c r="G124" s="54"/>
      <c r="H124" s="55"/>
    </row>
    <row r="125" ht="14.25" customHeight="1">
      <c r="A125" s="34">
        <v>46118.0</v>
      </c>
      <c r="B125" s="41" t="s">
        <v>81</v>
      </c>
      <c r="C125" s="42">
        <v>950.0</v>
      </c>
      <c r="D125" s="35" t="s">
        <v>37</v>
      </c>
      <c r="E125" s="48" t="s">
        <v>63</v>
      </c>
      <c r="G125" s="54"/>
      <c r="H125" s="55"/>
    </row>
    <row r="126" ht="14.25" customHeight="1">
      <c r="A126" s="34">
        <v>46122.0</v>
      </c>
      <c r="B126" s="43" t="s">
        <v>101</v>
      </c>
      <c r="C126" s="42">
        <v>70.0</v>
      </c>
      <c r="D126" s="43" t="s">
        <v>37</v>
      </c>
      <c r="E126" s="48" t="s">
        <v>63</v>
      </c>
      <c r="G126" s="54"/>
      <c r="H126" s="55"/>
    </row>
    <row r="127" ht="14.25" customHeight="1">
      <c r="A127" s="34">
        <v>46122.0</v>
      </c>
      <c r="B127" s="35" t="s">
        <v>62</v>
      </c>
      <c r="C127" s="42">
        <v>65.0</v>
      </c>
      <c r="D127" s="43" t="s">
        <v>37</v>
      </c>
      <c r="E127" s="48" t="s">
        <v>63</v>
      </c>
      <c r="G127" s="54"/>
      <c r="H127" s="55"/>
    </row>
    <row r="128" ht="14.25" customHeight="1">
      <c r="A128" s="34">
        <v>46125.0</v>
      </c>
      <c r="B128" s="41" t="s">
        <v>39</v>
      </c>
      <c r="C128" s="42">
        <v>981.22</v>
      </c>
      <c r="D128" s="41" t="s">
        <v>37</v>
      </c>
      <c r="E128" s="48" t="s">
        <v>63</v>
      </c>
      <c r="G128" s="54"/>
      <c r="H128" s="55"/>
    </row>
    <row r="129" ht="14.25" customHeight="1">
      <c r="A129" s="45">
        <v>46126.0</v>
      </c>
      <c r="B129" s="43" t="s">
        <v>47</v>
      </c>
      <c r="C129" s="36">
        <v>2472.89</v>
      </c>
      <c r="D129" s="41" t="s">
        <v>37</v>
      </c>
      <c r="E129" s="48" t="s">
        <v>63</v>
      </c>
      <c r="G129" s="54"/>
      <c r="H129" s="55"/>
    </row>
    <row r="130" ht="14.25" customHeight="1">
      <c r="A130" s="34">
        <v>46132.0</v>
      </c>
      <c r="B130" s="35" t="s">
        <v>36</v>
      </c>
      <c r="C130" s="36">
        <v>670.0</v>
      </c>
      <c r="D130" s="35" t="s">
        <v>37</v>
      </c>
      <c r="E130" s="48" t="s">
        <v>63</v>
      </c>
      <c r="G130" s="54"/>
      <c r="H130" s="55"/>
    </row>
    <row r="131" ht="14.25" customHeight="1">
      <c r="A131" s="45">
        <v>46149.0</v>
      </c>
      <c r="B131" s="41" t="s">
        <v>68</v>
      </c>
      <c r="C131" s="36">
        <v>110.0</v>
      </c>
      <c r="D131" s="41" t="s">
        <v>37</v>
      </c>
      <c r="E131" s="48" t="s">
        <v>63</v>
      </c>
      <c r="G131" s="54"/>
      <c r="H131" s="55"/>
    </row>
    <row r="132" ht="14.25" customHeight="1">
      <c r="A132" s="34">
        <v>46162.0</v>
      </c>
      <c r="B132" s="41" t="s">
        <v>56</v>
      </c>
      <c r="C132" s="36">
        <v>73.19</v>
      </c>
      <c r="D132" s="41" t="s">
        <v>37</v>
      </c>
      <c r="E132" s="41" t="s">
        <v>63</v>
      </c>
      <c r="G132" s="54"/>
      <c r="H132" s="55"/>
    </row>
    <row r="133" ht="14.25" customHeight="1">
      <c r="A133" s="45">
        <v>46178.0</v>
      </c>
      <c r="B133" s="41" t="s">
        <v>81</v>
      </c>
      <c r="C133" s="36">
        <v>204.85</v>
      </c>
      <c r="D133" s="48" t="s">
        <v>37</v>
      </c>
      <c r="E133" s="41" t="s">
        <v>63</v>
      </c>
      <c r="G133" s="54"/>
      <c r="H133" s="55"/>
    </row>
    <row r="134" ht="14.25" customHeight="1">
      <c r="A134" s="45">
        <v>46180.0</v>
      </c>
      <c r="B134" s="41" t="s">
        <v>68</v>
      </c>
      <c r="C134" s="36">
        <v>55.0</v>
      </c>
      <c r="D134" s="41" t="s">
        <v>37</v>
      </c>
      <c r="E134" s="41" t="s">
        <v>63</v>
      </c>
      <c r="G134" s="54"/>
      <c r="H134" s="55"/>
    </row>
    <row r="135" ht="14.25" customHeight="1">
      <c r="A135" s="34">
        <v>46185.0</v>
      </c>
      <c r="B135" s="41" t="s">
        <v>39</v>
      </c>
      <c r="C135" s="36">
        <v>183.8</v>
      </c>
      <c r="D135" s="41" t="s">
        <v>37</v>
      </c>
      <c r="E135" s="41" t="s">
        <v>63</v>
      </c>
      <c r="G135" s="54"/>
      <c r="H135" s="55"/>
    </row>
    <row r="136" ht="14.25" customHeight="1">
      <c r="A136" s="45">
        <v>46192.0</v>
      </c>
      <c r="B136" s="48" t="s">
        <v>102</v>
      </c>
      <c r="C136" s="36">
        <v>40.0</v>
      </c>
      <c r="D136" s="43"/>
      <c r="E136" s="43"/>
      <c r="G136" s="54"/>
      <c r="H136" s="55"/>
    </row>
    <row r="137" ht="14.25" customHeight="1">
      <c r="A137" s="45">
        <v>46192.0</v>
      </c>
      <c r="B137" s="41" t="s">
        <v>52</v>
      </c>
      <c r="C137" s="42">
        <v>50.0</v>
      </c>
      <c r="D137" s="43"/>
      <c r="E137" s="43"/>
      <c r="G137" s="54"/>
      <c r="H137" s="55"/>
    </row>
    <row r="138" ht="14.25" customHeight="1">
      <c r="A138" s="45">
        <v>46192.0</v>
      </c>
      <c r="B138" s="43" t="s">
        <v>84</v>
      </c>
      <c r="C138" s="42">
        <v>530.0</v>
      </c>
      <c r="D138" s="43"/>
      <c r="E138" s="43"/>
      <c r="G138" s="54"/>
      <c r="H138" s="55"/>
    </row>
    <row r="139" ht="14.25" customHeight="1">
      <c r="A139" s="34">
        <v>46193.0</v>
      </c>
      <c r="B139" s="35" t="s">
        <v>36</v>
      </c>
      <c r="C139" s="36">
        <v>4875.26</v>
      </c>
      <c r="D139" s="43"/>
      <c r="E139" s="43"/>
      <c r="G139" s="54"/>
      <c r="H139" s="55"/>
    </row>
    <row r="140" ht="14.25" customHeight="1">
      <c r="A140" s="45">
        <v>46193.0</v>
      </c>
      <c r="B140" s="41" t="s">
        <v>56</v>
      </c>
      <c r="C140" s="42">
        <v>113.31</v>
      </c>
      <c r="D140" s="43"/>
      <c r="E140" s="43"/>
      <c r="G140" s="54"/>
      <c r="H140" s="55"/>
    </row>
    <row r="141" ht="14.25" customHeight="1">
      <c r="A141" s="34">
        <v>46193.0</v>
      </c>
      <c r="B141" s="43" t="s">
        <v>64</v>
      </c>
      <c r="C141" s="36">
        <v>120.0</v>
      </c>
      <c r="D141" s="43"/>
      <c r="E141" s="43"/>
      <c r="G141" s="54"/>
      <c r="H141" s="55"/>
    </row>
    <row r="142" ht="14.25" customHeight="1">
      <c r="A142" s="34">
        <v>46205.0</v>
      </c>
      <c r="B142" s="43" t="s">
        <v>67</v>
      </c>
      <c r="C142" s="42">
        <v>930.0</v>
      </c>
      <c r="D142" s="43"/>
      <c r="E142" s="43"/>
      <c r="G142" s="54"/>
      <c r="H142" s="55"/>
    </row>
    <row r="143" ht="14.25" customHeight="1">
      <c r="A143" s="34">
        <v>46205.0</v>
      </c>
      <c r="B143" s="41" t="s">
        <v>60</v>
      </c>
      <c r="C143" s="36">
        <v>400.0</v>
      </c>
      <c r="D143" s="35"/>
      <c r="E143" s="35"/>
      <c r="G143" s="54"/>
      <c r="H143" s="55"/>
    </row>
    <row r="144" ht="14.25" customHeight="1">
      <c r="A144" s="34">
        <v>46209.0</v>
      </c>
      <c r="B144" s="41" t="s">
        <v>81</v>
      </c>
      <c r="C144" s="42">
        <v>950.0</v>
      </c>
      <c r="D144" s="43"/>
      <c r="E144" s="43"/>
      <c r="F144" s="53"/>
      <c r="G144" s="38"/>
      <c r="H144" s="52"/>
      <c r="I144" s="40"/>
      <c r="J144" s="40"/>
    </row>
    <row r="145" ht="14.25" customHeight="1">
      <c r="A145" s="45">
        <v>46210.0</v>
      </c>
      <c r="B145" s="41" t="s">
        <v>68</v>
      </c>
      <c r="C145" s="36">
        <v>110.0</v>
      </c>
      <c r="D145" s="43"/>
      <c r="E145" s="43"/>
      <c r="F145" s="53"/>
      <c r="G145" s="38"/>
      <c r="H145" s="52"/>
      <c r="I145" s="40"/>
      <c r="J145" s="40"/>
    </row>
    <row r="146" ht="14.25" customHeight="1">
      <c r="A146" s="34">
        <v>46213.0</v>
      </c>
      <c r="B146" s="35" t="s">
        <v>62</v>
      </c>
      <c r="C146" s="42">
        <v>65.0</v>
      </c>
      <c r="D146" s="43"/>
      <c r="E146" s="43"/>
      <c r="G146" s="54"/>
      <c r="H146" s="55"/>
    </row>
    <row r="147" ht="14.25" customHeight="1">
      <c r="A147" s="34">
        <v>46214.0</v>
      </c>
      <c r="B147" s="43" t="s">
        <v>69</v>
      </c>
      <c r="C147" s="42">
        <v>95.12</v>
      </c>
      <c r="D147" s="43"/>
      <c r="E147" s="43"/>
      <c r="G147" s="54"/>
      <c r="H147" s="55"/>
    </row>
    <row r="148" ht="14.25" customHeight="1">
      <c r="A148" s="34">
        <v>46215.0</v>
      </c>
      <c r="B148" s="41" t="s">
        <v>39</v>
      </c>
      <c r="C148" s="36">
        <v>981.88</v>
      </c>
      <c r="D148" s="43"/>
      <c r="E148" s="43"/>
      <c r="G148" s="54"/>
      <c r="H148" s="55"/>
    </row>
    <row r="149" ht="14.25" customHeight="1">
      <c r="A149" s="34">
        <v>46215.0</v>
      </c>
      <c r="B149" s="43" t="s">
        <v>47</v>
      </c>
      <c r="C149" s="42">
        <v>2831.4</v>
      </c>
      <c r="D149" s="43"/>
      <c r="E149" s="43"/>
      <c r="G149" s="54"/>
      <c r="H149" s="55"/>
    </row>
    <row r="150" ht="14.25" customHeight="1">
      <c r="A150" s="34">
        <v>46215.0</v>
      </c>
      <c r="B150" s="41" t="s">
        <v>52</v>
      </c>
      <c r="C150" s="42">
        <v>50.0</v>
      </c>
      <c r="D150" s="43"/>
      <c r="E150" s="43"/>
      <c r="G150" s="54"/>
      <c r="H150" s="55"/>
    </row>
    <row r="151" ht="14.25" customHeight="1">
      <c r="A151" s="45">
        <v>46218.0</v>
      </c>
      <c r="B151" s="41" t="s">
        <v>101</v>
      </c>
      <c r="C151" s="36">
        <v>60.0</v>
      </c>
      <c r="D151" s="43"/>
      <c r="E151" s="43"/>
      <c r="G151" s="54"/>
      <c r="H151" s="55"/>
    </row>
    <row r="152" ht="14.25" customHeight="1">
      <c r="A152" s="34">
        <v>46218.0</v>
      </c>
      <c r="B152" s="41" t="s">
        <v>43</v>
      </c>
      <c r="C152" s="42">
        <v>132.4</v>
      </c>
      <c r="D152" s="43"/>
      <c r="E152" s="43"/>
      <c r="G152" s="54"/>
      <c r="H152" s="55"/>
    </row>
    <row r="153" ht="14.25" customHeight="1">
      <c r="A153" s="45">
        <v>46218.0</v>
      </c>
      <c r="B153" s="41" t="s">
        <v>103</v>
      </c>
      <c r="C153" s="36">
        <v>50.0</v>
      </c>
      <c r="D153" s="43"/>
      <c r="E153" s="43"/>
      <c r="G153" s="54"/>
      <c r="H153" s="55"/>
    </row>
    <row r="154" ht="14.25" customHeight="1">
      <c r="A154" s="34">
        <v>46223.0</v>
      </c>
      <c r="B154" s="35" t="s">
        <v>36</v>
      </c>
      <c r="C154" s="42">
        <v>6800.0</v>
      </c>
      <c r="D154" s="43"/>
      <c r="E154" s="43"/>
      <c r="G154" s="54"/>
      <c r="H154" s="55"/>
    </row>
    <row r="155" ht="14.25" customHeight="1">
      <c r="A155" s="34">
        <v>46223.0</v>
      </c>
      <c r="B155" s="41" t="s">
        <v>56</v>
      </c>
      <c r="C155" s="42">
        <v>113.31</v>
      </c>
      <c r="D155" s="43"/>
      <c r="E155" s="43"/>
      <c r="G155" s="54"/>
      <c r="H155" s="55"/>
    </row>
    <row r="156" ht="14.25" customHeight="1">
      <c r="A156" s="45">
        <v>46233.0</v>
      </c>
      <c r="B156" s="41" t="s">
        <v>60</v>
      </c>
      <c r="C156" s="36">
        <v>400.0</v>
      </c>
      <c r="D156" s="35"/>
      <c r="E156" s="35"/>
      <c r="G156" s="54"/>
      <c r="H156" s="55"/>
    </row>
    <row r="157" ht="14.25" customHeight="1">
      <c r="A157" s="34">
        <v>46236.0</v>
      </c>
      <c r="B157" s="43" t="s">
        <v>67</v>
      </c>
      <c r="C157" s="42">
        <v>1500.0</v>
      </c>
      <c r="D157" s="43"/>
      <c r="E157" s="43"/>
      <c r="G157" s="54"/>
      <c r="H157" s="55"/>
    </row>
    <row r="158" ht="14.25" customHeight="1">
      <c r="A158" s="45">
        <v>46239.0</v>
      </c>
      <c r="B158" s="43" t="s">
        <v>93</v>
      </c>
      <c r="C158" s="42">
        <v>81.8</v>
      </c>
      <c r="D158" s="35"/>
      <c r="E158" s="35"/>
      <c r="G158" s="54"/>
      <c r="H158" s="55"/>
    </row>
    <row r="159" ht="14.25" customHeight="1">
      <c r="A159" s="34">
        <v>46240.0</v>
      </c>
      <c r="B159" s="41" t="s">
        <v>81</v>
      </c>
      <c r="C159" s="42">
        <v>950.0</v>
      </c>
      <c r="D159" s="43"/>
      <c r="E159" s="43"/>
      <c r="G159" s="54"/>
      <c r="H159" s="55"/>
    </row>
    <row r="160" ht="14.25" customHeight="1">
      <c r="A160" s="45">
        <v>46241.0</v>
      </c>
      <c r="B160" s="41" t="s">
        <v>68</v>
      </c>
      <c r="C160" s="36">
        <v>110.0</v>
      </c>
      <c r="D160" s="43"/>
      <c r="E160" s="43"/>
      <c r="G160" s="54"/>
      <c r="H160" s="55"/>
    </row>
    <row r="161" ht="14.25" customHeight="1">
      <c r="A161" s="34">
        <v>46244.0</v>
      </c>
      <c r="B161" s="35" t="s">
        <v>62</v>
      </c>
      <c r="C161" s="42">
        <v>65.0</v>
      </c>
      <c r="D161" s="43"/>
      <c r="E161" s="43"/>
      <c r="G161" s="54"/>
      <c r="H161" s="55"/>
    </row>
    <row r="162" ht="14.25" customHeight="1">
      <c r="A162" s="34">
        <v>46245.0</v>
      </c>
      <c r="B162" s="43" t="s">
        <v>69</v>
      </c>
      <c r="C162" s="42">
        <v>95.12</v>
      </c>
      <c r="D162" s="43"/>
      <c r="E162" s="43"/>
      <c r="G162" s="54"/>
      <c r="H162" s="55"/>
    </row>
    <row r="163" ht="14.25" customHeight="1">
      <c r="A163" s="34">
        <v>46246.0</v>
      </c>
      <c r="B163" s="41" t="s">
        <v>39</v>
      </c>
      <c r="C163" s="42">
        <v>981.95</v>
      </c>
      <c r="D163" s="43"/>
      <c r="E163" s="43"/>
      <c r="G163" s="54"/>
      <c r="H163" s="55"/>
    </row>
    <row r="164" ht="14.25" customHeight="1">
      <c r="A164" s="34">
        <v>46246.0</v>
      </c>
      <c r="B164" s="43" t="s">
        <v>47</v>
      </c>
      <c r="C164" s="42">
        <v>2831.4</v>
      </c>
      <c r="D164" s="43"/>
      <c r="E164" s="43"/>
      <c r="G164" s="54"/>
      <c r="H164" s="55"/>
    </row>
    <row r="165" ht="14.25" customHeight="1">
      <c r="A165" s="34">
        <v>46246.0</v>
      </c>
      <c r="B165" s="43" t="s">
        <v>45</v>
      </c>
      <c r="C165" s="42">
        <v>460.0</v>
      </c>
      <c r="D165" s="43"/>
      <c r="E165" s="43"/>
      <c r="G165" s="54"/>
      <c r="H165" s="55"/>
    </row>
    <row r="166" ht="14.25" customHeight="1">
      <c r="A166" s="45">
        <v>46246.0</v>
      </c>
      <c r="B166" s="41" t="s">
        <v>52</v>
      </c>
      <c r="C166" s="42">
        <v>50.0</v>
      </c>
      <c r="D166" s="43"/>
      <c r="E166" s="43"/>
      <c r="G166" s="54"/>
      <c r="H166" s="55"/>
    </row>
    <row r="167" ht="14.25" customHeight="1">
      <c r="A167" s="34">
        <v>46246.0</v>
      </c>
      <c r="B167" s="43" t="s">
        <v>84</v>
      </c>
      <c r="C167" s="42">
        <v>530.0</v>
      </c>
      <c r="D167" s="43"/>
      <c r="E167" s="43"/>
      <c r="G167" s="54"/>
      <c r="H167" s="55"/>
    </row>
    <row r="168" ht="14.25" customHeight="1">
      <c r="A168" s="34">
        <v>46249.0</v>
      </c>
      <c r="B168" s="41" t="s">
        <v>43</v>
      </c>
      <c r="C168" s="42">
        <v>132.4</v>
      </c>
      <c r="D168" s="43"/>
      <c r="E168" s="43"/>
      <c r="G168" s="54"/>
      <c r="H168" s="55"/>
    </row>
    <row r="169" ht="14.25" customHeight="1">
      <c r="A169" s="34">
        <v>46254.0</v>
      </c>
      <c r="B169" s="35" t="s">
        <v>36</v>
      </c>
      <c r="C169" s="42">
        <v>5800.0</v>
      </c>
      <c r="D169" s="43"/>
      <c r="E169" s="43"/>
      <c r="G169" s="54"/>
      <c r="H169" s="55"/>
    </row>
    <row r="170" ht="14.25" customHeight="1">
      <c r="A170" s="34">
        <v>46254.0</v>
      </c>
      <c r="B170" s="41" t="s">
        <v>56</v>
      </c>
      <c r="C170" s="42">
        <v>113.31</v>
      </c>
      <c r="D170" s="43"/>
      <c r="E170" s="43"/>
      <c r="G170" s="54"/>
      <c r="H170" s="55"/>
    </row>
    <row r="171" ht="14.25" customHeight="1">
      <c r="A171" s="45">
        <v>46264.0</v>
      </c>
      <c r="B171" s="41" t="s">
        <v>60</v>
      </c>
      <c r="C171" s="36">
        <v>400.0</v>
      </c>
      <c r="D171" s="35"/>
      <c r="E171" s="35"/>
      <c r="G171" s="54"/>
      <c r="H171" s="55"/>
    </row>
    <row r="172" ht="14.25" customHeight="1">
      <c r="A172" s="34">
        <v>46267.0</v>
      </c>
      <c r="B172" s="43" t="s">
        <v>67</v>
      </c>
      <c r="C172" s="42">
        <v>2000.0</v>
      </c>
      <c r="D172" s="43"/>
      <c r="E172" s="43"/>
      <c r="G172" s="54"/>
      <c r="H172" s="55"/>
    </row>
    <row r="173" ht="14.25" customHeight="1">
      <c r="A173" s="34">
        <v>46271.0</v>
      </c>
      <c r="B173" s="41" t="s">
        <v>81</v>
      </c>
      <c r="C173" s="42">
        <v>950.0</v>
      </c>
      <c r="D173" s="43"/>
      <c r="E173" s="43"/>
      <c r="G173" s="54"/>
      <c r="H173" s="55"/>
    </row>
    <row r="174" ht="14.25" customHeight="1">
      <c r="A174" s="45">
        <v>46272.0</v>
      </c>
      <c r="B174" s="41" t="s">
        <v>68</v>
      </c>
      <c r="C174" s="36">
        <v>110.0</v>
      </c>
      <c r="D174" s="43"/>
      <c r="E174" s="43"/>
      <c r="G174" s="54"/>
      <c r="H174" s="55"/>
    </row>
    <row r="175" ht="14.25" customHeight="1">
      <c r="A175" s="34">
        <v>46273.0</v>
      </c>
      <c r="B175" s="43" t="s">
        <v>104</v>
      </c>
      <c r="C175" s="42">
        <v>90.0</v>
      </c>
      <c r="D175" s="43"/>
      <c r="E175" s="43"/>
      <c r="G175" s="54"/>
      <c r="H175" s="55"/>
    </row>
    <row r="176" ht="14.25" customHeight="1">
      <c r="A176" s="34">
        <v>46275.0</v>
      </c>
      <c r="B176" s="35" t="s">
        <v>62</v>
      </c>
      <c r="C176" s="42">
        <v>65.0</v>
      </c>
      <c r="D176" s="43"/>
      <c r="E176" s="43"/>
      <c r="G176" s="54"/>
      <c r="H176" s="55"/>
    </row>
    <row r="177" ht="14.25" customHeight="1">
      <c r="A177" s="34">
        <v>46276.0</v>
      </c>
      <c r="B177" s="43" t="s">
        <v>69</v>
      </c>
      <c r="C177" s="42">
        <v>95.12</v>
      </c>
      <c r="D177" s="43"/>
      <c r="E177" s="43"/>
      <c r="G177" s="54"/>
      <c r="H177" s="55"/>
    </row>
    <row r="178" ht="14.25" customHeight="1">
      <c r="A178" s="34">
        <v>46277.0</v>
      </c>
      <c r="B178" s="41" t="s">
        <v>39</v>
      </c>
      <c r="C178" s="42">
        <v>981.95</v>
      </c>
      <c r="D178" s="43"/>
      <c r="E178" s="43"/>
      <c r="G178" s="54"/>
      <c r="H178" s="55"/>
    </row>
    <row r="179" ht="14.25" customHeight="1">
      <c r="A179" s="34">
        <v>46277.0</v>
      </c>
      <c r="B179" s="43" t="s">
        <v>47</v>
      </c>
      <c r="C179" s="42">
        <v>2831.4</v>
      </c>
      <c r="D179" s="43"/>
      <c r="E179" s="43"/>
      <c r="G179" s="54"/>
      <c r="H179" s="55"/>
    </row>
    <row r="180" ht="14.25" customHeight="1">
      <c r="A180" s="34">
        <v>46277.0</v>
      </c>
      <c r="B180" s="41" t="s">
        <v>52</v>
      </c>
      <c r="C180" s="42">
        <v>50.0</v>
      </c>
      <c r="D180" s="43"/>
      <c r="E180" s="43"/>
      <c r="G180" s="54"/>
      <c r="H180" s="55"/>
    </row>
    <row r="181" ht="14.25" customHeight="1">
      <c r="A181" s="34">
        <v>46280.0</v>
      </c>
      <c r="B181" s="41" t="s">
        <v>43</v>
      </c>
      <c r="C181" s="42">
        <v>132.4</v>
      </c>
      <c r="D181" s="43"/>
      <c r="E181" s="43"/>
      <c r="G181" s="54"/>
      <c r="H181" s="55"/>
    </row>
    <row r="182" ht="14.25" customHeight="1">
      <c r="A182" s="34">
        <v>46285.0</v>
      </c>
      <c r="B182" s="35" t="s">
        <v>36</v>
      </c>
      <c r="C182" s="42">
        <v>6850.0</v>
      </c>
      <c r="D182" s="43"/>
      <c r="E182" s="43"/>
      <c r="G182" s="54"/>
      <c r="H182" s="55"/>
    </row>
    <row r="183" ht="14.25" customHeight="1">
      <c r="A183" s="45">
        <v>46285.0</v>
      </c>
      <c r="B183" s="41" t="s">
        <v>56</v>
      </c>
      <c r="C183" s="42">
        <v>113.31</v>
      </c>
      <c r="D183" s="43"/>
      <c r="E183" s="43"/>
      <c r="G183" s="54"/>
      <c r="H183" s="55"/>
    </row>
    <row r="184" ht="14.25" customHeight="1">
      <c r="A184" s="45">
        <v>46295.0</v>
      </c>
      <c r="B184" s="41" t="s">
        <v>60</v>
      </c>
      <c r="C184" s="36">
        <v>400.0</v>
      </c>
      <c r="D184" s="35"/>
      <c r="E184" s="35"/>
      <c r="G184" s="54"/>
      <c r="H184" s="55"/>
    </row>
    <row r="185" ht="14.25" customHeight="1">
      <c r="A185" s="34">
        <v>46297.0</v>
      </c>
      <c r="B185" s="43" t="s">
        <v>67</v>
      </c>
      <c r="C185" s="42">
        <v>1800.0</v>
      </c>
      <c r="D185" s="43"/>
      <c r="E185" s="43"/>
      <c r="G185" s="54"/>
      <c r="H185" s="55"/>
    </row>
    <row r="186" ht="14.25" customHeight="1">
      <c r="A186" s="34">
        <v>46301.0</v>
      </c>
      <c r="B186" s="41" t="s">
        <v>81</v>
      </c>
      <c r="C186" s="42">
        <v>950.0</v>
      </c>
      <c r="D186" s="43"/>
      <c r="E186" s="43"/>
      <c r="G186" s="54"/>
      <c r="H186" s="55"/>
    </row>
    <row r="187" ht="14.25" customHeight="1">
      <c r="A187" s="45">
        <v>46302.0</v>
      </c>
      <c r="B187" s="41" t="s">
        <v>68</v>
      </c>
      <c r="C187" s="36">
        <v>110.0</v>
      </c>
      <c r="D187" s="43"/>
      <c r="E187" s="43"/>
      <c r="G187" s="54"/>
      <c r="H187" s="55"/>
    </row>
    <row r="188" ht="14.25" customHeight="1">
      <c r="A188" s="34">
        <v>46302.0</v>
      </c>
      <c r="B188" s="43" t="s">
        <v>84</v>
      </c>
      <c r="C188" s="42">
        <v>530.0</v>
      </c>
      <c r="D188" s="43"/>
      <c r="E188" s="43"/>
      <c r="G188" s="54"/>
      <c r="H188" s="55"/>
    </row>
    <row r="189" ht="14.25" customHeight="1">
      <c r="A189" s="34">
        <v>46303.0</v>
      </c>
      <c r="B189" s="43" t="s">
        <v>104</v>
      </c>
      <c r="C189" s="42">
        <v>90.0</v>
      </c>
      <c r="D189" s="43"/>
      <c r="E189" s="43"/>
      <c r="G189" s="54"/>
      <c r="H189" s="55"/>
    </row>
    <row r="190" ht="14.25" customHeight="1">
      <c r="A190" s="34">
        <v>46303.0</v>
      </c>
      <c r="B190" s="43" t="s">
        <v>105</v>
      </c>
      <c r="C190" s="42">
        <v>119.8</v>
      </c>
      <c r="D190" s="43"/>
      <c r="E190" s="43"/>
      <c r="G190" s="54"/>
      <c r="H190" s="55"/>
    </row>
    <row r="191" ht="14.25" customHeight="1">
      <c r="A191" s="34">
        <v>46305.0</v>
      </c>
      <c r="B191" s="35" t="s">
        <v>62</v>
      </c>
      <c r="C191" s="42">
        <v>65.0</v>
      </c>
      <c r="D191" s="43"/>
      <c r="E191" s="43"/>
      <c r="G191" s="54"/>
      <c r="H191" s="55"/>
    </row>
    <row r="192" ht="14.25" customHeight="1">
      <c r="A192" s="34">
        <v>46306.0</v>
      </c>
      <c r="B192" s="43" t="s">
        <v>69</v>
      </c>
      <c r="C192" s="42">
        <v>95.12</v>
      </c>
      <c r="D192" s="43"/>
      <c r="E192" s="43"/>
      <c r="G192" s="54"/>
      <c r="H192" s="55"/>
    </row>
    <row r="193" ht="14.25" customHeight="1">
      <c r="A193" s="34">
        <v>46307.0</v>
      </c>
      <c r="B193" s="41" t="s">
        <v>39</v>
      </c>
      <c r="C193" s="42">
        <v>981.95</v>
      </c>
      <c r="D193" s="43"/>
      <c r="E193" s="43"/>
      <c r="G193" s="54"/>
      <c r="H193" s="55"/>
    </row>
    <row r="194" ht="14.25" customHeight="1">
      <c r="A194" s="34">
        <v>46307.0</v>
      </c>
      <c r="B194" s="43" t="s">
        <v>47</v>
      </c>
      <c r="C194" s="42">
        <v>2831.4</v>
      </c>
      <c r="D194" s="43"/>
      <c r="E194" s="43"/>
      <c r="G194" s="54"/>
      <c r="H194" s="55"/>
    </row>
    <row r="195" ht="14.25" customHeight="1">
      <c r="A195" s="45">
        <v>46307.0</v>
      </c>
      <c r="B195" s="41" t="s">
        <v>52</v>
      </c>
      <c r="C195" s="42">
        <v>50.0</v>
      </c>
      <c r="D195" s="43"/>
      <c r="E195" s="43"/>
      <c r="G195" s="54"/>
      <c r="H195" s="55"/>
    </row>
    <row r="196" ht="14.25" customHeight="1">
      <c r="A196" s="34">
        <v>46310.0</v>
      </c>
      <c r="B196" s="41" t="s">
        <v>43</v>
      </c>
      <c r="C196" s="42">
        <v>132.4</v>
      </c>
      <c r="D196" s="43"/>
      <c r="E196" s="43"/>
      <c r="G196" s="54"/>
      <c r="H196" s="55"/>
    </row>
    <row r="197" ht="14.25" customHeight="1">
      <c r="A197" s="34">
        <v>46315.0</v>
      </c>
      <c r="B197" s="35" t="s">
        <v>36</v>
      </c>
      <c r="C197" s="42">
        <v>6000.0</v>
      </c>
      <c r="D197" s="43"/>
      <c r="E197" s="43"/>
      <c r="G197" s="54"/>
      <c r="H197" s="55"/>
    </row>
    <row r="198" ht="14.25" customHeight="1">
      <c r="A198" s="34">
        <v>46315.0</v>
      </c>
      <c r="B198" s="41" t="s">
        <v>56</v>
      </c>
      <c r="C198" s="42">
        <v>113.31</v>
      </c>
      <c r="D198" s="43"/>
      <c r="E198" s="43"/>
      <c r="G198" s="54"/>
      <c r="H198" s="55"/>
    </row>
    <row r="199" ht="14.25" customHeight="1">
      <c r="A199" s="45">
        <v>46325.0</v>
      </c>
      <c r="B199" s="41" t="s">
        <v>60</v>
      </c>
      <c r="C199" s="36">
        <v>400.0</v>
      </c>
      <c r="D199" s="35"/>
      <c r="E199" s="35"/>
      <c r="G199" s="54"/>
      <c r="H199" s="55"/>
    </row>
    <row r="200" ht="14.25" customHeight="1">
      <c r="A200" s="34">
        <v>46328.0</v>
      </c>
      <c r="B200" s="43" t="s">
        <v>67</v>
      </c>
      <c r="C200" s="42">
        <v>2200.0</v>
      </c>
      <c r="D200" s="43"/>
      <c r="E200" s="43"/>
      <c r="G200" s="54"/>
      <c r="H200" s="55"/>
    </row>
    <row r="201" ht="14.25" customHeight="1">
      <c r="A201" s="34">
        <v>46332.0</v>
      </c>
      <c r="B201" s="41" t="s">
        <v>81</v>
      </c>
      <c r="C201" s="42">
        <v>950.0</v>
      </c>
      <c r="D201" s="43"/>
      <c r="E201" s="43"/>
      <c r="G201" s="54"/>
      <c r="H201" s="55"/>
    </row>
    <row r="202" ht="14.25" customHeight="1">
      <c r="A202" s="45">
        <v>46333.0</v>
      </c>
      <c r="B202" s="41" t="s">
        <v>68</v>
      </c>
      <c r="C202" s="36">
        <v>110.0</v>
      </c>
      <c r="D202" s="43"/>
      <c r="E202" s="43"/>
      <c r="G202" s="54"/>
      <c r="H202" s="55"/>
    </row>
    <row r="203" ht="14.25" customHeight="1">
      <c r="A203" s="34">
        <v>46335.0</v>
      </c>
      <c r="B203" s="43" t="s">
        <v>104</v>
      </c>
      <c r="C203" s="42">
        <v>90.0</v>
      </c>
      <c r="D203" s="43"/>
      <c r="E203" s="43"/>
      <c r="G203" s="54"/>
      <c r="H203" s="55"/>
    </row>
    <row r="204" ht="14.25" customHeight="1">
      <c r="A204" s="34">
        <v>46336.0</v>
      </c>
      <c r="B204" s="35" t="s">
        <v>62</v>
      </c>
      <c r="C204" s="42">
        <v>65.0</v>
      </c>
      <c r="D204" s="43"/>
      <c r="E204" s="43"/>
      <c r="G204" s="54"/>
      <c r="H204" s="55"/>
    </row>
    <row r="205" ht="14.25" customHeight="1">
      <c r="A205" s="34">
        <v>46337.0</v>
      </c>
      <c r="B205" s="43" t="s">
        <v>69</v>
      </c>
      <c r="C205" s="42">
        <v>95.12</v>
      </c>
      <c r="D205" s="43"/>
      <c r="E205" s="43"/>
      <c r="G205" s="54"/>
      <c r="H205" s="55"/>
    </row>
    <row r="206" ht="14.25" customHeight="1">
      <c r="A206" s="34">
        <v>46338.0</v>
      </c>
      <c r="B206" s="41" t="s">
        <v>39</v>
      </c>
      <c r="C206" s="42">
        <v>981.95</v>
      </c>
      <c r="D206" s="43"/>
      <c r="E206" s="43"/>
      <c r="G206" s="54"/>
      <c r="H206" s="55"/>
    </row>
    <row r="207" ht="14.25" customHeight="1">
      <c r="A207" s="34">
        <v>46338.0</v>
      </c>
      <c r="B207" s="43" t="s">
        <v>47</v>
      </c>
      <c r="C207" s="42">
        <v>2831.4</v>
      </c>
      <c r="D207" s="43"/>
      <c r="E207" s="43"/>
      <c r="G207" s="54"/>
      <c r="H207" s="55"/>
    </row>
    <row r="208" ht="14.25" customHeight="1">
      <c r="A208" s="34">
        <v>46338.0</v>
      </c>
      <c r="B208" s="41" t="s">
        <v>52</v>
      </c>
      <c r="C208" s="42">
        <v>50.0</v>
      </c>
      <c r="D208" s="43"/>
      <c r="E208" s="43"/>
      <c r="G208" s="54"/>
      <c r="H208" s="55"/>
    </row>
    <row r="209" ht="14.25" customHeight="1">
      <c r="A209" s="34">
        <v>46341.0</v>
      </c>
      <c r="B209" s="41" t="s">
        <v>43</v>
      </c>
      <c r="C209" s="42">
        <v>132.4</v>
      </c>
      <c r="D209" s="43"/>
      <c r="E209" s="43"/>
      <c r="G209" s="54"/>
      <c r="H209" s="55"/>
    </row>
    <row r="210" ht="14.25" customHeight="1">
      <c r="A210" s="34">
        <v>46346.0</v>
      </c>
      <c r="B210" s="35" t="s">
        <v>36</v>
      </c>
      <c r="C210" s="42">
        <v>5750.0</v>
      </c>
      <c r="D210" s="43"/>
      <c r="E210" s="43"/>
      <c r="G210" s="54"/>
      <c r="H210" s="55"/>
    </row>
    <row r="211" ht="14.25" customHeight="1">
      <c r="A211" s="34">
        <v>46346.0</v>
      </c>
      <c r="B211" s="41" t="s">
        <v>56</v>
      </c>
      <c r="C211" s="42">
        <v>113.31</v>
      </c>
      <c r="D211" s="43"/>
      <c r="E211" s="43"/>
      <c r="G211" s="54"/>
      <c r="H211" s="55"/>
    </row>
    <row r="212" ht="14.25" customHeight="1">
      <c r="A212" s="45">
        <v>46356.0</v>
      </c>
      <c r="B212" s="41" t="s">
        <v>60</v>
      </c>
      <c r="C212" s="36">
        <v>400.0</v>
      </c>
      <c r="D212" s="35"/>
      <c r="E212" s="35"/>
      <c r="G212" s="54"/>
      <c r="H212" s="55"/>
    </row>
    <row r="213" ht="14.25" customHeight="1">
      <c r="A213" s="34">
        <v>46358.0</v>
      </c>
      <c r="B213" s="43" t="s">
        <v>67</v>
      </c>
      <c r="C213" s="42">
        <v>1880.0</v>
      </c>
      <c r="D213" s="43"/>
      <c r="E213" s="43"/>
      <c r="G213" s="54"/>
      <c r="H213" s="55"/>
    </row>
    <row r="214" ht="14.25" customHeight="1">
      <c r="A214" s="34">
        <v>46362.0</v>
      </c>
      <c r="B214" s="41" t="s">
        <v>81</v>
      </c>
      <c r="C214" s="42">
        <v>950.0</v>
      </c>
      <c r="D214" s="43"/>
      <c r="E214" s="43"/>
      <c r="G214" s="54"/>
      <c r="H214" s="55"/>
    </row>
    <row r="215" ht="14.25" customHeight="1">
      <c r="A215" s="45">
        <v>46363.0</v>
      </c>
      <c r="B215" s="41" t="s">
        <v>68</v>
      </c>
      <c r="C215" s="36">
        <v>110.0</v>
      </c>
      <c r="D215" s="43"/>
      <c r="E215" s="43"/>
      <c r="G215" s="54"/>
      <c r="H215" s="55"/>
    </row>
    <row r="216" ht="14.25" customHeight="1">
      <c r="A216" s="34">
        <v>46365.0</v>
      </c>
      <c r="B216" s="43" t="s">
        <v>84</v>
      </c>
      <c r="C216" s="42">
        <v>530.0</v>
      </c>
      <c r="D216" s="43"/>
      <c r="E216" s="43"/>
      <c r="G216" s="54"/>
      <c r="H216" s="55"/>
    </row>
    <row r="217" ht="14.25" customHeight="1">
      <c r="A217" s="34">
        <v>46366.0</v>
      </c>
      <c r="B217" s="35" t="s">
        <v>62</v>
      </c>
      <c r="C217" s="42">
        <v>65.0</v>
      </c>
      <c r="D217" s="43"/>
      <c r="E217" s="43"/>
      <c r="G217" s="54"/>
      <c r="H217" s="55"/>
    </row>
    <row r="218" ht="14.25" customHeight="1">
      <c r="A218" s="34">
        <v>46367.0</v>
      </c>
      <c r="B218" s="43" t="s">
        <v>69</v>
      </c>
      <c r="C218" s="42">
        <v>95.12</v>
      </c>
      <c r="D218" s="43"/>
      <c r="E218" s="43"/>
      <c r="G218" s="54"/>
      <c r="H218" s="55"/>
    </row>
    <row r="219" ht="14.25" customHeight="1">
      <c r="A219" s="34">
        <v>46367.0</v>
      </c>
      <c r="B219" s="43" t="s">
        <v>106</v>
      </c>
      <c r="C219" s="42">
        <v>2900.0</v>
      </c>
      <c r="D219" s="43"/>
      <c r="E219" s="43"/>
      <c r="G219" s="54"/>
      <c r="H219" s="55"/>
    </row>
    <row r="220" ht="14.25" customHeight="1">
      <c r="A220" s="34">
        <v>46368.0</v>
      </c>
      <c r="B220" s="41" t="s">
        <v>39</v>
      </c>
      <c r="C220" s="42">
        <v>981.95</v>
      </c>
      <c r="D220" s="43"/>
      <c r="E220" s="43"/>
      <c r="G220" s="54"/>
      <c r="H220" s="55"/>
    </row>
    <row r="221" ht="14.25" customHeight="1">
      <c r="A221" s="34">
        <v>46368.0</v>
      </c>
      <c r="B221" s="43" t="s">
        <v>47</v>
      </c>
      <c r="C221" s="42">
        <v>2831.4</v>
      </c>
      <c r="D221" s="43"/>
      <c r="E221" s="43"/>
      <c r="G221" s="54"/>
      <c r="H221" s="55"/>
    </row>
    <row r="222" ht="14.25" customHeight="1">
      <c r="A222" s="45">
        <v>46368.0</v>
      </c>
      <c r="B222" s="41" t="s">
        <v>52</v>
      </c>
      <c r="C222" s="42">
        <v>50.0</v>
      </c>
      <c r="D222" s="43"/>
      <c r="E222" s="43"/>
      <c r="G222" s="54"/>
      <c r="H222" s="55"/>
    </row>
    <row r="223" ht="14.25" customHeight="1">
      <c r="A223" s="34">
        <v>46371.0</v>
      </c>
      <c r="B223" s="41" t="s">
        <v>43</v>
      </c>
      <c r="C223" s="42">
        <v>132.4</v>
      </c>
      <c r="D223" s="43"/>
      <c r="E223" s="43"/>
      <c r="G223" s="54"/>
      <c r="H223" s="55"/>
    </row>
    <row r="224" ht="14.25" customHeight="1">
      <c r="A224" s="34">
        <v>46376.0</v>
      </c>
      <c r="B224" s="35" t="s">
        <v>36</v>
      </c>
      <c r="C224" s="42">
        <v>6250.0</v>
      </c>
      <c r="D224" s="43"/>
      <c r="E224" s="43"/>
      <c r="G224" s="54"/>
      <c r="H224" s="55"/>
    </row>
    <row r="225" ht="14.25" customHeight="1">
      <c r="A225" s="45">
        <v>46376.0</v>
      </c>
      <c r="B225" s="41" t="s">
        <v>56</v>
      </c>
      <c r="C225" s="42">
        <v>113.31</v>
      </c>
      <c r="D225" s="43"/>
      <c r="E225" s="43"/>
      <c r="G225" s="54"/>
      <c r="H225" s="55"/>
    </row>
    <row r="226" ht="14.25" customHeight="1">
      <c r="A226" s="34">
        <v>46389.0</v>
      </c>
      <c r="B226" s="43" t="s">
        <v>67</v>
      </c>
      <c r="C226" s="42">
        <v>2000.0</v>
      </c>
      <c r="D226" s="43"/>
      <c r="E226" s="43"/>
      <c r="G226" s="54"/>
      <c r="H226" s="55"/>
    </row>
    <row r="227" ht="14.25" customHeight="1">
      <c r="A227" s="34">
        <v>46393.0</v>
      </c>
      <c r="B227" s="41" t="s">
        <v>81</v>
      </c>
      <c r="C227" s="42">
        <v>950.0</v>
      </c>
      <c r="D227" s="43"/>
      <c r="E227" s="43"/>
      <c r="G227" s="54"/>
      <c r="H227" s="55"/>
    </row>
    <row r="228" ht="14.25" customHeight="1">
      <c r="A228" s="45">
        <v>46394.0</v>
      </c>
      <c r="B228" s="41" t="s">
        <v>68</v>
      </c>
      <c r="C228" s="36">
        <v>110.0</v>
      </c>
      <c r="D228" s="43"/>
      <c r="E228" s="43"/>
      <c r="G228" s="54"/>
      <c r="H228" s="55"/>
    </row>
    <row r="229" ht="14.25" customHeight="1">
      <c r="A229" s="34">
        <v>46397.0</v>
      </c>
      <c r="B229" s="35" t="s">
        <v>62</v>
      </c>
      <c r="C229" s="42">
        <v>65.0</v>
      </c>
      <c r="D229" s="43"/>
      <c r="E229" s="43"/>
      <c r="G229" s="54"/>
      <c r="H229" s="55"/>
    </row>
    <row r="230" ht="14.25" customHeight="1">
      <c r="A230" s="34">
        <v>46398.0</v>
      </c>
      <c r="B230" s="43" t="s">
        <v>69</v>
      </c>
      <c r="C230" s="42">
        <v>105.37</v>
      </c>
      <c r="D230" s="43"/>
      <c r="E230" s="43"/>
      <c r="G230" s="54"/>
      <c r="H230" s="55"/>
    </row>
    <row r="231" ht="14.25" customHeight="1">
      <c r="A231" s="34">
        <v>46399.0</v>
      </c>
      <c r="B231" s="41" t="s">
        <v>39</v>
      </c>
      <c r="C231" s="42">
        <v>983.13</v>
      </c>
      <c r="D231" s="43"/>
      <c r="E231" s="43"/>
      <c r="G231" s="54"/>
      <c r="H231" s="55"/>
    </row>
    <row r="232" ht="14.25" customHeight="1">
      <c r="A232" s="34">
        <v>46399.0</v>
      </c>
      <c r="B232" s="41" t="s">
        <v>52</v>
      </c>
      <c r="C232" s="42">
        <v>50.0</v>
      </c>
      <c r="D232" s="43"/>
      <c r="E232" s="43"/>
      <c r="G232" s="54"/>
      <c r="H232" s="55"/>
    </row>
    <row r="233" ht="14.25" customHeight="1">
      <c r="A233" s="34">
        <v>46402.0</v>
      </c>
      <c r="B233" s="41" t="s">
        <v>43</v>
      </c>
      <c r="C233" s="42">
        <v>132.4</v>
      </c>
      <c r="D233" s="43"/>
      <c r="E233" s="43"/>
      <c r="G233" s="54"/>
      <c r="H233" s="55"/>
    </row>
    <row r="234" ht="14.25" customHeight="1">
      <c r="A234" s="34">
        <v>46407.0</v>
      </c>
      <c r="B234" s="35" t="s">
        <v>36</v>
      </c>
      <c r="C234" s="42">
        <v>7796.0</v>
      </c>
      <c r="D234" s="43"/>
      <c r="E234" s="43"/>
      <c r="G234" s="54"/>
      <c r="H234" s="55"/>
    </row>
    <row r="235" ht="14.25" customHeight="1">
      <c r="A235" s="34">
        <v>46407.0</v>
      </c>
      <c r="B235" s="41" t="s">
        <v>56</v>
      </c>
      <c r="C235" s="42">
        <v>102.36</v>
      </c>
      <c r="D235" s="43"/>
      <c r="E235" s="43"/>
      <c r="G235" s="54"/>
      <c r="H235" s="55"/>
    </row>
    <row r="236" ht="14.25" customHeight="1">
      <c r="A236" s="34">
        <v>46420.0</v>
      </c>
      <c r="B236" s="43" t="s">
        <v>67</v>
      </c>
      <c r="C236" s="42">
        <v>1800.0</v>
      </c>
      <c r="D236" s="43"/>
      <c r="E236" s="43"/>
      <c r="G236" s="54"/>
      <c r="H236" s="55"/>
    </row>
    <row r="237" ht="14.25" customHeight="1">
      <c r="A237" s="34">
        <v>46424.0</v>
      </c>
      <c r="B237" s="41" t="s">
        <v>81</v>
      </c>
      <c r="C237" s="42">
        <v>950.0</v>
      </c>
      <c r="D237" s="43"/>
      <c r="E237" s="43"/>
      <c r="G237" s="54"/>
      <c r="H237" s="55"/>
    </row>
    <row r="238" ht="14.25" customHeight="1">
      <c r="A238" s="45">
        <v>46425.0</v>
      </c>
      <c r="B238" s="41" t="s">
        <v>68</v>
      </c>
      <c r="C238" s="36">
        <v>110.0</v>
      </c>
      <c r="D238" s="43"/>
      <c r="E238" s="43"/>
      <c r="G238" s="54"/>
      <c r="H238" s="55"/>
    </row>
    <row r="239" ht="14.25" customHeight="1">
      <c r="A239" s="34">
        <v>46428.0</v>
      </c>
      <c r="B239" s="35" t="s">
        <v>62</v>
      </c>
      <c r="C239" s="42">
        <v>65.0</v>
      </c>
      <c r="D239" s="43"/>
      <c r="E239" s="43"/>
      <c r="G239" s="54"/>
      <c r="H239" s="55"/>
    </row>
    <row r="240" ht="14.25" customHeight="1">
      <c r="A240" s="34">
        <v>46428.0</v>
      </c>
      <c r="B240" s="43" t="s">
        <v>84</v>
      </c>
      <c r="C240" s="42">
        <v>530.0</v>
      </c>
      <c r="D240" s="43"/>
      <c r="E240" s="43"/>
      <c r="G240" s="54"/>
      <c r="H240" s="55"/>
    </row>
    <row r="241" ht="14.25" customHeight="1">
      <c r="A241" s="34">
        <v>46429.0</v>
      </c>
      <c r="B241" s="43" t="s">
        <v>69</v>
      </c>
      <c r="C241" s="42">
        <v>95.12</v>
      </c>
      <c r="D241" s="43"/>
      <c r="E241" s="43"/>
      <c r="G241" s="54"/>
      <c r="H241" s="55"/>
    </row>
    <row r="242" ht="14.25" customHeight="1">
      <c r="A242" s="34">
        <v>46430.0</v>
      </c>
      <c r="B242" s="41" t="s">
        <v>39</v>
      </c>
      <c r="C242" s="42">
        <v>981.95</v>
      </c>
      <c r="D242" s="43"/>
      <c r="E242" s="43"/>
      <c r="G242" s="54"/>
      <c r="H242" s="55"/>
    </row>
    <row r="243" ht="14.25" customHeight="1">
      <c r="A243" s="34">
        <v>46430.0</v>
      </c>
      <c r="B243" s="43" t="s">
        <v>47</v>
      </c>
      <c r="C243" s="42">
        <v>2831.4</v>
      </c>
      <c r="D243" s="43"/>
      <c r="E243" s="43"/>
      <c r="G243" s="54"/>
      <c r="H243" s="55"/>
    </row>
    <row r="244" ht="14.25" customHeight="1">
      <c r="A244" s="34">
        <v>46430.0</v>
      </c>
      <c r="B244" s="43" t="s">
        <v>41</v>
      </c>
      <c r="C244" s="42">
        <v>1407.65</v>
      </c>
      <c r="D244" s="43"/>
      <c r="E244" s="43"/>
      <c r="G244" s="54"/>
      <c r="H244" s="55"/>
    </row>
    <row r="245" ht="14.25" customHeight="1">
      <c r="A245" s="45">
        <v>46430.0</v>
      </c>
      <c r="B245" s="41" t="s">
        <v>52</v>
      </c>
      <c r="C245" s="42">
        <v>50.0</v>
      </c>
      <c r="D245" s="43"/>
      <c r="E245" s="35"/>
      <c r="G245" s="54"/>
      <c r="H245" s="55"/>
    </row>
    <row r="246" ht="14.25" customHeight="1">
      <c r="A246" s="34">
        <v>46433.0</v>
      </c>
      <c r="B246" s="41" t="s">
        <v>43</v>
      </c>
      <c r="C246" s="42">
        <v>132.4</v>
      </c>
      <c r="D246" s="43"/>
      <c r="E246" s="43"/>
      <c r="G246" s="54"/>
      <c r="H246" s="55"/>
    </row>
    <row r="247" ht="14.25" customHeight="1">
      <c r="A247" s="34">
        <v>46437.0</v>
      </c>
      <c r="B247" s="43" t="s">
        <v>45</v>
      </c>
      <c r="C247" s="42">
        <v>460.0</v>
      </c>
      <c r="D247" s="43"/>
      <c r="E247" s="43"/>
      <c r="G247" s="54"/>
      <c r="H247" s="55"/>
    </row>
    <row r="248" ht="14.25" customHeight="1">
      <c r="A248" s="34">
        <v>46438.0</v>
      </c>
      <c r="B248" s="35" t="s">
        <v>36</v>
      </c>
      <c r="C248" s="42">
        <v>6004.07</v>
      </c>
      <c r="D248" s="43"/>
      <c r="E248" s="43"/>
      <c r="G248" s="54"/>
      <c r="H248" s="55"/>
    </row>
    <row r="249" ht="14.25" customHeight="1">
      <c r="A249" s="45">
        <v>46438.0</v>
      </c>
      <c r="B249" s="41" t="s">
        <v>56</v>
      </c>
      <c r="C249" s="42">
        <v>113.31</v>
      </c>
      <c r="D249" s="43"/>
      <c r="E249" s="43"/>
      <c r="G249" s="54"/>
      <c r="H249" s="55"/>
    </row>
    <row r="250" ht="14.25" customHeight="1">
      <c r="A250" s="34">
        <v>46448.0</v>
      </c>
      <c r="B250" s="43" t="s">
        <v>67</v>
      </c>
      <c r="C250" s="42">
        <v>1771.95</v>
      </c>
      <c r="D250" s="43"/>
      <c r="E250" s="43"/>
      <c r="G250" s="54"/>
      <c r="H250" s="55"/>
    </row>
    <row r="251" ht="14.25" customHeight="1">
      <c r="A251" s="34">
        <v>46451.0</v>
      </c>
      <c r="B251" s="43" t="s">
        <v>93</v>
      </c>
      <c r="C251" s="42">
        <v>81.8</v>
      </c>
      <c r="D251" s="43"/>
      <c r="E251" s="43"/>
      <c r="G251" s="54"/>
      <c r="H251" s="55"/>
    </row>
    <row r="252" ht="14.25" customHeight="1">
      <c r="A252" s="34">
        <v>46452.0</v>
      </c>
      <c r="B252" s="41" t="s">
        <v>81</v>
      </c>
      <c r="C252" s="42">
        <v>950.0</v>
      </c>
      <c r="D252" s="43"/>
      <c r="E252" s="43"/>
      <c r="G252" s="54"/>
      <c r="H252" s="55"/>
    </row>
    <row r="253" ht="14.25" customHeight="1">
      <c r="A253" s="45">
        <v>46453.0</v>
      </c>
      <c r="B253" s="41" t="s">
        <v>68</v>
      </c>
      <c r="C253" s="36">
        <v>110.0</v>
      </c>
      <c r="D253" s="43"/>
      <c r="E253" s="43"/>
      <c r="G253" s="54"/>
      <c r="H253" s="55"/>
    </row>
    <row r="254" ht="14.25" customHeight="1">
      <c r="A254" s="34">
        <v>46456.0</v>
      </c>
      <c r="B254" s="35" t="s">
        <v>66</v>
      </c>
      <c r="C254" s="42">
        <v>1336.73</v>
      </c>
      <c r="D254" s="43"/>
      <c r="E254" s="43"/>
      <c r="G254" s="54"/>
      <c r="H254" s="55"/>
    </row>
    <row r="255" ht="14.25" customHeight="1">
      <c r="A255" s="34">
        <v>46456.0</v>
      </c>
      <c r="B255" s="35" t="s">
        <v>62</v>
      </c>
      <c r="C255" s="42">
        <v>65.0</v>
      </c>
      <c r="D255" s="43"/>
      <c r="E255" s="43"/>
      <c r="G255" s="54"/>
      <c r="H255" s="55"/>
    </row>
    <row r="256" ht="14.25" customHeight="1">
      <c r="A256" s="34">
        <v>46457.0</v>
      </c>
      <c r="B256" s="43" t="s">
        <v>69</v>
      </c>
      <c r="C256" s="42">
        <v>86.15</v>
      </c>
      <c r="D256" s="43"/>
      <c r="E256" s="43"/>
      <c r="G256" s="54"/>
      <c r="H256" s="55"/>
    </row>
    <row r="257" ht="14.25" customHeight="1">
      <c r="A257" s="34">
        <v>46458.0</v>
      </c>
      <c r="B257" s="41" t="s">
        <v>39</v>
      </c>
      <c r="C257" s="42">
        <v>981.22</v>
      </c>
      <c r="D257" s="43"/>
      <c r="E257" s="43"/>
      <c r="G257" s="54"/>
      <c r="H257" s="55"/>
    </row>
    <row r="258" ht="14.25" customHeight="1">
      <c r="A258" s="34">
        <v>46458.0</v>
      </c>
      <c r="B258" s="43" t="s">
        <v>47</v>
      </c>
      <c r="C258" s="42">
        <v>2831.4</v>
      </c>
      <c r="D258" s="43"/>
      <c r="E258" s="43"/>
      <c r="G258" s="54"/>
      <c r="H258" s="55"/>
    </row>
    <row r="259" ht="14.25" customHeight="1">
      <c r="A259" s="34">
        <v>46458.0</v>
      </c>
      <c r="B259" s="41" t="s">
        <v>52</v>
      </c>
      <c r="C259" s="42">
        <v>50.0</v>
      </c>
      <c r="D259" s="43"/>
      <c r="E259" s="43"/>
      <c r="G259" s="54"/>
      <c r="H259" s="55"/>
    </row>
    <row r="260" ht="14.25" customHeight="1">
      <c r="A260" s="34">
        <v>46461.0</v>
      </c>
      <c r="B260" s="41" t="s">
        <v>43</v>
      </c>
      <c r="C260" s="42">
        <v>132.4</v>
      </c>
      <c r="D260" s="43"/>
      <c r="E260" s="43"/>
      <c r="G260" s="54"/>
      <c r="H260" s="55"/>
    </row>
    <row r="261" ht="14.25" customHeight="1">
      <c r="A261" s="34">
        <v>46466.0</v>
      </c>
      <c r="B261" s="35" t="s">
        <v>36</v>
      </c>
      <c r="C261" s="42">
        <v>7494.55</v>
      </c>
      <c r="D261" s="43"/>
      <c r="E261" s="43"/>
      <c r="G261" s="54"/>
      <c r="H261" s="55"/>
    </row>
    <row r="262" ht="14.25" customHeight="1">
      <c r="A262" s="34">
        <v>46466.0</v>
      </c>
      <c r="B262" s="41" t="s">
        <v>56</v>
      </c>
      <c r="C262" s="42">
        <v>87.84</v>
      </c>
      <c r="D262" s="43"/>
      <c r="E262" s="43"/>
      <c r="G262" s="54"/>
      <c r="H262" s="55"/>
    </row>
    <row r="263" ht="14.25" customHeight="1">
      <c r="A263" s="34">
        <v>46477.0</v>
      </c>
      <c r="B263" s="43" t="s">
        <v>94</v>
      </c>
      <c r="C263" s="42">
        <v>35.62</v>
      </c>
      <c r="D263" s="43"/>
      <c r="E263" s="43"/>
      <c r="G263" s="54"/>
      <c r="H263" s="55"/>
    </row>
    <row r="264" ht="14.25" customHeight="1">
      <c r="A264" s="34">
        <v>46479.0</v>
      </c>
      <c r="B264" s="43" t="s">
        <v>67</v>
      </c>
      <c r="C264" s="42">
        <v>5310.25</v>
      </c>
      <c r="D264" s="43"/>
      <c r="E264" s="43"/>
      <c r="G264" s="54"/>
      <c r="H264" s="55"/>
    </row>
    <row r="265" ht="14.25" customHeight="1">
      <c r="A265" s="34">
        <v>46483.0</v>
      </c>
      <c r="B265" s="41" t="s">
        <v>81</v>
      </c>
      <c r="C265" s="42">
        <v>950.0</v>
      </c>
      <c r="D265" s="43"/>
      <c r="E265" s="43"/>
      <c r="G265" s="54"/>
      <c r="H265" s="55"/>
    </row>
    <row r="266" ht="14.25" customHeight="1">
      <c r="A266" s="45">
        <v>46484.0</v>
      </c>
      <c r="B266" s="41" t="s">
        <v>68</v>
      </c>
      <c r="C266" s="36">
        <v>110.0</v>
      </c>
      <c r="D266" s="43"/>
      <c r="E266" s="43"/>
      <c r="G266" s="54"/>
      <c r="H266" s="55"/>
    </row>
    <row r="267" ht="14.25" customHeight="1">
      <c r="A267" s="34">
        <v>46487.0</v>
      </c>
      <c r="B267" s="35" t="s">
        <v>62</v>
      </c>
      <c r="C267" s="42">
        <v>65.0</v>
      </c>
      <c r="D267" s="43"/>
      <c r="E267" s="43"/>
      <c r="G267" s="54"/>
      <c r="H267" s="55"/>
    </row>
    <row r="268" ht="14.25" customHeight="1">
      <c r="A268" s="34">
        <v>46488.0</v>
      </c>
      <c r="B268" s="43" t="s">
        <v>69</v>
      </c>
      <c r="C268" s="42">
        <v>98.98</v>
      </c>
      <c r="D268" s="43"/>
      <c r="E268" s="43"/>
      <c r="G268" s="54"/>
      <c r="H268" s="55"/>
    </row>
    <row r="269" ht="14.25" customHeight="1">
      <c r="A269" s="34">
        <v>46489.0</v>
      </c>
      <c r="B269" s="41" t="s">
        <v>39</v>
      </c>
      <c r="C269" s="42">
        <v>981.22</v>
      </c>
      <c r="D269" s="43"/>
      <c r="E269" s="43"/>
      <c r="G269" s="54"/>
      <c r="H269" s="55"/>
    </row>
    <row r="270" ht="14.25" customHeight="1">
      <c r="A270" s="34">
        <v>46489.0</v>
      </c>
      <c r="B270" s="43" t="s">
        <v>47</v>
      </c>
      <c r="C270" s="42">
        <v>2831.4</v>
      </c>
      <c r="D270" s="43"/>
      <c r="E270" s="43"/>
      <c r="G270" s="54"/>
      <c r="H270" s="55"/>
    </row>
    <row r="271" ht="14.25" customHeight="1">
      <c r="A271" s="45">
        <v>46489.0</v>
      </c>
      <c r="B271" s="41" t="s">
        <v>52</v>
      </c>
      <c r="C271" s="42">
        <v>50.0</v>
      </c>
      <c r="D271" s="43"/>
      <c r="E271" s="43"/>
      <c r="G271" s="54"/>
      <c r="H271" s="55"/>
    </row>
    <row r="272" ht="14.25" customHeight="1">
      <c r="A272" s="34">
        <v>46492.0</v>
      </c>
      <c r="B272" s="41" t="s">
        <v>43</v>
      </c>
      <c r="C272" s="42">
        <v>132.4</v>
      </c>
      <c r="D272" s="43"/>
      <c r="E272" s="43"/>
      <c r="G272" s="54"/>
      <c r="H272" s="55"/>
    </row>
    <row r="273" ht="14.25" customHeight="1">
      <c r="A273" s="34">
        <v>46497.0</v>
      </c>
      <c r="B273" s="35" t="s">
        <v>36</v>
      </c>
      <c r="C273" s="36">
        <v>6350.0</v>
      </c>
      <c r="D273" s="43"/>
      <c r="E273" s="43"/>
      <c r="G273" s="54"/>
      <c r="H273" s="55"/>
    </row>
    <row r="274" ht="14.25" customHeight="1">
      <c r="A274" s="45">
        <v>46497.0</v>
      </c>
      <c r="B274" s="41" t="s">
        <v>56</v>
      </c>
      <c r="C274" s="36">
        <v>113.8</v>
      </c>
      <c r="D274" s="43"/>
      <c r="E274" s="43"/>
      <c r="G274" s="54"/>
      <c r="H274" s="55"/>
    </row>
    <row r="275" ht="14.25" customHeight="1">
      <c r="A275" s="45">
        <v>46507.0</v>
      </c>
      <c r="B275" s="43" t="s">
        <v>84</v>
      </c>
      <c r="C275" s="42">
        <v>530.0</v>
      </c>
      <c r="D275" s="43"/>
      <c r="E275" s="43"/>
      <c r="G275" s="54"/>
      <c r="H275" s="55"/>
    </row>
    <row r="276" ht="14.25" customHeight="1">
      <c r="A276" s="34">
        <v>46509.0</v>
      </c>
      <c r="B276" s="43" t="s">
        <v>67</v>
      </c>
      <c r="C276" s="36">
        <v>3452.5</v>
      </c>
      <c r="D276" s="43"/>
      <c r="E276" s="43"/>
      <c r="G276" s="54"/>
      <c r="H276" s="55"/>
    </row>
    <row r="277" ht="14.25" customHeight="1">
      <c r="A277" s="34">
        <v>46513.0</v>
      </c>
      <c r="B277" s="41" t="s">
        <v>81</v>
      </c>
      <c r="C277" s="42">
        <v>950.0</v>
      </c>
      <c r="D277" s="43"/>
      <c r="E277" s="43"/>
      <c r="G277" s="54"/>
      <c r="H277" s="55"/>
    </row>
    <row r="278" ht="14.25" customHeight="1">
      <c r="A278" s="45">
        <v>46514.0</v>
      </c>
      <c r="B278" s="41" t="s">
        <v>68</v>
      </c>
      <c r="C278" s="36">
        <v>110.0</v>
      </c>
      <c r="D278" s="43"/>
      <c r="E278" s="43"/>
      <c r="G278" s="54"/>
      <c r="H278" s="55"/>
    </row>
    <row r="279" ht="14.25" customHeight="1">
      <c r="A279" s="34">
        <v>46517.0</v>
      </c>
      <c r="B279" s="35" t="s">
        <v>62</v>
      </c>
      <c r="C279" s="42">
        <v>65.0</v>
      </c>
      <c r="D279" s="43"/>
      <c r="E279" s="43"/>
      <c r="G279" s="54"/>
      <c r="H279" s="55"/>
    </row>
    <row r="280" ht="14.25" customHeight="1">
      <c r="A280" s="34">
        <v>46518.0</v>
      </c>
      <c r="B280" s="43" t="s">
        <v>69</v>
      </c>
      <c r="C280" s="36">
        <v>98.88</v>
      </c>
      <c r="D280" s="43"/>
      <c r="E280" s="43"/>
      <c r="G280" s="54"/>
      <c r="H280" s="55"/>
    </row>
    <row r="281" ht="14.25" customHeight="1">
      <c r="A281" s="34">
        <v>46519.0</v>
      </c>
      <c r="B281" s="41" t="s">
        <v>39</v>
      </c>
      <c r="C281" s="36">
        <v>980.86</v>
      </c>
      <c r="D281" s="43"/>
      <c r="E281" s="43"/>
      <c r="G281" s="54"/>
      <c r="H281" s="55"/>
    </row>
    <row r="282" ht="14.25" customHeight="1">
      <c r="A282" s="34">
        <v>46522.0</v>
      </c>
      <c r="B282" s="41" t="s">
        <v>43</v>
      </c>
      <c r="C282" s="42">
        <v>132.4</v>
      </c>
      <c r="D282" s="43"/>
      <c r="E282" s="43"/>
      <c r="G282" s="54"/>
      <c r="H282" s="55"/>
    </row>
    <row r="283" ht="14.25" customHeight="1">
      <c r="A283" s="34">
        <v>46527.0</v>
      </c>
      <c r="B283" s="35" t="s">
        <v>36</v>
      </c>
      <c r="C283" s="36">
        <v>5372.0</v>
      </c>
      <c r="D283" s="43"/>
      <c r="E283" s="43"/>
      <c r="G283" s="54"/>
      <c r="H283" s="55"/>
    </row>
    <row r="284" ht="14.25" customHeight="1">
      <c r="A284" s="45">
        <v>46527.0</v>
      </c>
      <c r="B284" s="41" t="s">
        <v>56</v>
      </c>
      <c r="C284" s="42">
        <v>113.31</v>
      </c>
      <c r="D284" s="43"/>
      <c r="E284" s="43"/>
      <c r="G284" s="54"/>
      <c r="H284" s="55"/>
    </row>
    <row r="285" ht="14.25" customHeight="1">
      <c r="A285" s="60"/>
      <c r="B285" s="61"/>
      <c r="C285" s="62"/>
      <c r="G285" s="54"/>
      <c r="H285" s="55"/>
    </row>
    <row r="286" ht="14.25" customHeight="1">
      <c r="A286" s="60"/>
      <c r="B286" s="61"/>
      <c r="C286" s="62"/>
      <c r="G286" s="54"/>
      <c r="H286" s="55"/>
    </row>
    <row r="287" ht="14.25" customHeight="1">
      <c r="A287" s="60"/>
      <c r="B287" s="61"/>
      <c r="C287" s="62"/>
      <c r="G287" s="54"/>
      <c r="H287" s="55"/>
    </row>
    <row r="288" ht="14.25" customHeight="1">
      <c r="A288" s="60"/>
      <c r="B288" s="61"/>
      <c r="C288" s="62"/>
      <c r="G288" s="54"/>
      <c r="H288" s="55"/>
    </row>
    <row r="289" ht="14.25" customHeight="1">
      <c r="A289" s="60"/>
      <c r="B289" s="61"/>
      <c r="C289" s="62"/>
      <c r="G289" s="54"/>
      <c r="H289" s="55"/>
    </row>
    <row r="290" ht="14.25" customHeight="1">
      <c r="A290" s="60"/>
      <c r="B290" s="61"/>
      <c r="C290" s="62"/>
      <c r="G290" s="54"/>
      <c r="H290" s="55"/>
    </row>
    <row r="291" ht="14.25" customHeight="1">
      <c r="A291" s="60"/>
      <c r="B291" s="61"/>
      <c r="C291" s="62"/>
      <c r="G291" s="54"/>
      <c r="H291" s="55"/>
    </row>
    <row r="292" ht="14.25" customHeight="1">
      <c r="A292" s="60"/>
      <c r="B292" s="61"/>
      <c r="C292" s="62"/>
      <c r="G292" s="54"/>
      <c r="H292" s="55"/>
    </row>
    <row r="293" ht="14.25" customHeight="1">
      <c r="A293" s="60"/>
      <c r="B293" s="61"/>
      <c r="C293" s="62"/>
      <c r="G293" s="54"/>
      <c r="H293" s="55"/>
    </row>
    <row r="294" ht="14.25" customHeight="1">
      <c r="A294" s="60"/>
      <c r="B294" s="61"/>
      <c r="C294" s="62"/>
      <c r="G294" s="54"/>
      <c r="H294" s="55"/>
    </row>
    <row r="295" ht="14.25" customHeight="1">
      <c r="A295" s="60"/>
      <c r="B295" s="61"/>
      <c r="C295" s="62"/>
      <c r="G295" s="54"/>
      <c r="H295" s="55"/>
    </row>
    <row r="296" ht="14.25" customHeight="1">
      <c r="A296" s="60"/>
      <c r="B296" s="61"/>
      <c r="C296" s="62"/>
      <c r="G296" s="54"/>
      <c r="H296" s="55"/>
    </row>
    <row r="297" ht="14.25" customHeight="1">
      <c r="A297" s="60"/>
      <c r="B297" s="61"/>
      <c r="C297" s="62"/>
      <c r="G297" s="54"/>
      <c r="H297" s="55"/>
    </row>
    <row r="298" ht="14.25" customHeight="1">
      <c r="A298" s="60"/>
      <c r="B298" s="61"/>
      <c r="C298" s="62"/>
      <c r="G298" s="54"/>
      <c r="H298" s="55"/>
    </row>
    <row r="299" ht="14.25" customHeight="1">
      <c r="A299" s="60"/>
      <c r="B299" s="61"/>
      <c r="C299" s="62"/>
      <c r="G299" s="54"/>
      <c r="H299" s="55"/>
    </row>
    <row r="300" ht="14.25" customHeight="1">
      <c r="A300" s="60"/>
      <c r="B300" s="61"/>
      <c r="C300" s="62"/>
      <c r="G300" s="54"/>
      <c r="H300" s="55"/>
    </row>
    <row r="301" ht="14.25" customHeight="1">
      <c r="A301" s="60"/>
      <c r="B301" s="61"/>
      <c r="C301" s="62"/>
      <c r="G301" s="54"/>
      <c r="H301" s="55"/>
    </row>
    <row r="302" ht="14.25" customHeight="1">
      <c r="A302" s="60"/>
      <c r="B302" s="61"/>
      <c r="C302" s="62"/>
      <c r="G302" s="54"/>
      <c r="H302" s="55"/>
    </row>
    <row r="303" ht="14.25" customHeight="1">
      <c r="A303" s="60"/>
      <c r="B303" s="61"/>
      <c r="C303" s="62"/>
      <c r="G303" s="54"/>
      <c r="H303" s="55"/>
    </row>
    <row r="304" ht="14.25" customHeight="1">
      <c r="A304" s="60"/>
      <c r="B304" s="61"/>
      <c r="C304" s="62"/>
      <c r="G304" s="54"/>
      <c r="H304" s="55"/>
    </row>
    <row r="305" ht="14.25" customHeight="1">
      <c r="A305" s="60"/>
      <c r="B305" s="61"/>
      <c r="C305" s="62"/>
      <c r="G305" s="54"/>
      <c r="H305" s="55"/>
    </row>
    <row r="306" ht="14.25" customHeight="1">
      <c r="A306" s="60"/>
      <c r="B306" s="61"/>
      <c r="C306" s="62"/>
      <c r="G306" s="54"/>
      <c r="H306" s="55"/>
    </row>
    <row r="307" ht="14.25" customHeight="1">
      <c r="A307" s="60"/>
      <c r="B307" s="61"/>
      <c r="C307" s="62"/>
      <c r="G307" s="54"/>
      <c r="H307" s="55"/>
    </row>
    <row r="308" ht="14.25" customHeight="1">
      <c r="A308" s="60"/>
      <c r="B308" s="61"/>
      <c r="C308" s="62"/>
      <c r="G308" s="54"/>
      <c r="H308" s="55"/>
    </row>
    <row r="309" ht="14.25" customHeight="1">
      <c r="A309" s="60"/>
      <c r="B309" s="61"/>
      <c r="C309" s="62"/>
      <c r="G309" s="54"/>
      <c r="H309" s="55"/>
    </row>
    <row r="310" ht="14.25" customHeight="1">
      <c r="A310" s="60"/>
      <c r="B310" s="61"/>
      <c r="C310" s="62"/>
      <c r="G310" s="54"/>
      <c r="H310" s="55"/>
    </row>
    <row r="311" ht="14.25" customHeight="1">
      <c r="A311" s="60"/>
      <c r="B311" s="61"/>
      <c r="C311" s="62"/>
      <c r="G311" s="54"/>
      <c r="H311" s="55"/>
    </row>
    <row r="312" ht="14.25" customHeight="1">
      <c r="A312" s="60"/>
      <c r="B312" s="61"/>
      <c r="C312" s="62"/>
      <c r="G312" s="54"/>
      <c r="H312" s="55"/>
    </row>
    <row r="313" ht="14.25" customHeight="1">
      <c r="A313" s="60"/>
      <c r="B313" s="61"/>
      <c r="C313" s="62"/>
      <c r="G313" s="54"/>
      <c r="H313" s="55"/>
    </row>
    <row r="314" ht="14.25" customHeight="1">
      <c r="A314" s="60"/>
      <c r="B314" s="61"/>
      <c r="C314" s="62"/>
      <c r="G314" s="54"/>
      <c r="H314" s="55"/>
    </row>
    <row r="315" ht="14.25" customHeight="1">
      <c r="A315" s="60"/>
      <c r="B315" s="61"/>
      <c r="C315" s="62"/>
      <c r="G315" s="54"/>
      <c r="H315" s="55"/>
    </row>
    <row r="316" ht="14.25" customHeight="1">
      <c r="A316" s="60"/>
      <c r="B316" s="61"/>
      <c r="C316" s="62"/>
      <c r="G316" s="54"/>
      <c r="H316" s="55"/>
    </row>
    <row r="317" ht="14.25" customHeight="1">
      <c r="A317" s="60"/>
      <c r="B317" s="61"/>
      <c r="C317" s="62"/>
      <c r="G317" s="54"/>
      <c r="H317" s="55"/>
    </row>
    <row r="318" ht="14.25" customHeight="1">
      <c r="A318" s="60"/>
      <c r="B318" s="61"/>
      <c r="C318" s="62"/>
      <c r="G318" s="54"/>
      <c r="H318" s="55"/>
    </row>
    <row r="319" ht="14.25" customHeight="1">
      <c r="A319" s="60"/>
      <c r="B319" s="61"/>
      <c r="C319" s="62"/>
      <c r="G319" s="54"/>
      <c r="H319" s="55"/>
    </row>
    <row r="320" ht="14.25" customHeight="1">
      <c r="A320" s="60"/>
      <c r="B320" s="61"/>
      <c r="C320" s="62"/>
      <c r="G320" s="54"/>
      <c r="H320" s="55"/>
    </row>
    <row r="321" ht="14.25" customHeight="1">
      <c r="A321" s="60"/>
      <c r="B321" s="61"/>
      <c r="C321" s="62"/>
      <c r="G321" s="54"/>
      <c r="H321" s="55"/>
    </row>
    <row r="322" ht="14.25" customHeight="1">
      <c r="A322" s="60"/>
      <c r="B322" s="61"/>
      <c r="C322" s="62"/>
      <c r="G322" s="54"/>
      <c r="H322" s="55"/>
    </row>
    <row r="323" ht="14.25" customHeight="1">
      <c r="A323" s="60"/>
      <c r="B323" s="61"/>
      <c r="C323" s="62"/>
      <c r="G323" s="54"/>
      <c r="H323" s="55"/>
    </row>
    <row r="324" ht="14.25" customHeight="1">
      <c r="A324" s="60"/>
      <c r="B324" s="61"/>
      <c r="C324" s="62"/>
      <c r="G324" s="54"/>
      <c r="H324" s="55"/>
    </row>
    <row r="325" ht="14.25" customHeight="1">
      <c r="A325" s="60"/>
      <c r="B325" s="61"/>
      <c r="C325" s="62"/>
      <c r="G325" s="54"/>
      <c r="H325" s="55"/>
    </row>
    <row r="326" ht="14.25" customHeight="1">
      <c r="A326" s="60"/>
      <c r="B326" s="61"/>
      <c r="C326" s="62"/>
      <c r="G326" s="54"/>
      <c r="H326" s="55"/>
    </row>
    <row r="327" ht="14.25" customHeight="1">
      <c r="A327" s="60"/>
      <c r="B327" s="61"/>
      <c r="C327" s="62"/>
      <c r="G327" s="54"/>
      <c r="H327" s="55"/>
    </row>
    <row r="328" ht="14.25" customHeight="1">
      <c r="A328" s="60"/>
      <c r="B328" s="61"/>
      <c r="C328" s="62"/>
      <c r="G328" s="54"/>
      <c r="H328" s="55"/>
    </row>
    <row r="329" ht="14.25" customHeight="1">
      <c r="A329" s="60"/>
      <c r="B329" s="61"/>
      <c r="C329" s="62"/>
      <c r="G329" s="54"/>
      <c r="H329" s="55"/>
    </row>
    <row r="330" ht="14.25" customHeight="1">
      <c r="A330" s="60"/>
      <c r="B330" s="61"/>
      <c r="C330" s="62"/>
      <c r="G330" s="54"/>
      <c r="H330" s="55"/>
    </row>
    <row r="331" ht="14.25" customHeight="1">
      <c r="A331" s="60"/>
      <c r="B331" s="61"/>
      <c r="C331" s="62"/>
      <c r="G331" s="54"/>
      <c r="H331" s="55"/>
    </row>
    <row r="332" ht="14.25" customHeight="1">
      <c r="A332" s="60"/>
      <c r="B332" s="61"/>
      <c r="C332" s="62"/>
      <c r="G332" s="54"/>
      <c r="H332" s="55"/>
    </row>
    <row r="333" ht="14.25" customHeight="1">
      <c r="A333" s="60"/>
      <c r="B333" s="61"/>
      <c r="C333" s="62"/>
      <c r="G333" s="54"/>
      <c r="H333" s="55"/>
    </row>
    <row r="334" ht="14.25" customHeight="1">
      <c r="A334" s="60"/>
      <c r="B334" s="61"/>
      <c r="C334" s="62"/>
      <c r="G334" s="54"/>
      <c r="H334" s="55"/>
    </row>
    <row r="335" ht="14.25" customHeight="1">
      <c r="A335" s="60"/>
      <c r="B335" s="61"/>
      <c r="C335" s="62"/>
      <c r="G335" s="54"/>
      <c r="H335" s="55"/>
    </row>
    <row r="336" ht="14.25" customHeight="1">
      <c r="A336" s="60"/>
      <c r="B336" s="61"/>
      <c r="C336" s="62"/>
      <c r="G336" s="54"/>
      <c r="H336" s="55"/>
    </row>
    <row r="337" ht="14.25" customHeight="1">
      <c r="A337" s="60"/>
      <c r="B337" s="61"/>
      <c r="C337" s="62"/>
      <c r="G337" s="54"/>
      <c r="H337" s="55"/>
    </row>
    <row r="338" ht="14.25" customHeight="1">
      <c r="A338" s="60"/>
      <c r="B338" s="61"/>
      <c r="C338" s="62"/>
      <c r="G338" s="54"/>
      <c r="H338" s="55"/>
    </row>
    <row r="339" ht="14.25" customHeight="1">
      <c r="A339" s="63"/>
      <c r="B339" s="64"/>
      <c r="C339" s="65"/>
      <c r="G339" s="54"/>
      <c r="H339" s="55"/>
    </row>
    <row r="340" ht="14.25" customHeight="1">
      <c r="A340" s="63"/>
      <c r="B340" s="64"/>
      <c r="C340" s="65"/>
      <c r="G340" s="54"/>
      <c r="H340" s="55"/>
    </row>
    <row r="341" ht="14.25" customHeight="1">
      <c r="A341" s="63"/>
      <c r="B341" s="64"/>
      <c r="C341" s="65"/>
      <c r="G341" s="54"/>
      <c r="H341" s="55"/>
    </row>
    <row r="342" ht="14.25" customHeight="1">
      <c r="A342" s="63"/>
      <c r="B342" s="64"/>
      <c r="C342" s="65"/>
      <c r="G342" s="54"/>
      <c r="H342" s="55"/>
    </row>
    <row r="343" ht="14.25" customHeight="1">
      <c r="A343" s="63"/>
      <c r="B343" s="64"/>
      <c r="C343" s="65"/>
      <c r="G343" s="54"/>
      <c r="H343" s="55"/>
    </row>
    <row r="344" ht="14.25" customHeight="1">
      <c r="A344" s="63"/>
      <c r="B344" s="64"/>
      <c r="C344" s="65"/>
      <c r="G344" s="54"/>
      <c r="H344" s="55"/>
    </row>
    <row r="345" ht="14.25" customHeight="1">
      <c r="A345" s="63"/>
      <c r="B345" s="64"/>
      <c r="C345" s="65"/>
      <c r="G345" s="54"/>
      <c r="H345" s="55"/>
    </row>
    <row r="346" ht="14.25" customHeight="1">
      <c r="A346" s="63"/>
      <c r="B346" s="64"/>
      <c r="C346" s="65"/>
      <c r="G346" s="54"/>
      <c r="H346" s="55"/>
    </row>
    <row r="347" ht="14.25" customHeight="1">
      <c r="A347" s="63"/>
      <c r="B347" s="64"/>
      <c r="C347" s="65"/>
      <c r="G347" s="54"/>
      <c r="H347" s="55"/>
    </row>
    <row r="348" ht="14.25" customHeight="1">
      <c r="A348" s="63"/>
      <c r="B348" s="64"/>
      <c r="C348" s="65"/>
      <c r="G348" s="54"/>
      <c r="H348" s="55"/>
    </row>
    <row r="349" ht="14.25" customHeight="1">
      <c r="A349" s="63"/>
      <c r="B349" s="64"/>
      <c r="C349" s="65"/>
      <c r="G349" s="54"/>
      <c r="H349" s="55"/>
    </row>
    <row r="350" ht="14.25" customHeight="1">
      <c r="A350" s="63"/>
      <c r="B350" s="64"/>
      <c r="C350" s="65"/>
      <c r="G350" s="54"/>
      <c r="H350" s="55"/>
    </row>
    <row r="351" ht="14.25" customHeight="1">
      <c r="A351" s="63"/>
      <c r="B351" s="64"/>
      <c r="C351" s="65"/>
      <c r="G351" s="54"/>
      <c r="H351" s="55"/>
    </row>
    <row r="352" ht="14.25" customHeight="1">
      <c r="A352" s="63"/>
      <c r="B352" s="64"/>
      <c r="C352" s="65"/>
      <c r="G352" s="54"/>
      <c r="H352" s="55"/>
    </row>
    <row r="353" ht="14.25" customHeight="1">
      <c r="A353" s="63"/>
      <c r="B353" s="64"/>
      <c r="C353" s="65"/>
      <c r="G353" s="54"/>
      <c r="H353" s="55"/>
    </row>
    <row r="354" ht="14.25" customHeight="1">
      <c r="A354" s="63"/>
      <c r="B354" s="64"/>
      <c r="C354" s="65"/>
      <c r="G354" s="54"/>
      <c r="H354" s="55"/>
    </row>
    <row r="355" ht="14.25" customHeight="1">
      <c r="A355" s="63"/>
      <c r="B355" s="64"/>
      <c r="C355" s="65"/>
      <c r="G355" s="54"/>
      <c r="H355" s="55"/>
    </row>
    <row r="356" ht="14.25" customHeight="1">
      <c r="A356" s="63"/>
      <c r="B356" s="64"/>
      <c r="C356" s="65"/>
      <c r="G356" s="54"/>
      <c r="H356" s="55"/>
    </row>
    <row r="357" ht="14.25" customHeight="1">
      <c r="A357" s="63"/>
      <c r="B357" s="64"/>
      <c r="C357" s="65"/>
      <c r="G357" s="54"/>
      <c r="H357" s="55"/>
    </row>
    <row r="358" ht="14.25" customHeight="1">
      <c r="A358" s="63"/>
      <c r="B358" s="64"/>
      <c r="C358" s="65"/>
      <c r="G358" s="54"/>
      <c r="H358" s="55"/>
    </row>
    <row r="359" ht="14.25" customHeight="1">
      <c r="A359" s="63"/>
      <c r="B359" s="64"/>
      <c r="C359" s="65"/>
      <c r="G359" s="54"/>
      <c r="H359" s="55"/>
    </row>
    <row r="360" ht="14.25" customHeight="1">
      <c r="A360" s="63"/>
      <c r="B360" s="64"/>
      <c r="C360" s="65"/>
      <c r="G360" s="54"/>
      <c r="H360" s="55"/>
    </row>
    <row r="361" ht="14.25" customHeight="1">
      <c r="A361" s="63"/>
      <c r="B361" s="64"/>
      <c r="C361" s="65"/>
      <c r="G361" s="54"/>
      <c r="H361" s="55"/>
    </row>
    <row r="362" ht="14.25" customHeight="1">
      <c r="A362" s="63"/>
      <c r="B362" s="64"/>
      <c r="C362" s="65"/>
      <c r="G362" s="54"/>
      <c r="H362" s="55"/>
    </row>
    <row r="363" ht="14.25" customHeight="1">
      <c r="A363" s="63"/>
      <c r="B363" s="64"/>
      <c r="C363" s="65"/>
      <c r="G363" s="54"/>
      <c r="H363" s="55"/>
    </row>
    <row r="364" ht="14.25" customHeight="1">
      <c r="A364" s="63"/>
      <c r="B364" s="64"/>
      <c r="C364" s="65"/>
      <c r="G364" s="54"/>
      <c r="H364" s="55"/>
    </row>
    <row r="365" ht="14.25" customHeight="1">
      <c r="A365" s="63"/>
      <c r="B365" s="64"/>
      <c r="C365" s="65"/>
      <c r="G365" s="54"/>
      <c r="H365" s="55"/>
    </row>
    <row r="366" ht="14.25" customHeight="1">
      <c r="A366" s="63"/>
      <c r="B366" s="64"/>
      <c r="C366" s="65"/>
      <c r="G366" s="54"/>
      <c r="H366" s="55"/>
    </row>
    <row r="367" ht="14.25" customHeight="1">
      <c r="A367" s="63"/>
      <c r="B367" s="64"/>
      <c r="C367" s="65"/>
      <c r="G367" s="54"/>
      <c r="H367" s="55"/>
    </row>
    <row r="368" ht="14.25" customHeight="1">
      <c r="A368" s="63"/>
      <c r="B368" s="64"/>
      <c r="C368" s="65"/>
      <c r="G368" s="54"/>
      <c r="H368" s="55"/>
    </row>
    <row r="369" ht="14.25" customHeight="1">
      <c r="A369" s="63"/>
      <c r="B369" s="64"/>
      <c r="C369" s="65"/>
      <c r="G369" s="54"/>
      <c r="H369" s="55"/>
    </row>
    <row r="370" ht="14.25" customHeight="1">
      <c r="A370" s="63"/>
      <c r="B370" s="64"/>
      <c r="C370" s="65"/>
      <c r="G370" s="54"/>
      <c r="H370" s="55"/>
    </row>
    <row r="371" ht="14.25" customHeight="1">
      <c r="A371" s="63"/>
      <c r="B371" s="64"/>
      <c r="C371" s="65"/>
      <c r="G371" s="54"/>
      <c r="H371" s="55"/>
    </row>
    <row r="372" ht="14.25" customHeight="1">
      <c r="A372" s="63"/>
      <c r="B372" s="64"/>
      <c r="C372" s="65"/>
      <c r="G372" s="54"/>
      <c r="H372" s="55"/>
    </row>
    <row r="373" ht="14.25" customHeight="1">
      <c r="A373" s="63"/>
      <c r="B373" s="64"/>
      <c r="C373" s="65"/>
      <c r="G373" s="54"/>
      <c r="H373" s="55"/>
    </row>
    <row r="374" ht="14.25" customHeight="1">
      <c r="A374" s="63"/>
      <c r="B374" s="64"/>
      <c r="C374" s="65"/>
      <c r="G374" s="54"/>
      <c r="H374" s="55"/>
    </row>
    <row r="375" ht="14.25" customHeight="1">
      <c r="A375" s="63"/>
      <c r="B375" s="64"/>
      <c r="C375" s="65"/>
      <c r="G375" s="54"/>
      <c r="H375" s="55"/>
    </row>
    <row r="376" ht="14.25" customHeight="1">
      <c r="A376" s="63"/>
      <c r="B376" s="64"/>
      <c r="C376" s="65"/>
      <c r="G376" s="54"/>
      <c r="H376" s="55"/>
    </row>
    <row r="377" ht="14.25" customHeight="1">
      <c r="A377" s="63"/>
      <c r="B377" s="64"/>
      <c r="C377" s="65"/>
      <c r="G377" s="54"/>
      <c r="H377" s="55"/>
    </row>
    <row r="378" ht="14.25" customHeight="1">
      <c r="A378" s="63"/>
      <c r="B378" s="64"/>
      <c r="C378" s="65"/>
      <c r="G378" s="54"/>
      <c r="H378" s="55"/>
    </row>
    <row r="379" ht="14.25" customHeight="1">
      <c r="A379" s="63"/>
      <c r="B379" s="64"/>
      <c r="C379" s="65"/>
      <c r="G379" s="54"/>
      <c r="H379" s="55"/>
    </row>
    <row r="380" ht="14.25" customHeight="1">
      <c r="A380" s="63"/>
      <c r="B380" s="64"/>
      <c r="C380" s="65"/>
      <c r="G380" s="54"/>
      <c r="H380" s="55"/>
    </row>
    <row r="381" ht="14.25" customHeight="1">
      <c r="A381" s="63"/>
      <c r="B381" s="64"/>
      <c r="C381" s="65"/>
      <c r="G381" s="54"/>
      <c r="H381" s="55"/>
    </row>
    <row r="382" ht="14.25" customHeight="1">
      <c r="A382" s="63"/>
      <c r="B382" s="64"/>
      <c r="C382" s="65"/>
      <c r="G382" s="54"/>
      <c r="H382" s="55"/>
    </row>
    <row r="383" ht="14.25" customHeight="1">
      <c r="A383" s="63"/>
      <c r="B383" s="64"/>
      <c r="C383" s="65"/>
      <c r="G383" s="54"/>
      <c r="H383" s="55"/>
    </row>
    <row r="384" ht="14.25" customHeight="1">
      <c r="A384" s="63"/>
      <c r="B384" s="64"/>
      <c r="C384" s="65"/>
      <c r="G384" s="54"/>
      <c r="H384" s="55"/>
    </row>
    <row r="385" ht="14.25" customHeight="1">
      <c r="A385" s="63"/>
      <c r="B385" s="64"/>
      <c r="C385" s="65"/>
      <c r="G385" s="54"/>
      <c r="H385" s="55"/>
    </row>
    <row r="386" ht="14.25" customHeight="1">
      <c r="A386" s="63"/>
      <c r="B386" s="64"/>
      <c r="C386" s="65"/>
      <c r="G386" s="54"/>
      <c r="H386" s="55"/>
    </row>
    <row r="387" ht="14.25" customHeight="1">
      <c r="A387" s="63"/>
      <c r="B387" s="64"/>
      <c r="C387" s="65"/>
      <c r="G387" s="54"/>
      <c r="H387" s="55"/>
    </row>
    <row r="388" ht="14.25" customHeight="1">
      <c r="A388" s="63"/>
      <c r="B388" s="64"/>
      <c r="C388" s="65"/>
      <c r="G388" s="54"/>
      <c r="H388" s="55"/>
    </row>
    <row r="389" ht="14.25" customHeight="1">
      <c r="A389" s="63"/>
      <c r="B389" s="64"/>
      <c r="C389" s="65"/>
      <c r="G389" s="54"/>
      <c r="H389" s="55"/>
    </row>
    <row r="390" ht="14.25" customHeight="1">
      <c r="A390" s="63"/>
      <c r="B390" s="64"/>
      <c r="C390" s="65"/>
      <c r="G390" s="54"/>
      <c r="H390" s="55"/>
    </row>
    <row r="391" ht="14.25" customHeight="1">
      <c r="A391" s="63"/>
      <c r="B391" s="64"/>
      <c r="C391" s="65"/>
      <c r="G391" s="54"/>
      <c r="H391" s="55"/>
    </row>
    <row r="392" ht="14.25" customHeight="1">
      <c r="A392" s="63"/>
      <c r="B392" s="64"/>
      <c r="C392" s="65"/>
      <c r="G392" s="54"/>
      <c r="H392" s="55"/>
    </row>
    <row r="393" ht="14.25" customHeight="1">
      <c r="A393" s="63"/>
      <c r="B393" s="64"/>
      <c r="C393" s="65"/>
      <c r="G393" s="54"/>
      <c r="H393" s="55"/>
    </row>
    <row r="394" ht="14.25" customHeight="1">
      <c r="A394" s="63"/>
      <c r="B394" s="64"/>
      <c r="C394" s="65"/>
      <c r="G394" s="54"/>
      <c r="H394" s="55"/>
    </row>
    <row r="395" ht="14.25" customHeight="1">
      <c r="A395" s="63"/>
      <c r="B395" s="64"/>
      <c r="C395" s="65"/>
      <c r="G395" s="54"/>
      <c r="H395" s="55"/>
    </row>
    <row r="396" ht="14.25" customHeight="1">
      <c r="A396" s="63"/>
      <c r="B396" s="64"/>
      <c r="C396" s="65"/>
      <c r="G396" s="54"/>
      <c r="H396" s="55"/>
    </row>
    <row r="397" ht="14.25" customHeight="1">
      <c r="A397" s="63"/>
      <c r="B397" s="64"/>
      <c r="C397" s="65"/>
      <c r="G397" s="54"/>
      <c r="H397" s="55"/>
    </row>
    <row r="398" ht="14.25" customHeight="1">
      <c r="A398" s="63"/>
      <c r="B398" s="64"/>
      <c r="C398" s="65"/>
      <c r="G398" s="54"/>
      <c r="H398" s="55"/>
    </row>
    <row r="399" ht="14.25" customHeight="1">
      <c r="A399" s="63"/>
      <c r="B399" s="64"/>
      <c r="C399" s="65"/>
      <c r="G399" s="54"/>
      <c r="H399" s="55"/>
    </row>
    <row r="400" ht="14.25" customHeight="1">
      <c r="A400" s="63"/>
      <c r="B400" s="64"/>
      <c r="C400" s="65"/>
      <c r="G400" s="54"/>
      <c r="H400" s="55"/>
    </row>
    <row r="401" ht="14.25" customHeight="1">
      <c r="A401" s="63"/>
      <c r="B401" s="64"/>
      <c r="C401" s="65"/>
      <c r="G401" s="54"/>
      <c r="H401" s="55"/>
    </row>
    <row r="402" ht="14.25" customHeight="1">
      <c r="A402" s="63"/>
      <c r="B402" s="64"/>
      <c r="C402" s="65"/>
      <c r="G402" s="54"/>
      <c r="H402" s="55"/>
    </row>
    <row r="403" ht="14.25" customHeight="1">
      <c r="A403" s="63"/>
      <c r="B403" s="64"/>
      <c r="C403" s="65"/>
      <c r="G403" s="54"/>
      <c r="H403" s="55"/>
    </row>
    <row r="404" ht="14.25" customHeight="1">
      <c r="A404" s="63"/>
      <c r="B404" s="64"/>
      <c r="C404" s="65"/>
      <c r="G404" s="54"/>
      <c r="H404" s="55"/>
    </row>
    <row r="405" ht="14.25" customHeight="1">
      <c r="A405" s="63"/>
      <c r="B405" s="64"/>
      <c r="C405" s="65"/>
      <c r="G405" s="54"/>
      <c r="H405" s="55"/>
    </row>
    <row r="406" ht="14.25" customHeight="1">
      <c r="A406" s="63"/>
      <c r="B406" s="64"/>
      <c r="C406" s="65"/>
      <c r="G406" s="54"/>
      <c r="H406" s="55"/>
    </row>
    <row r="407" ht="14.25" customHeight="1">
      <c r="A407" s="63"/>
      <c r="B407" s="64"/>
      <c r="C407" s="65"/>
      <c r="G407" s="54"/>
      <c r="H407" s="55"/>
    </row>
    <row r="408" ht="14.25" customHeight="1">
      <c r="A408" s="63"/>
      <c r="B408" s="64"/>
      <c r="C408" s="65"/>
      <c r="G408" s="54"/>
      <c r="H408" s="55"/>
    </row>
    <row r="409" ht="14.25" customHeight="1">
      <c r="A409" s="63"/>
      <c r="B409" s="64"/>
      <c r="C409" s="65"/>
      <c r="G409" s="54"/>
      <c r="H409" s="55"/>
    </row>
    <row r="410" ht="14.25" customHeight="1">
      <c r="A410" s="63"/>
      <c r="B410" s="64"/>
      <c r="C410" s="65"/>
      <c r="G410" s="54"/>
      <c r="H410" s="55"/>
    </row>
    <row r="411" ht="14.25" customHeight="1">
      <c r="A411" s="63"/>
      <c r="B411" s="64"/>
      <c r="C411" s="65"/>
      <c r="G411" s="54"/>
      <c r="H411" s="55"/>
    </row>
    <row r="412" ht="14.25" customHeight="1">
      <c r="A412" s="63"/>
      <c r="B412" s="64"/>
      <c r="C412" s="65"/>
      <c r="G412" s="54"/>
      <c r="H412" s="55"/>
    </row>
    <row r="413" ht="14.25" customHeight="1">
      <c r="A413" s="63"/>
      <c r="B413" s="64"/>
      <c r="C413" s="65"/>
      <c r="G413" s="54"/>
      <c r="H413" s="55"/>
    </row>
    <row r="414" ht="14.25" customHeight="1">
      <c r="A414" s="63"/>
      <c r="B414" s="64"/>
      <c r="C414" s="65"/>
      <c r="G414" s="54"/>
      <c r="H414" s="55"/>
    </row>
    <row r="415" ht="14.25" customHeight="1">
      <c r="A415" s="60"/>
      <c r="C415" s="32"/>
      <c r="G415" s="54"/>
      <c r="H415" s="55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</row>
  </sheetData>
  <autoFilter ref="$A$1:$E$284">
    <sortState ref="A1:E284">
      <sortCondition ref="E1:E284"/>
      <sortCondition ref="A1:A284"/>
      <sortCondition ref="B1:B284"/>
      <sortCondition ref="C1:C284"/>
      <sortCondition ref="D1:D284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107</v>
      </c>
      <c r="B1" s="21" t="s">
        <v>108</v>
      </c>
      <c r="C1" s="66" t="s">
        <v>21</v>
      </c>
      <c r="D1" s="66" t="s">
        <v>109</v>
      </c>
      <c r="E1" s="21" t="s">
        <v>110</v>
      </c>
      <c r="F1" s="21" t="s">
        <v>111</v>
      </c>
    </row>
    <row r="2" ht="14.25" customHeight="1">
      <c r="A2" s="67" t="s">
        <v>112</v>
      </c>
      <c r="B2" s="46" t="s">
        <v>46</v>
      </c>
      <c r="C2" s="68">
        <v>46146.0</v>
      </c>
      <c r="D2" s="68">
        <v>46147.0</v>
      </c>
      <c r="E2" s="26">
        <v>3122.53</v>
      </c>
      <c r="F2" s="69" t="s">
        <v>113</v>
      </c>
    </row>
    <row r="3" ht="14.25" customHeight="1">
      <c r="A3" s="67" t="s">
        <v>114</v>
      </c>
      <c r="B3" s="46" t="s">
        <v>115</v>
      </c>
      <c r="C3" s="68">
        <v>46146.0</v>
      </c>
      <c r="D3" s="68">
        <v>46147.0</v>
      </c>
      <c r="E3" s="26">
        <v>3119.0</v>
      </c>
      <c r="F3" s="69" t="s">
        <v>116</v>
      </c>
    </row>
    <row r="4" ht="14.25" customHeight="1">
      <c r="A4" s="67" t="s">
        <v>61</v>
      </c>
      <c r="B4" s="46" t="s">
        <v>117</v>
      </c>
      <c r="C4" s="68">
        <v>46148.0</v>
      </c>
      <c r="D4" s="68">
        <v>46148.0</v>
      </c>
      <c r="E4" s="26">
        <v>3000.0</v>
      </c>
      <c r="F4" s="69" t="s">
        <v>118</v>
      </c>
    </row>
    <row r="5" ht="14.25" customHeight="1">
      <c r="A5" s="67" t="s">
        <v>61</v>
      </c>
      <c r="B5" s="46" t="s">
        <v>40</v>
      </c>
      <c r="C5" s="68">
        <v>46148.0</v>
      </c>
      <c r="D5" s="68">
        <v>46148.0</v>
      </c>
      <c r="E5" s="26">
        <v>192.41</v>
      </c>
      <c r="F5" s="69" t="s">
        <v>113</v>
      </c>
    </row>
    <row r="6">
      <c r="A6" s="67" t="s">
        <v>54</v>
      </c>
      <c r="B6" s="22" t="s">
        <v>51</v>
      </c>
      <c r="C6" s="70">
        <v>46186.0</v>
      </c>
      <c r="D6" s="70">
        <v>46188.0</v>
      </c>
      <c r="E6" s="24">
        <v>4876.48</v>
      </c>
      <c r="F6" s="69" t="s">
        <v>113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119</v>
      </c>
      <c r="B1" s="21" t="s">
        <v>21</v>
      </c>
      <c r="C1" s="21" t="s">
        <v>109</v>
      </c>
      <c r="D1" s="21" t="s">
        <v>120</v>
      </c>
      <c r="E1" s="21" t="s">
        <v>111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121</v>
      </c>
    </row>
    <row r="3" ht="14.25" customHeight="1">
      <c r="A3" s="67" t="s">
        <v>55</v>
      </c>
      <c r="B3" s="25">
        <v>46057.0</v>
      </c>
      <c r="C3" s="25">
        <v>46057.0</v>
      </c>
      <c r="D3" s="72">
        <v>6630.64</v>
      </c>
      <c r="E3" s="73" t="s">
        <v>121</v>
      </c>
    </row>
    <row r="4" ht="14.25" customHeight="1">
      <c r="A4" s="67" t="s">
        <v>38</v>
      </c>
      <c r="B4" s="28">
        <v>46058.0</v>
      </c>
      <c r="C4" s="28">
        <v>46058.0</v>
      </c>
      <c r="D4" s="72">
        <v>10342.0</v>
      </c>
      <c r="E4" s="73" t="s">
        <v>121</v>
      </c>
    </row>
    <row r="5" ht="14.25" customHeight="1">
      <c r="A5" s="67" t="s">
        <v>50</v>
      </c>
      <c r="B5" s="28">
        <v>46058.0</v>
      </c>
      <c r="C5" s="28">
        <v>46058.0</v>
      </c>
      <c r="D5" s="72">
        <v>4124.75</v>
      </c>
      <c r="E5" s="73" t="s">
        <v>121</v>
      </c>
    </row>
    <row r="6" ht="14.25" customHeight="1">
      <c r="A6" s="67" t="s">
        <v>53</v>
      </c>
      <c r="B6" s="28">
        <v>46058.0</v>
      </c>
      <c r="C6" s="28">
        <v>46058.0</v>
      </c>
      <c r="D6" s="72">
        <v>5400.0</v>
      </c>
      <c r="E6" s="73" t="s">
        <v>121</v>
      </c>
    </row>
    <row r="7" ht="14.25" customHeight="1">
      <c r="A7" s="67" t="s">
        <v>42</v>
      </c>
      <c r="B7" s="28">
        <v>46059.0</v>
      </c>
      <c r="C7" s="28">
        <v>46059.0</v>
      </c>
      <c r="D7" s="72">
        <v>2063.11</v>
      </c>
      <c r="E7" s="73" t="s">
        <v>121</v>
      </c>
    </row>
    <row r="8" ht="14.25" customHeight="1">
      <c r="A8" s="67" t="s">
        <v>112</v>
      </c>
      <c r="B8" s="74">
        <v>46084.0</v>
      </c>
      <c r="C8" s="74">
        <v>46084.0</v>
      </c>
      <c r="D8" s="75">
        <v>3000.0</v>
      </c>
      <c r="E8" s="76" t="s">
        <v>122</v>
      </c>
    </row>
    <row r="9" ht="14.25" customHeight="1">
      <c r="A9" s="67" t="s">
        <v>114</v>
      </c>
      <c r="B9" s="74">
        <v>46085.0</v>
      </c>
      <c r="C9" s="74">
        <v>46085.0</v>
      </c>
      <c r="D9" s="75">
        <v>3000.0</v>
      </c>
      <c r="E9" s="76" t="s">
        <v>122</v>
      </c>
    </row>
    <row r="10" ht="14.25" customHeight="1">
      <c r="A10" s="67" t="s">
        <v>61</v>
      </c>
      <c r="B10" s="74">
        <v>46087.0</v>
      </c>
      <c r="C10" s="74">
        <v>46087.0</v>
      </c>
      <c r="D10" s="75">
        <v>8587.0</v>
      </c>
      <c r="E10" s="77" t="s">
        <v>123</v>
      </c>
    </row>
    <row r="11" ht="14.25" customHeight="1">
      <c r="A11" s="67" t="s">
        <v>54</v>
      </c>
      <c r="B11" s="74">
        <v>46118.0</v>
      </c>
      <c r="C11" s="78">
        <v>46126.0</v>
      </c>
      <c r="D11" s="75">
        <v>5680.0</v>
      </c>
      <c r="E11" s="69" t="s">
        <v>116</v>
      </c>
    </row>
    <row r="12" ht="14.25" customHeight="1">
      <c r="A12" s="46" t="s">
        <v>57</v>
      </c>
      <c r="B12" s="27">
        <v>46146.0</v>
      </c>
      <c r="C12" s="27">
        <v>46146.0</v>
      </c>
      <c r="D12" s="26">
        <v>7536.72</v>
      </c>
      <c r="E12" s="69" t="s">
        <v>113</v>
      </c>
    </row>
    <row r="13" ht="14.25" customHeight="1">
      <c r="A13" s="46" t="s">
        <v>44</v>
      </c>
      <c r="B13" s="27">
        <v>46150.0</v>
      </c>
      <c r="C13" s="27">
        <v>46150.0</v>
      </c>
      <c r="D13" s="26">
        <v>2800.0</v>
      </c>
      <c r="E13" s="69" t="s">
        <v>113</v>
      </c>
    </row>
    <row r="14" ht="14.25" customHeight="1">
      <c r="A14" s="46" t="s">
        <v>124</v>
      </c>
      <c r="B14" s="27">
        <v>46150.0</v>
      </c>
      <c r="C14" s="27">
        <v>46150.0</v>
      </c>
      <c r="D14" s="26">
        <v>3000.0</v>
      </c>
      <c r="E14" s="69" t="s">
        <v>118</v>
      </c>
    </row>
    <row r="15" ht="14.25" customHeight="1">
      <c r="A15" s="46" t="s">
        <v>125</v>
      </c>
      <c r="B15" s="27">
        <v>46150.0</v>
      </c>
      <c r="C15" s="27">
        <v>46150.0</v>
      </c>
      <c r="D15" s="26">
        <v>3429.0</v>
      </c>
      <c r="E15" s="69" t="s">
        <v>116</v>
      </c>
    </row>
    <row r="16" ht="14.25" customHeight="1">
      <c r="A16" s="46" t="s">
        <v>59</v>
      </c>
      <c r="B16" s="27">
        <v>46174.0</v>
      </c>
      <c r="C16" s="27">
        <v>46174.0</v>
      </c>
      <c r="D16" s="26">
        <v>7561.0</v>
      </c>
      <c r="E16" s="69" t="s">
        <v>113</v>
      </c>
    </row>
    <row r="17" ht="14.25" customHeight="1">
      <c r="A17" s="46" t="s">
        <v>126</v>
      </c>
      <c r="B17" s="27">
        <v>46177.0</v>
      </c>
      <c r="C17" s="27">
        <v>46177.0</v>
      </c>
      <c r="D17" s="26">
        <v>5680.0</v>
      </c>
      <c r="E17" s="79" t="s">
        <v>127</v>
      </c>
    </row>
    <row r="18" ht="14.25" customHeight="1">
      <c r="A18" s="46" t="s">
        <v>128</v>
      </c>
      <c r="B18" s="27">
        <v>46181.0</v>
      </c>
      <c r="C18" s="27">
        <v>46181.0</v>
      </c>
      <c r="D18" s="26">
        <v>3800.0</v>
      </c>
      <c r="E18" s="79" t="s">
        <v>127</v>
      </c>
    </row>
    <row r="19" ht="14.25" customHeight="1">
      <c r="A19" s="80"/>
      <c r="B19" s="61"/>
      <c r="C19" s="54"/>
      <c r="D19" s="62"/>
      <c r="E19" s="81"/>
    </row>
    <row r="20" ht="14.25" customHeight="1">
      <c r="A20" s="80"/>
      <c r="B20" s="61"/>
      <c r="C20" s="54"/>
      <c r="D20" s="62"/>
      <c r="E20" s="81"/>
    </row>
    <row r="21" ht="14.25" customHeight="1">
      <c r="A21" s="80"/>
      <c r="B21" s="61"/>
      <c r="C21" s="54"/>
      <c r="D21" s="62"/>
      <c r="E21" s="81"/>
    </row>
    <row r="22" ht="14.25" customHeight="1">
      <c r="A22" s="80"/>
      <c r="B22" s="61"/>
      <c r="C22" s="54"/>
      <c r="D22" s="62"/>
      <c r="E22" s="81"/>
    </row>
    <row r="23" ht="14.25" customHeight="1">
      <c r="A23" s="80"/>
      <c r="B23" s="61"/>
      <c r="C23" s="54"/>
      <c r="D23" s="62"/>
      <c r="E23" s="81"/>
    </row>
    <row r="24" ht="14.25" customHeight="1">
      <c r="A24" s="80"/>
      <c r="B24" s="61"/>
      <c r="C24" s="54"/>
      <c r="D24" s="62"/>
      <c r="E24" s="81"/>
    </row>
    <row r="25" ht="14.25" customHeight="1">
      <c r="A25" s="80"/>
      <c r="B25" s="61"/>
      <c r="C25" s="54"/>
      <c r="D25" s="62"/>
      <c r="E25" s="81"/>
    </row>
    <row r="26" ht="14.25" customHeight="1">
      <c r="A26" s="80"/>
      <c r="B26" s="61"/>
      <c r="C26" s="54"/>
      <c r="D26" s="62"/>
      <c r="E26" s="81"/>
    </row>
    <row r="27" ht="14.25" customHeight="1">
      <c r="A27" s="80"/>
      <c r="B27" s="61"/>
      <c r="C27" s="54"/>
      <c r="D27" s="62"/>
      <c r="E27" s="81"/>
    </row>
    <row r="28" ht="14.25" customHeight="1">
      <c r="A28" s="80"/>
      <c r="B28" s="61"/>
      <c r="C28" s="54"/>
      <c r="D28" s="62"/>
      <c r="E28" s="81"/>
    </row>
    <row r="29" ht="14.25" customHeight="1">
      <c r="A29" s="80"/>
      <c r="B29" s="61"/>
      <c r="C29" s="54"/>
      <c r="D29" s="62"/>
      <c r="E29" s="81"/>
    </row>
    <row r="30" ht="14.25" customHeight="1">
      <c r="A30" s="80"/>
      <c r="B30" s="61"/>
      <c r="C30" s="54"/>
      <c r="D30" s="62"/>
      <c r="E30" s="81"/>
    </row>
    <row r="31" ht="14.25" customHeight="1">
      <c r="A31" s="80"/>
      <c r="B31" s="61"/>
      <c r="C31" s="54"/>
      <c r="D31" s="62"/>
      <c r="E31" s="81"/>
    </row>
    <row r="32" ht="14.25" customHeight="1">
      <c r="A32" s="80"/>
      <c r="B32" s="61"/>
      <c r="C32" s="54"/>
      <c r="D32" s="62"/>
      <c r="E32" s="81"/>
    </row>
    <row r="33" ht="14.25" customHeight="1">
      <c r="A33" s="80"/>
      <c r="B33" s="61"/>
      <c r="C33" s="54"/>
      <c r="D33" s="62"/>
      <c r="E33" s="81"/>
    </row>
    <row r="34" ht="14.25" customHeight="1">
      <c r="A34" s="80"/>
      <c r="B34" s="61"/>
      <c r="C34" s="54"/>
      <c r="D34" s="62"/>
      <c r="E34" s="81"/>
    </row>
    <row r="35" ht="14.25" customHeight="1">
      <c r="A35" s="80"/>
      <c r="B35" s="61"/>
      <c r="C35" s="54"/>
      <c r="D35" s="62"/>
      <c r="E35" s="81"/>
    </row>
    <row r="36" ht="14.25" customHeight="1">
      <c r="A36" s="80"/>
      <c r="B36" s="61"/>
      <c r="C36" s="54"/>
      <c r="D36" s="62"/>
      <c r="E36" s="81"/>
    </row>
    <row r="37" ht="14.25" customHeight="1">
      <c r="A37" s="80"/>
      <c r="B37" s="61"/>
      <c r="C37" s="54"/>
      <c r="D37" s="62"/>
      <c r="E37" s="81"/>
    </row>
    <row r="38" ht="14.25" customHeight="1">
      <c r="A38" s="80"/>
      <c r="B38" s="61"/>
      <c r="C38" s="54"/>
      <c r="D38" s="62"/>
      <c r="E38" s="81"/>
    </row>
    <row r="39" ht="14.25" customHeight="1">
      <c r="A39" s="80"/>
      <c r="B39" s="61"/>
      <c r="C39" s="54"/>
      <c r="D39" s="62"/>
      <c r="E39" s="81"/>
    </row>
    <row r="40" ht="14.25" customHeight="1">
      <c r="A40" s="80"/>
      <c r="B40" s="61"/>
      <c r="C40" s="54"/>
      <c r="D40" s="62"/>
      <c r="E40" s="81"/>
    </row>
    <row r="41" ht="14.25" customHeight="1">
      <c r="A41" s="80"/>
      <c r="B41" s="61"/>
      <c r="C41" s="54"/>
      <c r="D41" s="62"/>
      <c r="E41" s="81"/>
    </row>
    <row r="42" ht="14.25" customHeight="1">
      <c r="A42" s="80"/>
      <c r="B42" s="61"/>
      <c r="C42" s="54"/>
      <c r="D42" s="62"/>
      <c r="E42" s="81"/>
    </row>
    <row r="43" ht="14.25" customHeight="1">
      <c r="A43" s="80"/>
      <c r="B43" s="61"/>
      <c r="C43" s="54"/>
      <c r="D43" s="62"/>
      <c r="E43" s="81"/>
    </row>
    <row r="44" ht="14.25" customHeight="1">
      <c r="A44" s="80"/>
      <c r="B44" s="61"/>
      <c r="C44" s="54"/>
      <c r="D44" s="62"/>
      <c r="E44" s="81"/>
    </row>
    <row r="45" ht="14.25" customHeight="1">
      <c r="A45" s="80"/>
      <c r="B45" s="61"/>
      <c r="C45" s="54"/>
      <c r="D45" s="62"/>
      <c r="E45" s="81"/>
    </row>
    <row r="46" ht="14.25" customHeight="1">
      <c r="A46" s="80"/>
      <c r="B46" s="61"/>
      <c r="C46" s="54"/>
      <c r="D46" s="62"/>
      <c r="E46" s="81"/>
    </row>
    <row r="47" ht="14.25" customHeight="1">
      <c r="A47" s="80"/>
      <c r="B47" s="61"/>
      <c r="C47" s="54"/>
      <c r="D47" s="62"/>
      <c r="E47" s="81"/>
    </row>
    <row r="48" ht="14.25" customHeight="1">
      <c r="A48" s="80"/>
      <c r="B48" s="61"/>
      <c r="C48" s="54"/>
      <c r="D48" s="62"/>
      <c r="E48" s="81"/>
    </row>
    <row r="49" ht="14.25" customHeight="1">
      <c r="A49" s="80"/>
      <c r="B49" s="61"/>
      <c r="C49" s="54"/>
      <c r="D49" s="62"/>
      <c r="E49" s="81"/>
    </row>
    <row r="50" ht="14.25" customHeight="1">
      <c r="A50" s="80"/>
      <c r="B50" s="61"/>
      <c r="C50" s="54"/>
      <c r="D50" s="62"/>
      <c r="E50" s="81"/>
    </row>
    <row r="51" ht="14.25" customHeight="1">
      <c r="A51" s="80"/>
      <c r="B51" s="61"/>
      <c r="C51" s="54"/>
      <c r="D51" s="62"/>
      <c r="E51" s="81"/>
    </row>
    <row r="52" ht="14.25" customHeight="1">
      <c r="A52" s="80"/>
      <c r="B52" s="61"/>
      <c r="C52" s="54"/>
      <c r="D52" s="62"/>
      <c r="E52" s="81"/>
    </row>
    <row r="53" ht="14.25" customHeight="1">
      <c r="A53" s="80"/>
      <c r="B53" s="61"/>
      <c r="C53" s="54"/>
      <c r="D53" s="62"/>
      <c r="E53" s="81"/>
    </row>
    <row r="54" ht="14.25" customHeight="1">
      <c r="A54" s="80"/>
      <c r="B54" s="61"/>
      <c r="C54" s="54"/>
      <c r="D54" s="62"/>
      <c r="E54" s="81"/>
    </row>
    <row r="55" ht="14.25" customHeight="1">
      <c r="A55" s="80"/>
      <c r="B55" s="61"/>
      <c r="C55" s="54"/>
      <c r="D55" s="62"/>
      <c r="E55" s="81"/>
    </row>
    <row r="56" ht="14.25" customHeight="1">
      <c r="A56" s="80"/>
      <c r="B56" s="61"/>
      <c r="C56" s="54"/>
      <c r="D56" s="62"/>
      <c r="E56" s="81"/>
    </row>
    <row r="57" ht="14.25" customHeight="1">
      <c r="A57" s="80"/>
      <c r="B57" s="61"/>
      <c r="C57" s="54"/>
      <c r="D57" s="62"/>
      <c r="E57" s="81"/>
    </row>
    <row r="58" ht="14.25" customHeight="1">
      <c r="A58" s="80"/>
      <c r="B58" s="61"/>
      <c r="C58" s="54"/>
      <c r="D58" s="62"/>
      <c r="E58" s="81"/>
    </row>
    <row r="59" ht="14.25" customHeight="1">
      <c r="A59" s="80"/>
      <c r="B59" s="61"/>
      <c r="C59" s="54"/>
      <c r="D59" s="62"/>
      <c r="E59" s="81"/>
    </row>
    <row r="60" ht="14.25" customHeight="1">
      <c r="A60" s="80"/>
      <c r="B60" s="61"/>
      <c r="C60" s="54"/>
      <c r="D60" s="62"/>
      <c r="E60" s="81"/>
    </row>
    <row r="61" ht="14.25" customHeight="1">
      <c r="A61" s="80"/>
      <c r="B61" s="61"/>
      <c r="C61" s="54"/>
      <c r="D61" s="62"/>
      <c r="E61" s="81"/>
    </row>
    <row r="62" ht="14.25" customHeight="1">
      <c r="A62" s="80"/>
      <c r="B62" s="61"/>
      <c r="C62" s="54"/>
      <c r="D62" s="62"/>
      <c r="E62" s="81"/>
    </row>
    <row r="63" ht="14.25" customHeight="1">
      <c r="A63" s="80"/>
      <c r="B63" s="61"/>
      <c r="C63" s="54"/>
      <c r="D63" s="62"/>
      <c r="E63" s="81"/>
    </row>
    <row r="64" ht="14.25" customHeight="1">
      <c r="A64" s="80"/>
      <c r="B64" s="61"/>
      <c r="C64" s="54"/>
      <c r="D64" s="62"/>
      <c r="E64" s="81"/>
    </row>
    <row r="65" ht="14.25" customHeight="1">
      <c r="A65" s="80"/>
      <c r="B65" s="61"/>
      <c r="C65" s="54"/>
      <c r="D65" s="62"/>
      <c r="E65" s="81"/>
    </row>
    <row r="66" ht="14.25" customHeight="1">
      <c r="A66" s="80"/>
      <c r="B66" s="61"/>
      <c r="C66" s="54"/>
      <c r="D66" s="62"/>
      <c r="E66" s="81"/>
    </row>
    <row r="67" ht="14.25" customHeight="1">
      <c r="A67" s="80"/>
      <c r="B67" s="61"/>
      <c r="C67" s="54"/>
      <c r="D67" s="62"/>
      <c r="E67" s="81"/>
    </row>
    <row r="68" ht="14.25" customHeight="1">
      <c r="A68" s="80"/>
      <c r="B68" s="61"/>
      <c r="C68" s="54"/>
      <c r="D68" s="62"/>
      <c r="E68" s="81"/>
    </row>
    <row r="69" ht="14.25" customHeight="1">
      <c r="A69" s="80"/>
      <c r="B69" s="61"/>
      <c r="C69" s="54"/>
      <c r="D69" s="62"/>
      <c r="E69" s="81"/>
    </row>
    <row r="70" ht="14.25" customHeight="1">
      <c r="A70" s="80"/>
      <c r="B70" s="61"/>
      <c r="C70" s="54"/>
      <c r="D70" s="62"/>
      <c r="E70" s="81"/>
    </row>
    <row r="71" ht="14.25" customHeight="1">
      <c r="A71" s="80"/>
      <c r="B71" s="61"/>
      <c r="C71" s="54"/>
      <c r="D71" s="62"/>
      <c r="E71" s="81"/>
    </row>
    <row r="72" ht="14.25" customHeight="1">
      <c r="A72" s="80"/>
      <c r="B72" s="61"/>
      <c r="C72" s="54"/>
      <c r="D72" s="62"/>
      <c r="E72" s="81"/>
    </row>
    <row r="73" ht="14.25" customHeight="1">
      <c r="A73" s="80"/>
      <c r="B73" s="61"/>
      <c r="C73" s="54"/>
      <c r="D73" s="62"/>
      <c r="E73" s="81"/>
    </row>
    <row r="74" ht="14.25" customHeight="1">
      <c r="A74" s="80"/>
      <c r="B74" s="61"/>
      <c r="C74" s="54"/>
      <c r="D74" s="62"/>
      <c r="E74" s="81"/>
    </row>
    <row r="75" ht="14.25" customHeight="1">
      <c r="A75" s="80"/>
      <c r="B75" s="61"/>
      <c r="C75" s="54"/>
      <c r="D75" s="62"/>
      <c r="E75" s="81"/>
    </row>
    <row r="76" ht="14.25" customHeight="1">
      <c r="A76" s="80"/>
      <c r="B76" s="61"/>
      <c r="C76" s="54"/>
      <c r="D76" s="62"/>
      <c r="E76" s="81"/>
    </row>
    <row r="77" ht="14.25" customHeight="1">
      <c r="A77" s="80"/>
      <c r="B77" s="61"/>
      <c r="C77" s="54"/>
      <c r="D77" s="62"/>
      <c r="E77" s="81"/>
    </row>
    <row r="78" ht="14.25" customHeight="1">
      <c r="A78" s="80"/>
      <c r="B78" s="61"/>
      <c r="C78" s="54"/>
      <c r="D78" s="62"/>
      <c r="E78" s="81"/>
    </row>
    <row r="79" ht="14.25" customHeight="1">
      <c r="A79" s="80"/>
      <c r="B79" s="61"/>
      <c r="C79" s="54"/>
      <c r="D79" s="62"/>
      <c r="E79" s="81"/>
    </row>
    <row r="80" ht="14.25" customHeight="1">
      <c r="A80" s="80"/>
      <c r="B80" s="61"/>
      <c r="C80" s="54"/>
      <c r="D80" s="62"/>
      <c r="E80" s="81"/>
    </row>
    <row r="81" ht="14.25" customHeight="1">
      <c r="A81" s="80"/>
      <c r="B81" s="61"/>
      <c r="C81" s="54"/>
      <c r="D81" s="62"/>
      <c r="E81" s="81"/>
    </row>
    <row r="82" ht="14.25" customHeight="1">
      <c r="A82" s="80"/>
      <c r="B82" s="61"/>
      <c r="C82" s="54"/>
      <c r="D82" s="62"/>
      <c r="E82" s="81"/>
    </row>
    <row r="83" ht="14.25" customHeight="1">
      <c r="A83" s="80"/>
      <c r="B83" s="61"/>
      <c r="C83" s="54"/>
      <c r="D83" s="62"/>
      <c r="E83" s="81"/>
    </row>
    <row r="84" ht="14.25" customHeight="1">
      <c r="A84" s="80"/>
      <c r="B84" s="61"/>
      <c r="C84" s="54"/>
      <c r="D84" s="62"/>
      <c r="E84" s="81"/>
    </row>
    <row r="85" ht="14.25" customHeight="1">
      <c r="A85" s="80"/>
      <c r="B85" s="61"/>
      <c r="C85" s="54"/>
      <c r="D85" s="62"/>
      <c r="E85" s="81"/>
    </row>
    <row r="86" ht="14.25" customHeight="1">
      <c r="A86" s="80"/>
      <c r="B86" s="61"/>
      <c r="C86" s="54"/>
      <c r="D86" s="62"/>
      <c r="E86" s="81"/>
    </row>
    <row r="87" ht="14.25" customHeight="1">
      <c r="A87" s="80"/>
      <c r="B87" s="61"/>
      <c r="C87" s="54"/>
      <c r="D87" s="62"/>
      <c r="E87" s="81"/>
    </row>
    <row r="88" ht="14.25" customHeight="1">
      <c r="A88" s="80"/>
      <c r="B88" s="61"/>
      <c r="C88" s="54"/>
      <c r="D88" s="62"/>
      <c r="E88" s="81"/>
    </row>
    <row r="89" ht="14.25" customHeight="1">
      <c r="A89" s="80"/>
      <c r="B89" s="61"/>
      <c r="C89" s="54"/>
      <c r="D89" s="62"/>
      <c r="E89" s="81"/>
    </row>
    <row r="90" ht="14.25" customHeight="1">
      <c r="A90" s="80"/>
      <c r="B90" s="61"/>
      <c r="C90" s="54"/>
      <c r="D90" s="62"/>
      <c r="E90" s="81"/>
    </row>
    <row r="91" ht="14.25" customHeight="1">
      <c r="A91" s="80"/>
      <c r="B91" s="61"/>
      <c r="C91" s="54"/>
      <c r="D91" s="62"/>
      <c r="E91" s="81"/>
    </row>
    <row r="92" ht="14.25" customHeight="1">
      <c r="A92" s="80"/>
      <c r="B92" s="61"/>
      <c r="C92" s="54"/>
      <c r="D92" s="62"/>
      <c r="E92" s="81"/>
    </row>
    <row r="93" ht="14.25" customHeight="1">
      <c r="A93" s="80"/>
      <c r="B93" s="61"/>
      <c r="C93" s="54"/>
      <c r="D93" s="62"/>
      <c r="E93" s="81"/>
    </row>
    <row r="94" ht="14.25" customHeight="1">
      <c r="A94" s="80"/>
      <c r="B94" s="61"/>
      <c r="C94" s="54"/>
      <c r="D94" s="62"/>
      <c r="E94" s="81"/>
    </row>
    <row r="95" ht="14.25" customHeight="1">
      <c r="A95" s="80"/>
      <c r="B95" s="61"/>
      <c r="C95" s="54"/>
      <c r="D95" s="62"/>
      <c r="E95" s="81"/>
    </row>
    <row r="96" ht="14.25" customHeight="1">
      <c r="A96" s="80"/>
      <c r="B96" s="61"/>
      <c r="C96" s="54"/>
      <c r="D96" s="62"/>
      <c r="E96" s="81"/>
    </row>
    <row r="97" ht="14.25" customHeight="1">
      <c r="A97" s="80"/>
      <c r="B97" s="61"/>
      <c r="C97" s="54"/>
      <c r="D97" s="62"/>
      <c r="E97" s="81"/>
    </row>
    <row r="98" ht="14.25" customHeight="1">
      <c r="A98" s="80"/>
      <c r="B98" s="61"/>
      <c r="C98" s="54"/>
      <c r="D98" s="62"/>
      <c r="E98" s="81"/>
    </row>
    <row r="99" ht="14.25" customHeight="1">
      <c r="A99" s="80"/>
      <c r="B99" s="61"/>
      <c r="C99" s="54"/>
      <c r="D99" s="62"/>
      <c r="E99" s="81"/>
    </row>
    <row r="100" ht="14.25" customHeight="1">
      <c r="A100" s="80"/>
      <c r="B100" s="61"/>
      <c r="C100" s="54"/>
      <c r="D100" s="62"/>
      <c r="E100" s="81"/>
    </row>
    <row r="101" ht="14.25" customHeight="1">
      <c r="A101" s="80"/>
      <c r="B101" s="61"/>
      <c r="C101" s="54"/>
      <c r="D101" s="62"/>
      <c r="E101" s="81"/>
    </row>
    <row r="102" ht="14.25" customHeight="1">
      <c r="A102" s="80"/>
      <c r="B102" s="61"/>
      <c r="C102" s="54"/>
      <c r="D102" s="62"/>
      <c r="E102" s="81"/>
    </row>
    <row r="103" ht="14.25" customHeight="1">
      <c r="A103" s="80"/>
      <c r="B103" s="61"/>
      <c r="C103" s="54"/>
      <c r="D103" s="62"/>
      <c r="E103" s="81"/>
    </row>
    <row r="104" ht="14.25" customHeight="1">
      <c r="A104" s="80"/>
      <c r="B104" s="61"/>
      <c r="C104" s="54"/>
      <c r="D104" s="62"/>
      <c r="E104" s="81"/>
    </row>
    <row r="105" ht="14.25" customHeight="1">
      <c r="A105" s="80"/>
      <c r="B105" s="61"/>
      <c r="C105" s="54"/>
      <c r="D105" s="62"/>
      <c r="E105" s="81"/>
    </row>
    <row r="106" ht="14.25" customHeight="1">
      <c r="A106" s="80"/>
      <c r="B106" s="61"/>
      <c r="C106" s="54"/>
      <c r="D106" s="62"/>
      <c r="E106" s="81"/>
    </row>
    <row r="107" ht="14.25" customHeight="1">
      <c r="A107" s="80"/>
      <c r="B107" s="61"/>
      <c r="C107" s="54"/>
      <c r="D107" s="62"/>
      <c r="E107" s="81"/>
    </row>
    <row r="108" ht="14.25" customHeight="1">
      <c r="A108" s="80"/>
      <c r="B108" s="61"/>
      <c r="C108" s="54"/>
      <c r="D108" s="62"/>
      <c r="E108" s="81"/>
    </row>
    <row r="109" ht="14.25" customHeight="1">
      <c r="A109" s="80"/>
      <c r="B109" s="61"/>
      <c r="C109" s="54"/>
      <c r="D109" s="62"/>
      <c r="E109" s="81"/>
    </row>
    <row r="110" ht="14.25" customHeight="1">
      <c r="A110" s="80"/>
      <c r="B110" s="61"/>
      <c r="C110" s="54"/>
      <c r="D110" s="62"/>
      <c r="E110" s="81"/>
    </row>
    <row r="111" ht="14.25" customHeight="1">
      <c r="A111" s="80"/>
      <c r="B111" s="61"/>
      <c r="C111" s="54"/>
      <c r="D111" s="62"/>
      <c r="E111" s="81"/>
    </row>
    <row r="112" ht="14.25" customHeight="1">
      <c r="A112" s="80"/>
      <c r="B112" s="61"/>
      <c r="C112" s="54"/>
      <c r="D112" s="62"/>
      <c r="E112" s="81"/>
    </row>
    <row r="113" ht="14.25" customHeight="1">
      <c r="A113" s="80"/>
      <c r="B113" s="61"/>
      <c r="C113" s="54"/>
      <c r="D113" s="62"/>
      <c r="E113" s="81"/>
    </row>
    <row r="114" ht="14.25" customHeight="1">
      <c r="A114" s="80"/>
      <c r="B114" s="61"/>
      <c r="C114" s="54"/>
      <c r="D114" s="62"/>
      <c r="E114" s="81"/>
    </row>
    <row r="115" ht="14.25" customHeight="1">
      <c r="A115" s="80"/>
      <c r="B115" s="61"/>
      <c r="C115" s="54"/>
      <c r="D115" s="62"/>
      <c r="E115" s="81"/>
    </row>
    <row r="116" ht="14.25" customHeight="1">
      <c r="A116" s="80"/>
      <c r="B116" s="61"/>
      <c r="C116" s="54"/>
      <c r="D116" s="62"/>
      <c r="E116" s="81"/>
    </row>
    <row r="117" ht="14.25" customHeight="1">
      <c r="A117" s="80"/>
      <c r="B117" s="61"/>
      <c r="C117" s="54"/>
      <c r="D117" s="62"/>
      <c r="E117" s="81"/>
    </row>
    <row r="118" ht="14.25" customHeight="1">
      <c r="A118" s="80"/>
      <c r="B118" s="61"/>
      <c r="C118" s="54"/>
      <c r="D118" s="62"/>
      <c r="E118" s="81"/>
    </row>
    <row r="119" ht="14.25" customHeight="1">
      <c r="A119" s="80"/>
      <c r="B119" s="61"/>
      <c r="C119" s="54"/>
      <c r="D119" s="62"/>
      <c r="E119" s="81"/>
    </row>
    <row r="120" ht="14.25" customHeight="1">
      <c r="A120" s="80"/>
      <c r="B120" s="61"/>
      <c r="C120" s="54"/>
      <c r="D120" s="62"/>
      <c r="E120" s="81"/>
    </row>
    <row r="121" ht="14.25" customHeight="1">
      <c r="A121" s="80"/>
      <c r="B121" s="61"/>
      <c r="C121" s="54"/>
      <c r="D121" s="62"/>
      <c r="E121" s="81"/>
    </row>
    <row r="122" ht="14.25" customHeight="1">
      <c r="A122" s="80"/>
      <c r="B122" s="61"/>
      <c r="C122" s="54"/>
      <c r="D122" s="62"/>
      <c r="E122" s="81"/>
    </row>
    <row r="123" ht="14.25" customHeight="1">
      <c r="A123" s="80"/>
      <c r="B123" s="61"/>
      <c r="C123" s="54"/>
      <c r="D123" s="62"/>
      <c r="E123" s="81"/>
    </row>
    <row r="124" ht="14.25" customHeight="1">
      <c r="A124" s="80"/>
      <c r="B124" s="61"/>
      <c r="C124" s="54"/>
      <c r="D124" s="62"/>
      <c r="E124" s="81"/>
    </row>
    <row r="125" ht="14.25" customHeight="1">
      <c r="A125" s="80"/>
      <c r="B125" s="61"/>
      <c r="C125" s="54"/>
      <c r="D125" s="62"/>
      <c r="E125" s="81"/>
    </row>
    <row r="126" ht="14.25" customHeight="1">
      <c r="A126" s="80"/>
      <c r="B126" s="61"/>
      <c r="C126" s="54"/>
      <c r="D126" s="62"/>
      <c r="E126" s="81"/>
    </row>
    <row r="127" ht="14.25" customHeight="1">
      <c r="A127" s="80"/>
      <c r="B127" s="61"/>
      <c r="C127" s="54"/>
      <c r="D127" s="62"/>
      <c r="E127" s="81"/>
    </row>
    <row r="128" ht="14.25" customHeight="1">
      <c r="A128" s="80"/>
      <c r="B128" s="61"/>
      <c r="C128" s="54"/>
      <c r="D128" s="62"/>
      <c r="E128" s="81"/>
    </row>
    <row r="129" ht="14.25" customHeight="1">
      <c r="A129" s="80"/>
      <c r="B129" s="61"/>
      <c r="C129" s="54"/>
      <c r="D129" s="62"/>
      <c r="E129" s="81"/>
    </row>
    <row r="130" ht="14.25" customHeight="1">
      <c r="A130" s="80"/>
      <c r="B130" s="61"/>
      <c r="C130" s="54"/>
      <c r="D130" s="62"/>
      <c r="E130" s="81"/>
    </row>
    <row r="131" ht="14.25" customHeight="1">
      <c r="A131" s="80"/>
      <c r="B131" s="61"/>
      <c r="C131" s="54"/>
      <c r="D131" s="62"/>
      <c r="E131" s="81"/>
    </row>
    <row r="132" ht="14.25" customHeight="1">
      <c r="A132" s="80"/>
      <c r="B132" s="61"/>
      <c r="C132" s="54"/>
      <c r="D132" s="62"/>
      <c r="E132" s="81"/>
    </row>
    <row r="133" ht="14.25" customHeight="1">
      <c r="A133" s="80"/>
      <c r="B133" s="61"/>
      <c r="C133" s="54"/>
      <c r="D133" s="62"/>
      <c r="E133" s="81"/>
    </row>
    <row r="134" ht="14.25" customHeight="1">
      <c r="A134" s="80"/>
      <c r="B134" s="61"/>
      <c r="C134" s="54"/>
      <c r="D134" s="62"/>
      <c r="E134" s="81"/>
    </row>
    <row r="135" ht="14.25" customHeight="1">
      <c r="A135" s="80"/>
      <c r="B135" s="61"/>
      <c r="C135" s="54"/>
      <c r="D135" s="62"/>
      <c r="E135" s="81"/>
    </row>
    <row r="136" ht="14.25" customHeight="1">
      <c r="A136" s="80"/>
      <c r="B136" s="61"/>
      <c r="C136" s="54"/>
      <c r="D136" s="62"/>
      <c r="E136" s="81"/>
    </row>
    <row r="137" ht="14.25" customHeight="1">
      <c r="A137" s="80"/>
      <c r="B137" s="61"/>
      <c r="C137" s="54"/>
      <c r="D137" s="62"/>
      <c r="E137" s="81"/>
    </row>
    <row r="138" ht="14.25" customHeight="1">
      <c r="A138" s="80"/>
      <c r="B138" s="61"/>
      <c r="C138" s="54"/>
      <c r="D138" s="62"/>
      <c r="E138" s="81"/>
    </row>
    <row r="139" ht="14.25" customHeight="1">
      <c r="A139" s="80"/>
      <c r="B139" s="61"/>
      <c r="C139" s="54"/>
      <c r="D139" s="62"/>
      <c r="E139" s="81"/>
    </row>
    <row r="140" ht="14.25" customHeight="1">
      <c r="A140" s="80"/>
      <c r="B140" s="61"/>
      <c r="C140" s="54"/>
      <c r="D140" s="62"/>
      <c r="E140" s="81"/>
    </row>
    <row r="141" ht="14.25" customHeight="1">
      <c r="A141" s="80"/>
      <c r="B141" s="61"/>
      <c r="C141" s="54"/>
      <c r="D141" s="62"/>
      <c r="E141" s="81"/>
    </row>
    <row r="142" ht="14.25" customHeight="1">
      <c r="A142" s="80"/>
      <c r="B142" s="61"/>
      <c r="C142" s="54"/>
      <c r="D142" s="62"/>
      <c r="E142" s="81"/>
    </row>
    <row r="143" ht="14.25" customHeight="1">
      <c r="A143" s="80"/>
      <c r="B143" s="61"/>
      <c r="C143" s="54"/>
      <c r="D143" s="62"/>
      <c r="E143" s="81"/>
    </row>
    <row r="144" ht="14.25" customHeight="1">
      <c r="A144" s="80"/>
      <c r="B144" s="61"/>
      <c r="C144" s="54"/>
      <c r="D144" s="62"/>
      <c r="E144" s="81"/>
    </row>
    <row r="145" ht="14.25" customHeight="1">
      <c r="A145" s="80"/>
      <c r="B145" s="61"/>
      <c r="C145" s="54"/>
      <c r="D145" s="62"/>
      <c r="E145" s="81"/>
    </row>
    <row r="146" ht="14.25" customHeight="1">
      <c r="A146" s="80"/>
      <c r="B146" s="61"/>
      <c r="C146" s="54"/>
      <c r="D146" s="62"/>
      <c r="E146" s="81"/>
    </row>
    <row r="147" ht="14.25" customHeight="1">
      <c r="A147" s="80"/>
      <c r="B147" s="61"/>
      <c r="C147" s="54"/>
      <c r="D147" s="62"/>
      <c r="E147" s="81"/>
    </row>
    <row r="148" ht="14.25" customHeight="1">
      <c r="A148" s="80"/>
      <c r="B148" s="61"/>
      <c r="C148" s="54"/>
      <c r="D148" s="62"/>
      <c r="E148" s="81"/>
    </row>
    <row r="149" ht="14.25" customHeight="1">
      <c r="A149" s="80"/>
      <c r="B149" s="61"/>
      <c r="C149" s="54"/>
      <c r="D149" s="62"/>
      <c r="E149" s="81"/>
    </row>
    <row r="150" ht="14.25" customHeight="1">
      <c r="A150" s="80"/>
      <c r="B150" s="61"/>
      <c r="C150" s="54"/>
      <c r="D150" s="62"/>
      <c r="E150" s="81"/>
    </row>
    <row r="151" ht="14.25" customHeight="1">
      <c r="A151" s="80"/>
      <c r="B151" s="61"/>
      <c r="C151" s="54"/>
      <c r="D151" s="62"/>
      <c r="E151" s="81"/>
    </row>
    <row r="152" ht="14.25" customHeight="1">
      <c r="A152" s="80"/>
      <c r="B152" s="61"/>
      <c r="C152" s="54"/>
      <c r="D152" s="62"/>
      <c r="E152" s="81"/>
    </row>
    <row r="153" ht="14.25" customHeight="1">
      <c r="A153" s="80"/>
      <c r="B153" s="61"/>
      <c r="C153" s="54"/>
      <c r="D153" s="62"/>
      <c r="E153" s="81"/>
    </row>
    <row r="154" ht="14.25" customHeight="1">
      <c r="A154" s="80"/>
      <c r="B154" s="61"/>
      <c r="C154" s="54"/>
      <c r="D154" s="62"/>
      <c r="E154" s="81"/>
    </row>
    <row r="155" ht="14.25" customHeight="1">
      <c r="A155" s="80"/>
      <c r="B155" s="61"/>
      <c r="C155" s="54"/>
      <c r="D155" s="62"/>
      <c r="E155" s="81"/>
    </row>
    <row r="156" ht="14.25" customHeight="1">
      <c r="A156" s="80"/>
      <c r="B156" s="61"/>
      <c r="C156" s="54"/>
      <c r="D156" s="62"/>
      <c r="E156" s="81"/>
    </row>
    <row r="157" ht="14.25" customHeight="1">
      <c r="A157" s="80"/>
      <c r="B157" s="61"/>
      <c r="C157" s="54"/>
      <c r="D157" s="62"/>
      <c r="E157" s="81"/>
    </row>
    <row r="158" ht="14.25" customHeight="1">
      <c r="A158" s="80"/>
      <c r="B158" s="61"/>
      <c r="C158" s="54"/>
      <c r="D158" s="62"/>
      <c r="E158" s="81"/>
    </row>
    <row r="159" ht="14.25" customHeight="1">
      <c r="A159" s="80"/>
      <c r="B159" s="61"/>
      <c r="C159" s="54"/>
      <c r="D159" s="62"/>
      <c r="E159" s="81"/>
    </row>
    <row r="160" ht="14.25" customHeight="1">
      <c r="A160" s="80"/>
      <c r="B160" s="61"/>
      <c r="C160" s="54"/>
      <c r="D160" s="62"/>
      <c r="E160" s="81"/>
    </row>
    <row r="161" ht="14.25" customHeight="1">
      <c r="A161" s="80"/>
      <c r="B161" s="61"/>
      <c r="C161" s="54"/>
      <c r="D161" s="62"/>
      <c r="E161" s="81"/>
    </row>
    <row r="162" ht="14.25" customHeight="1">
      <c r="A162" s="80"/>
      <c r="B162" s="61"/>
      <c r="C162" s="54"/>
      <c r="D162" s="62"/>
      <c r="E162" s="81"/>
    </row>
    <row r="163" ht="14.25" customHeight="1">
      <c r="A163" s="80"/>
      <c r="B163" s="61"/>
      <c r="C163" s="54"/>
      <c r="D163" s="62"/>
      <c r="E163" s="81"/>
    </row>
    <row r="164" ht="14.25" customHeight="1">
      <c r="A164" s="80"/>
      <c r="B164" s="61"/>
      <c r="C164" s="54"/>
      <c r="D164" s="62"/>
      <c r="E164" s="81"/>
    </row>
    <row r="165" ht="14.25" customHeight="1">
      <c r="A165" s="80"/>
      <c r="B165" s="61"/>
      <c r="C165" s="54"/>
      <c r="D165" s="62"/>
      <c r="E165" s="81"/>
    </row>
    <row r="166" ht="14.25" customHeight="1">
      <c r="A166" s="80"/>
      <c r="B166" s="61"/>
      <c r="C166" s="54"/>
      <c r="D166" s="62"/>
      <c r="E166" s="81"/>
    </row>
    <row r="167" ht="14.25" customHeight="1">
      <c r="A167" s="80"/>
      <c r="B167" s="61"/>
      <c r="C167" s="54"/>
      <c r="D167" s="62"/>
      <c r="E167" s="81"/>
    </row>
    <row r="168" ht="14.25" customHeight="1">
      <c r="A168" s="80"/>
      <c r="B168" s="61"/>
      <c r="C168" s="54"/>
      <c r="D168" s="62"/>
      <c r="E168" s="81"/>
    </row>
    <row r="169" ht="14.25" customHeight="1">
      <c r="A169" s="80"/>
      <c r="B169" s="61"/>
      <c r="C169" s="54"/>
      <c r="D169" s="62"/>
      <c r="E169" s="81"/>
    </row>
    <row r="170" ht="14.25" customHeight="1">
      <c r="A170" s="80"/>
      <c r="B170" s="61"/>
      <c r="C170" s="54"/>
      <c r="D170" s="62"/>
      <c r="E170" s="81"/>
    </row>
    <row r="171" ht="14.25" customHeight="1">
      <c r="A171" s="80"/>
      <c r="B171" s="61"/>
      <c r="C171" s="54"/>
      <c r="D171" s="62"/>
      <c r="E171" s="81"/>
    </row>
    <row r="172" ht="14.25" customHeight="1">
      <c r="A172" s="80"/>
      <c r="B172" s="61"/>
      <c r="C172" s="54"/>
      <c r="D172" s="62"/>
      <c r="E172" s="81"/>
    </row>
    <row r="173" ht="14.25" customHeight="1">
      <c r="A173" s="80"/>
      <c r="B173" s="61"/>
      <c r="C173" s="54"/>
      <c r="D173" s="62"/>
      <c r="E173" s="81"/>
    </row>
    <row r="174" ht="14.25" customHeight="1">
      <c r="A174" s="80"/>
      <c r="B174" s="61"/>
      <c r="C174" s="54"/>
      <c r="D174" s="62"/>
      <c r="E174" s="81"/>
    </row>
    <row r="175" ht="14.25" customHeight="1">
      <c r="A175" s="80"/>
      <c r="B175" s="61"/>
      <c r="C175" s="54"/>
      <c r="D175" s="62"/>
      <c r="E175" s="81"/>
    </row>
    <row r="176" ht="14.25" customHeight="1">
      <c r="A176" s="80"/>
      <c r="B176" s="61"/>
      <c r="C176" s="54"/>
      <c r="D176" s="62"/>
      <c r="E176" s="81"/>
    </row>
    <row r="177" ht="14.25" customHeight="1">
      <c r="A177" s="80"/>
      <c r="B177" s="61"/>
      <c r="C177" s="54"/>
      <c r="D177" s="62"/>
      <c r="E177" s="81"/>
    </row>
    <row r="178" ht="14.25" customHeight="1">
      <c r="A178" s="80"/>
      <c r="B178" s="61"/>
      <c r="C178" s="54"/>
      <c r="D178" s="62"/>
      <c r="E178" s="81"/>
    </row>
    <row r="179" ht="14.25" customHeight="1">
      <c r="A179" s="80"/>
      <c r="B179" s="61"/>
      <c r="C179" s="54"/>
      <c r="D179" s="62"/>
      <c r="E179" s="81"/>
    </row>
    <row r="180" ht="14.25" customHeight="1">
      <c r="A180" s="80"/>
      <c r="B180" s="61"/>
      <c r="C180" s="54"/>
      <c r="D180" s="62"/>
      <c r="E180" s="81"/>
    </row>
    <row r="181" ht="14.25" customHeight="1">
      <c r="A181" s="80"/>
      <c r="B181" s="61"/>
      <c r="C181" s="54"/>
      <c r="D181" s="62"/>
      <c r="E181" s="81"/>
    </row>
    <row r="182" ht="14.25" customHeight="1">
      <c r="A182" s="80"/>
      <c r="B182" s="61"/>
      <c r="C182" s="54"/>
      <c r="D182" s="62"/>
      <c r="E182" s="81"/>
    </row>
    <row r="183" ht="14.25" customHeight="1">
      <c r="A183" s="80"/>
      <c r="B183" s="61"/>
      <c r="C183" s="54"/>
      <c r="D183" s="62"/>
      <c r="E183" s="81"/>
    </row>
    <row r="184" ht="14.25" customHeight="1">
      <c r="A184" s="80"/>
      <c r="B184" s="61"/>
      <c r="C184" s="54"/>
      <c r="D184" s="62"/>
      <c r="E184" s="81"/>
    </row>
    <row r="185" ht="14.25" customHeight="1">
      <c r="A185" s="80"/>
      <c r="B185" s="61"/>
      <c r="C185" s="54"/>
      <c r="D185" s="62"/>
      <c r="E185" s="81"/>
    </row>
    <row r="186" ht="14.25" customHeight="1">
      <c r="A186" s="80"/>
      <c r="B186" s="61"/>
      <c r="C186" s="54"/>
      <c r="D186" s="62"/>
      <c r="E186" s="81"/>
    </row>
    <row r="187" ht="14.25" customHeight="1">
      <c r="A187" s="80"/>
      <c r="B187" s="61"/>
      <c r="C187" s="54"/>
      <c r="D187" s="62"/>
      <c r="E187" s="81"/>
    </row>
    <row r="188" ht="14.25" customHeight="1">
      <c r="A188" s="80"/>
      <c r="B188" s="61"/>
      <c r="C188" s="54"/>
      <c r="D188" s="62"/>
      <c r="E188" s="81"/>
    </row>
    <row r="189" ht="14.25" customHeight="1">
      <c r="A189" s="80"/>
      <c r="B189" s="61"/>
      <c r="C189" s="54"/>
      <c r="D189" s="62"/>
      <c r="E189" s="81"/>
    </row>
    <row r="190" ht="14.25" customHeight="1">
      <c r="A190" s="80"/>
      <c r="B190" s="61"/>
      <c r="C190" s="54"/>
      <c r="D190" s="62"/>
      <c r="E190" s="81"/>
    </row>
    <row r="191" ht="14.25" customHeight="1">
      <c r="A191" s="80"/>
      <c r="B191" s="61"/>
      <c r="C191" s="54"/>
      <c r="D191" s="62"/>
      <c r="E191" s="81"/>
    </row>
    <row r="192" ht="14.25" customHeight="1">
      <c r="A192" s="80"/>
      <c r="B192" s="61"/>
      <c r="C192" s="54"/>
      <c r="D192" s="62"/>
      <c r="E192" s="81"/>
    </row>
    <row r="193" ht="14.25" customHeight="1">
      <c r="A193" s="80"/>
      <c r="B193" s="61"/>
      <c r="C193" s="54"/>
      <c r="D193" s="62"/>
      <c r="E193" s="81"/>
    </row>
    <row r="194" ht="14.25" customHeight="1">
      <c r="A194" s="80"/>
      <c r="B194" s="61"/>
      <c r="C194" s="54"/>
      <c r="D194" s="62"/>
      <c r="E194" s="81"/>
    </row>
    <row r="195" ht="14.25" customHeight="1">
      <c r="A195" s="80"/>
      <c r="B195" s="61"/>
      <c r="C195" s="54"/>
      <c r="D195" s="62"/>
      <c r="E195" s="81"/>
    </row>
    <row r="196" ht="14.25" customHeight="1">
      <c r="A196" s="80"/>
      <c r="B196" s="61"/>
      <c r="C196" s="54"/>
      <c r="D196" s="62"/>
      <c r="E196" s="81"/>
    </row>
    <row r="197" ht="14.25" customHeight="1">
      <c r="A197" s="80"/>
      <c r="B197" s="61"/>
      <c r="C197" s="54"/>
      <c r="D197" s="62"/>
      <c r="E197" s="81"/>
    </row>
    <row r="198" ht="14.25" customHeight="1">
      <c r="A198" s="80"/>
      <c r="B198" s="61"/>
      <c r="C198" s="54"/>
      <c r="D198" s="62"/>
      <c r="E198" s="81"/>
    </row>
    <row r="199" ht="14.25" customHeight="1">
      <c r="A199" s="80"/>
      <c r="B199" s="61"/>
      <c r="C199" s="54"/>
      <c r="D199" s="62"/>
      <c r="E199" s="81"/>
    </row>
    <row r="200" ht="14.25" customHeight="1">
      <c r="A200" s="80"/>
      <c r="B200" s="61"/>
      <c r="C200" s="54"/>
      <c r="D200" s="62"/>
      <c r="E200" s="81"/>
    </row>
    <row r="201" ht="14.25" customHeight="1">
      <c r="A201" s="80"/>
      <c r="B201" s="61"/>
      <c r="C201" s="54"/>
      <c r="D201" s="62"/>
      <c r="E201" s="81"/>
    </row>
    <row r="202" ht="14.25" customHeight="1">
      <c r="A202" s="80"/>
      <c r="B202" s="61"/>
      <c r="C202" s="54"/>
      <c r="D202" s="62"/>
      <c r="E202" s="81"/>
    </row>
    <row r="203" ht="14.25" customHeight="1">
      <c r="A203" s="80"/>
      <c r="B203" s="61"/>
      <c r="C203" s="54"/>
      <c r="D203" s="62"/>
      <c r="E203" s="81"/>
    </row>
    <row r="204" ht="14.25" customHeight="1">
      <c r="A204" s="80"/>
      <c r="B204" s="61"/>
      <c r="C204" s="54"/>
      <c r="D204" s="62"/>
      <c r="E204" s="81"/>
    </row>
    <row r="205" ht="14.25" customHeight="1">
      <c r="A205" s="80"/>
      <c r="B205" s="61"/>
      <c r="C205" s="54"/>
      <c r="D205" s="62"/>
      <c r="E205" s="81"/>
    </row>
    <row r="206" ht="14.25" customHeight="1">
      <c r="A206" s="80"/>
      <c r="B206" s="61"/>
      <c r="C206" s="54"/>
      <c r="D206" s="62"/>
      <c r="E206" s="81"/>
    </row>
    <row r="207" ht="14.25" customHeight="1">
      <c r="A207" s="80"/>
      <c r="B207" s="61"/>
      <c r="C207" s="54"/>
      <c r="D207" s="62"/>
      <c r="E207" s="81"/>
    </row>
    <row r="208" ht="14.25" customHeight="1">
      <c r="A208" s="80"/>
      <c r="B208" s="61"/>
      <c r="C208" s="54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129</v>
      </c>
      <c r="C1" s="83" t="s">
        <v>130</v>
      </c>
      <c r="D1" s="83" t="s">
        <v>131</v>
      </c>
      <c r="E1" s="83" t="s">
        <v>132</v>
      </c>
      <c r="F1" s="83" t="s">
        <v>133</v>
      </c>
      <c r="G1" s="83" t="s">
        <v>134</v>
      </c>
      <c r="H1" s="83" t="s">
        <v>135</v>
      </c>
      <c r="I1" s="83" t="s">
        <v>136</v>
      </c>
      <c r="J1" s="83" t="s">
        <v>137</v>
      </c>
      <c r="K1" s="83" t="s">
        <v>138</v>
      </c>
      <c r="L1" s="83" t="s">
        <v>139</v>
      </c>
      <c r="M1" s="83" t="s">
        <v>140</v>
      </c>
      <c r="N1" s="83" t="s">
        <v>141</v>
      </c>
      <c r="O1" s="83" t="s">
        <v>142</v>
      </c>
      <c r="P1" s="83" t="s">
        <v>143</v>
      </c>
      <c r="Q1" s="83" t="s">
        <v>144</v>
      </c>
      <c r="R1" s="83" t="s">
        <v>145</v>
      </c>
      <c r="S1" s="83" t="s">
        <v>146</v>
      </c>
      <c r="T1" s="83" t="s">
        <v>147</v>
      </c>
      <c r="U1" s="83" t="s">
        <v>148</v>
      </c>
      <c r="V1" s="83" t="s">
        <v>149</v>
      </c>
      <c r="W1" s="83" t="s">
        <v>150</v>
      </c>
      <c r="X1" s="83" t="s">
        <v>151</v>
      </c>
      <c r="Y1" s="83" t="s">
        <v>152</v>
      </c>
      <c r="Z1" s="83" t="s">
        <v>153</v>
      </c>
      <c r="AA1" s="83" t="s">
        <v>154</v>
      </c>
      <c r="AB1" s="83" t="s">
        <v>155</v>
      </c>
      <c r="AC1" s="83" t="s">
        <v>156</v>
      </c>
      <c r="AD1" s="83" t="s">
        <v>157</v>
      </c>
      <c r="AE1" s="83" t="s">
        <v>158</v>
      </c>
      <c r="AF1" s="83" t="s">
        <v>159</v>
      </c>
      <c r="AG1" s="83" t="s">
        <v>160</v>
      </c>
      <c r="AH1" s="84" t="s">
        <v>161</v>
      </c>
      <c r="AI1" s="84" t="s">
        <v>162</v>
      </c>
      <c r="AJ1" s="84" t="s">
        <v>163</v>
      </c>
      <c r="AK1" s="83" t="s">
        <v>164</v>
      </c>
      <c r="AL1" s="84" t="s">
        <v>165</v>
      </c>
      <c r="AM1" s="85" t="s">
        <v>166</v>
      </c>
      <c r="AN1" s="85" t="s">
        <v>167</v>
      </c>
      <c r="AO1" s="85" t="s">
        <v>168</v>
      </c>
      <c r="AP1" s="85" t="s">
        <v>169</v>
      </c>
      <c r="AQ1" s="85" t="s">
        <v>170</v>
      </c>
      <c r="AR1" s="85" t="s">
        <v>171</v>
      </c>
      <c r="AS1" s="85" t="s">
        <v>172</v>
      </c>
      <c r="AT1" s="85" t="s">
        <v>173</v>
      </c>
      <c r="AU1" s="84" t="s">
        <v>174</v>
      </c>
      <c r="AV1" s="85" t="s">
        <v>175</v>
      </c>
      <c r="AW1" s="84" t="s">
        <v>176</v>
      </c>
      <c r="AX1" s="84" t="s">
        <v>177</v>
      </c>
      <c r="AY1" s="83" t="s">
        <v>178</v>
      </c>
    </row>
    <row r="2">
      <c r="A2" s="79" t="s">
        <v>179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180</v>
      </c>
      <c r="H2" s="86" t="s">
        <v>181</v>
      </c>
      <c r="I2" s="87"/>
      <c r="J2" s="79" t="s">
        <v>182</v>
      </c>
      <c r="K2" s="79" t="s">
        <v>183</v>
      </c>
      <c r="L2" s="88"/>
      <c r="M2" s="88"/>
      <c r="N2" s="87"/>
      <c r="O2" s="87"/>
      <c r="P2" s="79" t="s">
        <v>180</v>
      </c>
      <c r="Q2" s="79" t="s">
        <v>184</v>
      </c>
      <c r="R2" s="79" t="s">
        <v>180</v>
      </c>
      <c r="S2" s="79" t="s">
        <v>185</v>
      </c>
      <c r="T2" s="79" t="s">
        <v>186</v>
      </c>
      <c r="U2" s="89"/>
      <c r="V2" s="79" t="s">
        <v>187</v>
      </c>
      <c r="W2" s="89"/>
      <c r="X2" s="90" t="s">
        <v>188</v>
      </c>
      <c r="Y2" s="91" t="s">
        <v>189</v>
      </c>
      <c r="Z2" s="90" t="s">
        <v>190</v>
      </c>
      <c r="AA2" s="92" t="s">
        <v>182</v>
      </c>
      <c r="AB2" s="92" t="s">
        <v>191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192</v>
      </c>
      <c r="AQ2" s="92" t="s">
        <v>193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194</v>
      </c>
      <c r="AY2" s="79" t="s">
        <v>195</v>
      </c>
    </row>
    <row r="3">
      <c r="A3" s="79" t="s">
        <v>196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180</v>
      </c>
      <c r="H3" s="86" t="s">
        <v>181</v>
      </c>
      <c r="I3" s="87"/>
      <c r="J3" s="79" t="s">
        <v>182</v>
      </c>
      <c r="K3" s="79" t="s">
        <v>183</v>
      </c>
      <c r="L3" s="88"/>
      <c r="M3" s="88"/>
      <c r="N3" s="87"/>
      <c r="O3" s="87"/>
      <c r="P3" s="79" t="s">
        <v>180</v>
      </c>
      <c r="Q3" s="79" t="s">
        <v>184</v>
      </c>
      <c r="R3" s="79" t="s">
        <v>180</v>
      </c>
      <c r="S3" s="79" t="s">
        <v>197</v>
      </c>
      <c r="T3" s="79" t="s">
        <v>198</v>
      </c>
      <c r="U3" s="89"/>
      <c r="V3" s="79" t="s">
        <v>187</v>
      </c>
      <c r="W3" s="89"/>
      <c r="X3" s="95" t="s">
        <v>199</v>
      </c>
      <c r="Y3" s="91" t="s">
        <v>189</v>
      </c>
      <c r="Z3" s="95" t="s">
        <v>190</v>
      </c>
      <c r="AA3" s="92" t="s">
        <v>182</v>
      </c>
      <c r="AB3" s="92" t="s">
        <v>191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192</v>
      </c>
      <c r="AQ3" s="92" t="s">
        <v>193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194</v>
      </c>
      <c r="AY3" s="79" t="s">
        <v>195</v>
      </c>
    </row>
    <row r="4">
      <c r="A4" s="79" t="s">
        <v>200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180</v>
      </c>
      <c r="H4" s="86" t="s">
        <v>181</v>
      </c>
      <c r="I4" s="87"/>
      <c r="J4" s="79" t="s">
        <v>182</v>
      </c>
      <c r="K4" s="79" t="s">
        <v>183</v>
      </c>
      <c r="L4" s="88"/>
      <c r="M4" s="88"/>
      <c r="N4" s="87"/>
      <c r="O4" s="87"/>
      <c r="P4" s="79" t="s">
        <v>180</v>
      </c>
      <c r="Q4" s="79" t="s">
        <v>184</v>
      </c>
      <c r="R4" s="79" t="s">
        <v>180</v>
      </c>
      <c r="S4" s="79" t="s">
        <v>201</v>
      </c>
      <c r="T4" s="79" t="s">
        <v>198</v>
      </c>
      <c r="U4" s="89"/>
      <c r="V4" s="79" t="s">
        <v>187</v>
      </c>
      <c r="W4" s="89"/>
      <c r="X4" s="95" t="s">
        <v>199</v>
      </c>
      <c r="Y4" s="91" t="s">
        <v>189</v>
      </c>
      <c r="Z4" s="95" t="s">
        <v>190</v>
      </c>
      <c r="AA4" s="92" t="s">
        <v>182</v>
      </c>
      <c r="AB4" s="92" t="s">
        <v>191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192</v>
      </c>
      <c r="AQ4" s="92" t="s">
        <v>193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194</v>
      </c>
      <c r="AY4" s="79" t="s">
        <v>195</v>
      </c>
    </row>
    <row r="5">
      <c r="A5" s="79" t="s">
        <v>202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180</v>
      </c>
      <c r="H5" s="86" t="s">
        <v>181</v>
      </c>
      <c r="I5" s="87"/>
      <c r="J5" s="79" t="s">
        <v>182</v>
      </c>
      <c r="K5" s="79" t="s">
        <v>183</v>
      </c>
      <c r="L5" s="88"/>
      <c r="M5" s="88"/>
      <c r="N5" s="87"/>
      <c r="O5" s="87"/>
      <c r="P5" s="79" t="s">
        <v>180</v>
      </c>
      <c r="Q5" s="79" t="s">
        <v>184</v>
      </c>
      <c r="R5" s="79" t="s">
        <v>180</v>
      </c>
      <c r="S5" s="79" t="s">
        <v>203</v>
      </c>
      <c r="T5" s="79" t="s">
        <v>198</v>
      </c>
      <c r="U5" s="89"/>
      <c r="V5" s="79" t="s">
        <v>187</v>
      </c>
      <c r="W5" s="89"/>
      <c r="X5" s="95" t="s">
        <v>199</v>
      </c>
      <c r="Y5" s="91" t="s">
        <v>189</v>
      </c>
      <c r="Z5" s="95" t="s">
        <v>190</v>
      </c>
      <c r="AA5" s="92" t="s">
        <v>182</v>
      </c>
      <c r="AB5" s="92" t="s">
        <v>191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192</v>
      </c>
      <c r="AQ5" s="92" t="s">
        <v>193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194</v>
      </c>
      <c r="AY5" s="79" t="s">
        <v>195</v>
      </c>
    </row>
    <row r="6">
      <c r="A6" s="79" t="s">
        <v>204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180</v>
      </c>
      <c r="H6" s="86" t="s">
        <v>205</v>
      </c>
      <c r="I6" s="87"/>
      <c r="J6" s="79" t="s">
        <v>182</v>
      </c>
      <c r="K6" s="79" t="s">
        <v>206</v>
      </c>
      <c r="L6" s="88"/>
      <c r="M6" s="88"/>
      <c r="N6" s="87"/>
      <c r="O6" s="87"/>
      <c r="P6" s="79" t="s">
        <v>180</v>
      </c>
      <c r="Q6" s="79" t="s">
        <v>207</v>
      </c>
      <c r="R6" s="79" t="s">
        <v>180</v>
      </c>
      <c r="S6" s="79" t="s">
        <v>208</v>
      </c>
      <c r="T6" s="79" t="s">
        <v>209</v>
      </c>
      <c r="U6" s="89"/>
      <c r="V6" s="79" t="s">
        <v>210</v>
      </c>
      <c r="W6" s="89"/>
      <c r="X6" s="90" t="s">
        <v>188</v>
      </c>
      <c r="Y6" s="91" t="s">
        <v>189</v>
      </c>
      <c r="Z6" s="90" t="s">
        <v>190</v>
      </c>
      <c r="AA6" s="92" t="s">
        <v>182</v>
      </c>
      <c r="AB6" s="92" t="s">
        <v>211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212</v>
      </c>
      <c r="AQ6" s="92" t="s">
        <v>213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214</v>
      </c>
      <c r="AY6" s="79" t="s">
        <v>215</v>
      </c>
    </row>
    <row r="7">
      <c r="A7" s="79" t="s">
        <v>216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180</v>
      </c>
      <c r="H7" s="86" t="s">
        <v>217</v>
      </c>
      <c r="I7" s="87"/>
      <c r="J7" s="79" t="s">
        <v>182</v>
      </c>
      <c r="K7" s="79" t="s">
        <v>218</v>
      </c>
      <c r="L7" s="88"/>
      <c r="M7" s="88"/>
      <c r="N7" s="87"/>
      <c r="O7" s="87"/>
      <c r="P7" s="79" t="s">
        <v>180</v>
      </c>
      <c r="Q7" s="79" t="s">
        <v>207</v>
      </c>
      <c r="R7" s="79" t="s">
        <v>180</v>
      </c>
      <c r="S7" s="79" t="s">
        <v>219</v>
      </c>
      <c r="T7" s="79" t="s">
        <v>220</v>
      </c>
      <c r="U7" s="89"/>
      <c r="V7" s="79" t="s">
        <v>221</v>
      </c>
      <c r="W7" s="89"/>
      <c r="X7" s="90" t="s">
        <v>188</v>
      </c>
      <c r="Y7" s="91" t="s">
        <v>189</v>
      </c>
      <c r="Z7" s="90" t="s">
        <v>190</v>
      </c>
      <c r="AA7" s="92" t="s">
        <v>182</v>
      </c>
      <c r="AB7" s="92" t="s">
        <v>191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192</v>
      </c>
      <c r="AQ7" s="92" t="s">
        <v>193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214</v>
      </c>
      <c r="AY7" s="79" t="s">
        <v>195</v>
      </c>
    </row>
    <row r="8">
      <c r="A8" s="79" t="s">
        <v>222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182</v>
      </c>
      <c r="H8" s="86" t="s">
        <v>217</v>
      </c>
      <c r="I8" s="87"/>
      <c r="J8" s="79" t="s">
        <v>182</v>
      </c>
      <c r="K8" s="79" t="s">
        <v>223</v>
      </c>
      <c r="L8" s="88"/>
      <c r="M8" s="88"/>
      <c r="N8" s="87"/>
      <c r="O8" s="87"/>
      <c r="P8" s="79" t="s">
        <v>180</v>
      </c>
      <c r="Q8" s="79" t="s">
        <v>224</v>
      </c>
      <c r="R8" s="79" t="s">
        <v>182</v>
      </c>
      <c r="S8" s="79" t="s">
        <v>225</v>
      </c>
      <c r="T8" s="79" t="s">
        <v>226</v>
      </c>
      <c r="U8" s="89"/>
      <c r="V8" s="79" t="s">
        <v>221</v>
      </c>
      <c r="W8" s="89"/>
      <c r="X8" s="90" t="s">
        <v>188</v>
      </c>
      <c r="Y8" s="91" t="s">
        <v>189</v>
      </c>
      <c r="Z8" s="90" t="s">
        <v>190</v>
      </c>
      <c r="AA8" s="92" t="s">
        <v>182</v>
      </c>
      <c r="AB8" s="92" t="s">
        <v>191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212</v>
      </c>
      <c r="AQ8" s="92" t="s">
        <v>213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214</v>
      </c>
      <c r="AY8" s="79" t="s">
        <v>227</v>
      </c>
    </row>
    <row r="9">
      <c r="A9" s="79" t="s">
        <v>228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182</v>
      </c>
      <c r="H9" s="86" t="s">
        <v>181</v>
      </c>
      <c r="I9" s="87"/>
      <c r="J9" s="79" t="s">
        <v>182</v>
      </c>
      <c r="K9" s="79" t="s">
        <v>223</v>
      </c>
      <c r="L9" s="88"/>
      <c r="M9" s="88"/>
      <c r="N9" s="87"/>
      <c r="O9" s="87"/>
      <c r="P9" s="79" t="s">
        <v>180</v>
      </c>
      <c r="Q9" s="79" t="s">
        <v>207</v>
      </c>
      <c r="R9" s="79" t="s">
        <v>182</v>
      </c>
      <c r="S9" s="79" t="s">
        <v>229</v>
      </c>
      <c r="T9" s="79" t="s">
        <v>230</v>
      </c>
      <c r="U9" s="89"/>
      <c r="V9" s="79" t="s">
        <v>221</v>
      </c>
      <c r="W9" s="89"/>
      <c r="X9" s="90" t="s">
        <v>188</v>
      </c>
      <c r="Y9" s="91" t="s">
        <v>189</v>
      </c>
      <c r="Z9" s="90" t="s">
        <v>231</v>
      </c>
      <c r="AA9" s="92" t="s">
        <v>182</v>
      </c>
      <c r="AB9" s="92" t="s">
        <v>232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212</v>
      </c>
      <c r="AQ9" s="92" t="s">
        <v>213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214</v>
      </c>
      <c r="AY9" s="79" t="s">
        <v>215</v>
      </c>
    </row>
    <row r="10">
      <c r="A10" s="79" t="s">
        <v>233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182</v>
      </c>
      <c r="H10" s="86" t="s">
        <v>217</v>
      </c>
      <c r="I10" s="87"/>
      <c r="J10" s="79" t="s">
        <v>182</v>
      </c>
      <c r="K10" s="79" t="s">
        <v>223</v>
      </c>
      <c r="L10" s="88"/>
      <c r="M10" s="88"/>
      <c r="N10" s="87"/>
      <c r="O10" s="87"/>
      <c r="P10" s="79" t="s">
        <v>180</v>
      </c>
      <c r="Q10" s="79" t="s">
        <v>234</v>
      </c>
      <c r="R10" s="79" t="s">
        <v>182</v>
      </c>
      <c r="S10" s="79" t="s">
        <v>235</v>
      </c>
      <c r="T10" s="92" t="s">
        <v>226</v>
      </c>
      <c r="U10" s="89"/>
      <c r="V10" s="79" t="s">
        <v>187</v>
      </c>
      <c r="W10" s="89"/>
      <c r="X10" s="90" t="s">
        <v>188</v>
      </c>
      <c r="Y10" s="96" t="s">
        <v>189</v>
      </c>
      <c r="Z10" s="90" t="s">
        <v>190</v>
      </c>
      <c r="AA10" s="92" t="s">
        <v>182</v>
      </c>
      <c r="AB10" s="92" t="s">
        <v>191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212</v>
      </c>
      <c r="AQ10" s="92" t="s">
        <v>213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214</v>
      </c>
      <c r="AY10" s="79" t="s">
        <v>236</v>
      </c>
    </row>
    <row r="11">
      <c r="A11" s="79" t="s">
        <v>237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182</v>
      </c>
      <c r="H11" s="86" t="s">
        <v>217</v>
      </c>
      <c r="I11" s="87"/>
      <c r="J11" s="79" t="s">
        <v>182</v>
      </c>
      <c r="K11" s="79" t="s">
        <v>223</v>
      </c>
      <c r="L11" s="88"/>
      <c r="M11" s="88"/>
      <c r="N11" s="87"/>
      <c r="O11" s="87"/>
      <c r="P11" s="79" t="s">
        <v>180</v>
      </c>
      <c r="Q11" s="79" t="s">
        <v>207</v>
      </c>
      <c r="R11" s="79" t="s">
        <v>182</v>
      </c>
      <c r="S11" s="79" t="s">
        <v>238</v>
      </c>
      <c r="T11" s="79" t="s">
        <v>239</v>
      </c>
      <c r="U11" s="89"/>
      <c r="V11" s="79" t="s">
        <v>221</v>
      </c>
      <c r="W11" s="89"/>
      <c r="X11" s="97" t="s">
        <v>240</v>
      </c>
      <c r="Y11" s="91" t="s">
        <v>189</v>
      </c>
      <c r="Z11" s="97" t="s">
        <v>190</v>
      </c>
      <c r="AA11" s="92" t="s">
        <v>182</v>
      </c>
      <c r="AB11" s="92" t="s">
        <v>191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212</v>
      </c>
      <c r="AQ11" s="92" t="s">
        <v>213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214</v>
      </c>
      <c r="AY11" s="79" t="s">
        <v>215</v>
      </c>
    </row>
    <row r="12">
      <c r="A12" s="79" t="s">
        <v>241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182</v>
      </c>
      <c r="H12" s="86" t="s">
        <v>217</v>
      </c>
      <c r="I12" s="87"/>
      <c r="J12" s="79" t="s">
        <v>182</v>
      </c>
      <c r="K12" s="79" t="s">
        <v>223</v>
      </c>
      <c r="L12" s="88"/>
      <c r="M12" s="88"/>
      <c r="N12" s="87"/>
      <c r="O12" s="87"/>
      <c r="P12" s="79" t="s">
        <v>180</v>
      </c>
      <c r="Q12" s="79" t="s">
        <v>224</v>
      </c>
      <c r="R12" s="79" t="s">
        <v>182</v>
      </c>
      <c r="S12" s="79" t="s">
        <v>242</v>
      </c>
      <c r="T12" s="79" t="s">
        <v>239</v>
      </c>
      <c r="U12" s="89"/>
      <c r="V12" s="79" t="s">
        <v>221</v>
      </c>
      <c r="W12" s="89"/>
      <c r="X12" s="90" t="s">
        <v>188</v>
      </c>
      <c r="Y12" s="91" t="s">
        <v>189</v>
      </c>
      <c r="Z12" s="98"/>
      <c r="AA12" s="92" t="s">
        <v>182</v>
      </c>
      <c r="AB12" s="92" t="s">
        <v>191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212</v>
      </c>
      <c r="AQ12" s="92" t="s">
        <v>213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214</v>
      </c>
      <c r="AY12" s="79" t="s">
        <v>227</v>
      </c>
    </row>
    <row r="13">
      <c r="A13" s="79" t="s">
        <v>243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182</v>
      </c>
      <c r="H13" s="86" t="s">
        <v>217</v>
      </c>
      <c r="I13" s="87"/>
      <c r="J13" s="79" t="s">
        <v>182</v>
      </c>
      <c r="K13" s="79" t="s">
        <v>223</v>
      </c>
      <c r="L13" s="88"/>
      <c r="M13" s="88"/>
      <c r="N13" s="87"/>
      <c r="O13" s="87"/>
      <c r="P13" s="79" t="s">
        <v>180</v>
      </c>
      <c r="Q13" s="79" t="s">
        <v>224</v>
      </c>
      <c r="R13" s="79" t="s">
        <v>182</v>
      </c>
      <c r="S13" s="79" t="s">
        <v>244</v>
      </c>
      <c r="T13" s="79" t="s">
        <v>239</v>
      </c>
      <c r="U13" s="89"/>
      <c r="V13" s="79" t="s">
        <v>221</v>
      </c>
      <c r="W13" s="89"/>
      <c r="X13" s="90" t="s">
        <v>188</v>
      </c>
      <c r="Y13" s="91" t="s">
        <v>189</v>
      </c>
      <c r="Z13" s="90" t="s">
        <v>190</v>
      </c>
      <c r="AA13" s="92" t="s">
        <v>182</v>
      </c>
      <c r="AB13" s="92" t="s">
        <v>191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212</v>
      </c>
      <c r="AQ13" s="92" t="s">
        <v>213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214</v>
      </c>
      <c r="AY13" s="79" t="s">
        <v>227</v>
      </c>
    </row>
    <row r="14">
      <c r="A14" s="79" t="s">
        <v>245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182</v>
      </c>
      <c r="H14" s="86" t="s">
        <v>217</v>
      </c>
      <c r="I14" s="87"/>
      <c r="J14" s="79" t="s">
        <v>182</v>
      </c>
      <c r="K14" s="79" t="s">
        <v>223</v>
      </c>
      <c r="L14" s="88"/>
      <c r="M14" s="88"/>
      <c r="N14" s="87"/>
      <c r="O14" s="87"/>
      <c r="P14" s="79" t="s">
        <v>180</v>
      </c>
      <c r="Q14" s="79" t="s">
        <v>224</v>
      </c>
      <c r="R14" s="79" t="s">
        <v>182</v>
      </c>
      <c r="S14" s="79" t="s">
        <v>246</v>
      </c>
      <c r="T14" s="79" t="s">
        <v>239</v>
      </c>
      <c r="U14" s="89"/>
      <c r="V14" s="79" t="s">
        <v>221</v>
      </c>
      <c r="W14" s="89"/>
      <c r="X14" s="90" t="s">
        <v>188</v>
      </c>
      <c r="Y14" s="91" t="s">
        <v>189</v>
      </c>
      <c r="Z14" s="90" t="s">
        <v>190</v>
      </c>
      <c r="AA14" s="92" t="s">
        <v>182</v>
      </c>
      <c r="AB14" s="92" t="s">
        <v>191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212</v>
      </c>
      <c r="AQ14" s="92" t="s">
        <v>213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214</v>
      </c>
      <c r="AY14" s="79" t="s">
        <v>227</v>
      </c>
    </row>
    <row r="15">
      <c r="A15" s="79" t="s">
        <v>247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182</v>
      </c>
      <c r="H15" s="86" t="s">
        <v>217</v>
      </c>
      <c r="I15" s="87"/>
      <c r="J15" s="79" t="s">
        <v>182</v>
      </c>
      <c r="K15" s="79" t="s">
        <v>248</v>
      </c>
      <c r="L15" s="88"/>
      <c r="M15" s="88"/>
      <c r="N15" s="87"/>
      <c r="O15" s="87"/>
      <c r="P15" s="79" t="s">
        <v>180</v>
      </c>
      <c r="Q15" s="79" t="s">
        <v>207</v>
      </c>
      <c r="R15" s="79" t="s">
        <v>182</v>
      </c>
      <c r="S15" s="79" t="s">
        <v>249</v>
      </c>
      <c r="T15" s="79" t="s">
        <v>250</v>
      </c>
      <c r="U15" s="89"/>
      <c r="V15" s="79" t="s">
        <v>221</v>
      </c>
      <c r="W15" s="89"/>
      <c r="X15" s="99" t="s">
        <v>251</v>
      </c>
      <c r="Y15" s="96" t="s">
        <v>189</v>
      </c>
      <c r="Z15" s="99" t="s">
        <v>231</v>
      </c>
      <c r="AA15" s="92" t="s">
        <v>182</v>
      </c>
      <c r="AB15" s="92" t="s">
        <v>232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212</v>
      </c>
      <c r="AQ15" s="92" t="s">
        <v>213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214</v>
      </c>
      <c r="AY15" s="79" t="s">
        <v>215</v>
      </c>
    </row>
    <row r="16">
      <c r="A16" s="79" t="s">
        <v>252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182</v>
      </c>
      <c r="H16" s="86" t="s">
        <v>217</v>
      </c>
      <c r="I16" s="87"/>
      <c r="J16" s="79" t="s">
        <v>182</v>
      </c>
      <c r="K16" s="79" t="s">
        <v>248</v>
      </c>
      <c r="L16" s="88"/>
      <c r="M16" s="88"/>
      <c r="N16" s="87"/>
      <c r="O16" s="87"/>
      <c r="P16" s="79" t="s">
        <v>180</v>
      </c>
      <c r="Q16" s="79" t="s">
        <v>207</v>
      </c>
      <c r="R16" s="79" t="s">
        <v>182</v>
      </c>
      <c r="S16" s="79" t="s">
        <v>253</v>
      </c>
      <c r="T16" s="92" t="s">
        <v>254</v>
      </c>
      <c r="U16" s="89"/>
      <c r="V16" s="79" t="s">
        <v>187</v>
      </c>
      <c r="W16" s="89"/>
      <c r="X16" s="99" t="s">
        <v>251</v>
      </c>
      <c r="Y16" s="96" t="s">
        <v>189</v>
      </c>
      <c r="Z16" s="99" t="s">
        <v>231</v>
      </c>
      <c r="AA16" s="92" t="s">
        <v>182</v>
      </c>
      <c r="AB16" s="92" t="s">
        <v>191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212</v>
      </c>
      <c r="AQ16" s="92" t="s">
        <v>213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214</v>
      </c>
      <c r="AY16" s="79" t="s">
        <v>215</v>
      </c>
    </row>
    <row r="17">
      <c r="A17" s="79" t="s">
        <v>255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180</v>
      </c>
      <c r="H17" s="86" t="s">
        <v>256</v>
      </c>
      <c r="I17" s="86">
        <v>5000.0</v>
      </c>
      <c r="J17" s="79" t="s">
        <v>182</v>
      </c>
      <c r="K17" s="79" t="s">
        <v>257</v>
      </c>
      <c r="L17" s="88"/>
      <c r="M17" s="88"/>
      <c r="N17" s="87"/>
      <c r="O17" s="87"/>
      <c r="P17" s="79" t="s">
        <v>180</v>
      </c>
      <c r="Q17" s="79" t="s">
        <v>207</v>
      </c>
      <c r="R17" s="79" t="s">
        <v>180</v>
      </c>
      <c r="S17" s="79" t="s">
        <v>258</v>
      </c>
      <c r="T17" s="79" t="s">
        <v>259</v>
      </c>
      <c r="U17" s="89"/>
      <c r="V17" s="79" t="s">
        <v>221</v>
      </c>
      <c r="W17" s="89"/>
      <c r="X17" s="95" t="s">
        <v>199</v>
      </c>
      <c r="Y17" s="91" t="s">
        <v>260</v>
      </c>
      <c r="Z17" s="95" t="s">
        <v>231</v>
      </c>
      <c r="AA17" s="92" t="s">
        <v>182</v>
      </c>
      <c r="AB17" s="92" t="s">
        <v>211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212</v>
      </c>
      <c r="AQ17" s="92" t="s">
        <v>213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214</v>
      </c>
      <c r="AY17" s="79" t="s">
        <v>215</v>
      </c>
    </row>
    <row r="18">
      <c r="A18" s="79" t="s">
        <v>113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180</v>
      </c>
      <c r="H18" s="86" t="s">
        <v>256</v>
      </c>
      <c r="I18" s="86">
        <v>10000.0</v>
      </c>
      <c r="J18" s="79" t="s">
        <v>182</v>
      </c>
      <c r="K18" s="79" t="s">
        <v>257</v>
      </c>
      <c r="L18" s="88"/>
      <c r="M18" s="88"/>
      <c r="N18" s="87"/>
      <c r="O18" s="87"/>
      <c r="P18" s="79" t="s">
        <v>180</v>
      </c>
      <c r="Q18" s="79" t="s">
        <v>207</v>
      </c>
      <c r="R18" s="79" t="s">
        <v>180</v>
      </c>
      <c r="S18" s="79" t="s">
        <v>261</v>
      </c>
      <c r="T18" s="79" t="s">
        <v>259</v>
      </c>
      <c r="U18" s="89"/>
      <c r="V18" s="79" t="s">
        <v>221</v>
      </c>
      <c r="W18" s="89"/>
      <c r="X18" s="95" t="s">
        <v>199</v>
      </c>
      <c r="Y18" s="91" t="s">
        <v>260</v>
      </c>
      <c r="Z18" s="95" t="s">
        <v>231</v>
      </c>
      <c r="AA18" s="92" t="s">
        <v>182</v>
      </c>
      <c r="AB18" s="92" t="s">
        <v>211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212</v>
      </c>
      <c r="AQ18" s="92" t="s">
        <v>213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214</v>
      </c>
      <c r="AY18" s="79" t="s">
        <v>215</v>
      </c>
    </row>
    <row r="19">
      <c r="A19" s="79" t="s">
        <v>262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180</v>
      </c>
      <c r="H19" s="86" t="s">
        <v>181</v>
      </c>
      <c r="I19" s="87"/>
      <c r="J19" s="79" t="s">
        <v>182</v>
      </c>
      <c r="K19" s="79" t="s">
        <v>218</v>
      </c>
      <c r="L19" s="88"/>
      <c r="M19" s="88"/>
      <c r="N19" s="87"/>
      <c r="O19" s="87"/>
      <c r="P19" s="79" t="s">
        <v>180</v>
      </c>
      <c r="Q19" s="79" t="s">
        <v>207</v>
      </c>
      <c r="R19" s="79" t="s">
        <v>180</v>
      </c>
      <c r="S19" s="79" t="s">
        <v>263</v>
      </c>
      <c r="T19" s="79" t="s">
        <v>264</v>
      </c>
      <c r="U19" s="89"/>
      <c r="V19" s="79" t="s">
        <v>221</v>
      </c>
      <c r="W19" s="89"/>
      <c r="X19" s="95" t="s">
        <v>199</v>
      </c>
      <c r="Y19" s="91" t="s">
        <v>189</v>
      </c>
      <c r="Z19" s="95" t="s">
        <v>231</v>
      </c>
      <c r="AA19" s="92" t="s">
        <v>182</v>
      </c>
      <c r="AB19" s="92" t="s">
        <v>191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192</v>
      </c>
      <c r="AQ19" s="92" t="s">
        <v>193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214</v>
      </c>
      <c r="AY19" s="79" t="s">
        <v>195</v>
      </c>
    </row>
    <row r="20">
      <c r="A20" s="79" t="s">
        <v>265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180</v>
      </c>
      <c r="H20" s="86" t="s">
        <v>266</v>
      </c>
      <c r="I20" s="87"/>
      <c r="J20" s="79" t="s">
        <v>180</v>
      </c>
      <c r="K20" s="79" t="s">
        <v>267</v>
      </c>
      <c r="L20" s="89"/>
      <c r="M20" s="89"/>
      <c r="N20" s="87"/>
      <c r="O20" s="87"/>
      <c r="P20" s="79" t="s">
        <v>182</v>
      </c>
      <c r="Q20" s="79" t="s">
        <v>207</v>
      </c>
      <c r="R20" s="79" t="s">
        <v>182</v>
      </c>
      <c r="S20" s="79" t="s">
        <v>268</v>
      </c>
      <c r="T20" s="92" t="s">
        <v>269</v>
      </c>
      <c r="U20" s="89"/>
      <c r="V20" s="79" t="s">
        <v>187</v>
      </c>
      <c r="W20" s="89"/>
      <c r="X20" s="90" t="s">
        <v>188</v>
      </c>
      <c r="Y20" s="96" t="s">
        <v>270</v>
      </c>
      <c r="Z20" s="90" t="s">
        <v>190</v>
      </c>
      <c r="AA20" s="92" t="s">
        <v>180</v>
      </c>
      <c r="AB20" s="92" t="s">
        <v>232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212</v>
      </c>
      <c r="AQ20" s="92" t="s">
        <v>213</v>
      </c>
      <c r="AR20" s="101"/>
      <c r="AS20" s="100"/>
      <c r="AT20" s="101"/>
      <c r="AU20" s="101"/>
      <c r="AV20" s="100"/>
      <c r="AW20" s="100"/>
      <c r="AX20" s="94" t="s">
        <v>271</v>
      </c>
      <c r="AY20" s="79" t="s">
        <v>215</v>
      </c>
    </row>
    <row r="21">
      <c r="A21" s="79" t="s">
        <v>272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180</v>
      </c>
      <c r="H21" s="86" t="s">
        <v>266</v>
      </c>
      <c r="I21" s="87"/>
      <c r="J21" s="79" t="s">
        <v>180</v>
      </c>
      <c r="K21" s="79" t="s">
        <v>267</v>
      </c>
      <c r="L21" s="89"/>
      <c r="M21" s="89"/>
      <c r="N21" s="87"/>
      <c r="O21" s="87"/>
      <c r="P21" s="79" t="s">
        <v>182</v>
      </c>
      <c r="Q21" s="79" t="s">
        <v>207</v>
      </c>
      <c r="R21" s="79" t="s">
        <v>182</v>
      </c>
      <c r="S21" s="79" t="s">
        <v>268</v>
      </c>
      <c r="T21" s="92" t="s">
        <v>269</v>
      </c>
      <c r="U21" s="89"/>
      <c r="V21" s="79" t="s">
        <v>187</v>
      </c>
      <c r="W21" s="89"/>
      <c r="X21" s="90" t="s">
        <v>188</v>
      </c>
      <c r="Y21" s="96" t="s">
        <v>270</v>
      </c>
      <c r="Z21" s="90" t="s">
        <v>190</v>
      </c>
      <c r="AA21" s="92" t="s">
        <v>180</v>
      </c>
      <c r="AB21" s="92" t="s">
        <v>232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212</v>
      </c>
      <c r="AQ21" s="92" t="s">
        <v>213</v>
      </c>
      <c r="AR21" s="101"/>
      <c r="AS21" s="100"/>
      <c r="AT21" s="101"/>
      <c r="AU21" s="101"/>
      <c r="AV21" s="100"/>
      <c r="AW21" s="100"/>
      <c r="AX21" s="94" t="s">
        <v>271</v>
      </c>
      <c r="AY21" s="79" t="s">
        <v>215</v>
      </c>
    </row>
    <row r="22">
      <c r="A22" s="79" t="s">
        <v>273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180</v>
      </c>
      <c r="H22" s="86" t="s">
        <v>181</v>
      </c>
      <c r="I22" s="87"/>
      <c r="J22" s="79" t="s">
        <v>182</v>
      </c>
      <c r="K22" s="79" t="s">
        <v>267</v>
      </c>
      <c r="L22" s="88"/>
      <c r="M22" s="88"/>
      <c r="N22" s="87"/>
      <c r="O22" s="87"/>
      <c r="P22" s="79" t="s">
        <v>180</v>
      </c>
      <c r="Q22" s="79" t="s">
        <v>207</v>
      </c>
      <c r="R22" s="79" t="s">
        <v>182</v>
      </c>
      <c r="S22" s="79" t="s">
        <v>274</v>
      </c>
      <c r="T22" s="79" t="s">
        <v>275</v>
      </c>
      <c r="U22" s="89"/>
      <c r="V22" s="79" t="s">
        <v>221</v>
      </c>
      <c r="W22" s="89"/>
      <c r="X22" s="90" t="s">
        <v>188</v>
      </c>
      <c r="Y22" s="91" t="s">
        <v>189</v>
      </c>
      <c r="Z22" s="90" t="s">
        <v>190</v>
      </c>
      <c r="AA22" s="92" t="s">
        <v>182</v>
      </c>
      <c r="AB22" s="92" t="s">
        <v>191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212</v>
      </c>
      <c r="AQ22" s="92" t="s">
        <v>213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271</v>
      </c>
      <c r="AY22" s="79" t="s">
        <v>215</v>
      </c>
    </row>
    <row r="23">
      <c r="A23" s="79" t="s">
        <v>276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180</v>
      </c>
      <c r="H23" s="86" t="s">
        <v>181</v>
      </c>
      <c r="I23" s="87"/>
      <c r="J23" s="79" t="s">
        <v>182</v>
      </c>
      <c r="K23" s="79" t="s">
        <v>267</v>
      </c>
      <c r="L23" s="88"/>
      <c r="M23" s="88"/>
      <c r="N23" s="87"/>
      <c r="O23" s="87"/>
      <c r="P23" s="79" t="s">
        <v>180</v>
      </c>
      <c r="Q23" s="79" t="s">
        <v>207</v>
      </c>
      <c r="R23" s="79" t="s">
        <v>182</v>
      </c>
      <c r="S23" s="79" t="s">
        <v>277</v>
      </c>
      <c r="T23" s="79" t="s">
        <v>275</v>
      </c>
      <c r="U23" s="89"/>
      <c r="V23" s="79" t="s">
        <v>278</v>
      </c>
      <c r="W23" s="89"/>
      <c r="X23" s="90" t="s">
        <v>188</v>
      </c>
      <c r="Y23" s="91" t="s">
        <v>189</v>
      </c>
      <c r="Z23" s="90" t="s">
        <v>190</v>
      </c>
      <c r="AA23" s="92" t="s">
        <v>182</v>
      </c>
      <c r="AB23" s="92" t="s">
        <v>191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212</v>
      </c>
      <c r="AQ23" s="92" t="s">
        <v>213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271</v>
      </c>
      <c r="AY23" s="79" t="s">
        <v>215</v>
      </c>
    </row>
    <row r="24">
      <c r="A24" s="79" t="s">
        <v>279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180</v>
      </c>
      <c r="H24" s="86" t="s">
        <v>181</v>
      </c>
      <c r="I24" s="87"/>
      <c r="J24" s="79" t="s">
        <v>182</v>
      </c>
      <c r="K24" s="79" t="s">
        <v>267</v>
      </c>
      <c r="L24" s="88"/>
      <c r="M24" s="88"/>
      <c r="N24" s="87"/>
      <c r="O24" s="87"/>
      <c r="P24" s="79" t="s">
        <v>180</v>
      </c>
      <c r="Q24" s="79" t="s">
        <v>207</v>
      </c>
      <c r="R24" s="79" t="s">
        <v>182</v>
      </c>
      <c r="S24" s="79" t="s">
        <v>280</v>
      </c>
      <c r="T24" s="79" t="s">
        <v>275</v>
      </c>
      <c r="U24" s="89"/>
      <c r="V24" s="79" t="s">
        <v>221</v>
      </c>
      <c r="W24" s="89"/>
      <c r="X24" s="90" t="s">
        <v>188</v>
      </c>
      <c r="Y24" s="91" t="s">
        <v>189</v>
      </c>
      <c r="Z24" s="90" t="s">
        <v>190</v>
      </c>
      <c r="AA24" s="92" t="s">
        <v>182</v>
      </c>
      <c r="AB24" s="92" t="s">
        <v>191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212</v>
      </c>
      <c r="AQ24" s="92" t="s">
        <v>213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271</v>
      </c>
      <c r="AY24" s="79" t="s">
        <v>215</v>
      </c>
    </row>
    <row r="25">
      <c r="A25" s="79" t="s">
        <v>281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180</v>
      </c>
      <c r="H25" s="86" t="s">
        <v>181</v>
      </c>
      <c r="I25" s="87"/>
      <c r="J25" s="79" t="s">
        <v>182</v>
      </c>
      <c r="K25" s="79" t="s">
        <v>267</v>
      </c>
      <c r="L25" s="88"/>
      <c r="M25" s="88"/>
      <c r="N25" s="87"/>
      <c r="O25" s="87"/>
      <c r="P25" s="79" t="s">
        <v>180</v>
      </c>
      <c r="Q25" s="79" t="s">
        <v>207</v>
      </c>
      <c r="R25" s="79" t="s">
        <v>182</v>
      </c>
      <c r="S25" s="79" t="s">
        <v>280</v>
      </c>
      <c r="T25" s="79" t="s">
        <v>275</v>
      </c>
      <c r="U25" s="89"/>
      <c r="V25" s="79" t="s">
        <v>221</v>
      </c>
      <c r="W25" s="89"/>
      <c r="X25" s="90" t="s">
        <v>188</v>
      </c>
      <c r="Y25" s="91" t="s">
        <v>189</v>
      </c>
      <c r="Z25" s="90" t="s">
        <v>190</v>
      </c>
      <c r="AA25" s="92" t="s">
        <v>182</v>
      </c>
      <c r="AB25" s="92" t="s">
        <v>191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212</v>
      </c>
      <c r="AQ25" s="92" t="s">
        <v>213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271</v>
      </c>
      <c r="AY25" s="79" t="s">
        <v>215</v>
      </c>
    </row>
    <row r="26">
      <c r="A26" s="79" t="s">
        <v>282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180</v>
      </c>
      <c r="H26" s="86" t="s">
        <v>181</v>
      </c>
      <c r="I26" s="87"/>
      <c r="J26" s="79" t="s">
        <v>182</v>
      </c>
      <c r="K26" s="79" t="s">
        <v>267</v>
      </c>
      <c r="L26" s="88"/>
      <c r="M26" s="88"/>
      <c r="N26" s="87"/>
      <c r="O26" s="87"/>
      <c r="P26" s="79" t="s">
        <v>180</v>
      </c>
      <c r="Q26" s="79" t="s">
        <v>207</v>
      </c>
      <c r="R26" s="79" t="s">
        <v>182</v>
      </c>
      <c r="S26" s="79" t="s">
        <v>277</v>
      </c>
      <c r="T26" s="79" t="s">
        <v>275</v>
      </c>
      <c r="U26" s="89"/>
      <c r="V26" s="79" t="s">
        <v>278</v>
      </c>
      <c r="W26" s="89"/>
      <c r="X26" s="90" t="s">
        <v>188</v>
      </c>
      <c r="Y26" s="91" t="s">
        <v>189</v>
      </c>
      <c r="Z26" s="90" t="s">
        <v>190</v>
      </c>
      <c r="AA26" s="92" t="s">
        <v>182</v>
      </c>
      <c r="AB26" s="92" t="s">
        <v>191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212</v>
      </c>
      <c r="AQ26" s="92" t="s">
        <v>213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271</v>
      </c>
      <c r="AY26" s="79" t="s">
        <v>215</v>
      </c>
    </row>
    <row r="27">
      <c r="A27" s="79" t="s">
        <v>283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180</v>
      </c>
      <c r="H27" s="86" t="s">
        <v>181</v>
      </c>
      <c r="I27" s="87"/>
      <c r="J27" s="79" t="s">
        <v>182</v>
      </c>
      <c r="K27" s="79" t="s">
        <v>267</v>
      </c>
      <c r="L27" s="88"/>
      <c r="M27" s="88"/>
      <c r="N27" s="87"/>
      <c r="O27" s="87"/>
      <c r="P27" s="79" t="s">
        <v>180</v>
      </c>
      <c r="Q27" s="79" t="s">
        <v>207</v>
      </c>
      <c r="R27" s="79" t="s">
        <v>182</v>
      </c>
      <c r="S27" s="79" t="s">
        <v>277</v>
      </c>
      <c r="T27" s="79" t="s">
        <v>275</v>
      </c>
      <c r="U27" s="89"/>
      <c r="V27" s="79" t="s">
        <v>278</v>
      </c>
      <c r="W27" s="89"/>
      <c r="X27" s="90" t="s">
        <v>188</v>
      </c>
      <c r="Y27" s="91" t="s">
        <v>189</v>
      </c>
      <c r="Z27" s="90" t="s">
        <v>190</v>
      </c>
      <c r="AA27" s="92" t="s">
        <v>182</v>
      </c>
      <c r="AB27" s="92" t="s">
        <v>191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212</v>
      </c>
      <c r="AQ27" s="92" t="s">
        <v>213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271</v>
      </c>
      <c r="AY27" s="79" t="s">
        <v>215</v>
      </c>
    </row>
    <row r="28">
      <c r="A28" s="79" t="s">
        <v>284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180</v>
      </c>
      <c r="H28" s="86" t="s">
        <v>285</v>
      </c>
      <c r="I28" s="87"/>
      <c r="J28" s="79" t="s">
        <v>182</v>
      </c>
      <c r="K28" s="79" t="s">
        <v>267</v>
      </c>
      <c r="L28" s="88"/>
      <c r="M28" s="88"/>
      <c r="N28" s="87"/>
      <c r="O28" s="87"/>
      <c r="P28" s="79" t="s">
        <v>180</v>
      </c>
      <c r="Q28" s="79" t="s">
        <v>207</v>
      </c>
      <c r="R28" s="79" t="s">
        <v>182</v>
      </c>
      <c r="S28" s="79" t="s">
        <v>286</v>
      </c>
      <c r="T28" s="79" t="s">
        <v>275</v>
      </c>
      <c r="U28" s="89"/>
      <c r="V28" s="79" t="s">
        <v>221</v>
      </c>
      <c r="W28" s="89"/>
      <c r="X28" s="90" t="s">
        <v>188</v>
      </c>
      <c r="Y28" s="91" t="s">
        <v>189</v>
      </c>
      <c r="Z28" s="90" t="s">
        <v>190</v>
      </c>
      <c r="AA28" s="92" t="s">
        <v>182</v>
      </c>
      <c r="AB28" s="92" t="s">
        <v>191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212</v>
      </c>
      <c r="AQ28" s="92" t="s">
        <v>213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271</v>
      </c>
      <c r="AY28" s="79" t="s">
        <v>215</v>
      </c>
    </row>
    <row r="29">
      <c r="A29" s="79" t="s">
        <v>287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180</v>
      </c>
      <c r="H29" s="86" t="s">
        <v>217</v>
      </c>
      <c r="I29" s="87"/>
      <c r="J29" s="79" t="s">
        <v>182</v>
      </c>
      <c r="K29" s="79" t="s">
        <v>267</v>
      </c>
      <c r="L29" s="88"/>
      <c r="M29" s="88"/>
      <c r="N29" s="87"/>
      <c r="O29" s="87"/>
      <c r="P29" s="79" t="s">
        <v>180</v>
      </c>
      <c r="Q29" s="79" t="s">
        <v>288</v>
      </c>
      <c r="R29" s="79" t="s">
        <v>182</v>
      </c>
      <c r="S29" s="79" t="s">
        <v>289</v>
      </c>
      <c r="T29" s="79" t="s">
        <v>275</v>
      </c>
      <c r="U29" s="89"/>
      <c r="V29" s="79" t="s">
        <v>221</v>
      </c>
      <c r="W29" s="89"/>
      <c r="X29" s="90" t="s">
        <v>188</v>
      </c>
      <c r="Y29" s="91" t="s">
        <v>189</v>
      </c>
      <c r="Z29" s="90" t="s">
        <v>190</v>
      </c>
      <c r="AA29" s="92" t="s">
        <v>182</v>
      </c>
      <c r="AB29" s="92" t="s">
        <v>191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212</v>
      </c>
      <c r="AQ29" s="92" t="s">
        <v>213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271</v>
      </c>
      <c r="AY29" s="79" t="s">
        <v>290</v>
      </c>
    </row>
    <row r="30">
      <c r="A30" s="79" t="s">
        <v>291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180</v>
      </c>
      <c r="H30" s="86" t="s">
        <v>217</v>
      </c>
      <c r="I30" s="87"/>
      <c r="J30" s="79" t="s">
        <v>182</v>
      </c>
      <c r="K30" s="79" t="s">
        <v>267</v>
      </c>
      <c r="L30" s="88"/>
      <c r="M30" s="88"/>
      <c r="N30" s="87"/>
      <c r="O30" s="87"/>
      <c r="P30" s="79" t="s">
        <v>180</v>
      </c>
      <c r="Q30" s="79" t="s">
        <v>288</v>
      </c>
      <c r="R30" s="79" t="s">
        <v>182</v>
      </c>
      <c r="S30" s="79" t="s">
        <v>292</v>
      </c>
      <c r="T30" s="79" t="s">
        <v>275</v>
      </c>
      <c r="U30" s="89"/>
      <c r="V30" s="79" t="s">
        <v>221</v>
      </c>
      <c r="W30" s="89"/>
      <c r="X30" s="90" t="s">
        <v>188</v>
      </c>
      <c r="Y30" s="91" t="s">
        <v>189</v>
      </c>
      <c r="Z30" s="90" t="s">
        <v>190</v>
      </c>
      <c r="AA30" s="92" t="s">
        <v>182</v>
      </c>
      <c r="AB30" s="92" t="s">
        <v>191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212</v>
      </c>
      <c r="AQ30" s="92" t="s">
        <v>213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271</v>
      </c>
      <c r="AY30" s="79" t="s">
        <v>290</v>
      </c>
    </row>
    <row r="31">
      <c r="A31" s="79" t="s">
        <v>293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180</v>
      </c>
      <c r="H31" s="86" t="s">
        <v>294</v>
      </c>
      <c r="I31" s="87"/>
      <c r="J31" s="79" t="s">
        <v>182</v>
      </c>
      <c r="K31" s="79" t="s">
        <v>267</v>
      </c>
      <c r="L31" s="88"/>
      <c r="M31" s="88"/>
      <c r="N31" s="87"/>
      <c r="O31" s="87"/>
      <c r="P31" s="79" t="s">
        <v>180</v>
      </c>
      <c r="Q31" s="79" t="s">
        <v>295</v>
      </c>
      <c r="R31" s="79" t="s">
        <v>182</v>
      </c>
      <c r="S31" s="79" t="s">
        <v>296</v>
      </c>
      <c r="T31" s="79" t="s">
        <v>275</v>
      </c>
      <c r="U31" s="89"/>
      <c r="V31" s="79" t="s">
        <v>221</v>
      </c>
      <c r="W31" s="89"/>
      <c r="X31" s="99" t="s">
        <v>251</v>
      </c>
      <c r="Y31" s="91" t="s">
        <v>189</v>
      </c>
      <c r="Z31" s="99" t="s">
        <v>231</v>
      </c>
      <c r="AA31" s="92" t="s">
        <v>182</v>
      </c>
      <c r="AB31" s="92" t="s">
        <v>211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212</v>
      </c>
      <c r="AQ31" s="92" t="s">
        <v>213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271</v>
      </c>
      <c r="AY31" s="79" t="s">
        <v>297</v>
      </c>
    </row>
    <row r="32">
      <c r="A32" s="79" t="s">
        <v>298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180</v>
      </c>
      <c r="H32" s="86" t="s">
        <v>294</v>
      </c>
      <c r="I32" s="87"/>
      <c r="J32" s="79" t="s">
        <v>182</v>
      </c>
      <c r="K32" s="79" t="s">
        <v>267</v>
      </c>
      <c r="L32" s="88"/>
      <c r="M32" s="88"/>
      <c r="N32" s="87"/>
      <c r="O32" s="87"/>
      <c r="P32" s="79" t="s">
        <v>180</v>
      </c>
      <c r="Q32" s="79" t="s">
        <v>299</v>
      </c>
      <c r="R32" s="79" t="s">
        <v>182</v>
      </c>
      <c r="S32" s="79" t="s">
        <v>277</v>
      </c>
      <c r="T32" s="79" t="s">
        <v>275</v>
      </c>
      <c r="U32" s="89"/>
      <c r="V32" s="79" t="s">
        <v>278</v>
      </c>
      <c r="W32" s="89"/>
      <c r="X32" s="90" t="s">
        <v>188</v>
      </c>
      <c r="Y32" s="91" t="s">
        <v>189</v>
      </c>
      <c r="Z32" s="90" t="s">
        <v>190</v>
      </c>
      <c r="AA32" s="92" t="s">
        <v>182</v>
      </c>
      <c r="AB32" s="92" t="s">
        <v>191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212</v>
      </c>
      <c r="AQ32" s="92" t="s">
        <v>213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271</v>
      </c>
      <c r="AY32" s="79" t="s">
        <v>236</v>
      </c>
    </row>
    <row r="33">
      <c r="A33" s="79" t="s">
        <v>300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180</v>
      </c>
      <c r="H33" s="86" t="s">
        <v>294</v>
      </c>
      <c r="I33" s="87"/>
      <c r="J33" s="79" t="s">
        <v>182</v>
      </c>
      <c r="K33" s="79" t="s">
        <v>267</v>
      </c>
      <c r="L33" s="88"/>
      <c r="M33" s="88"/>
      <c r="N33" s="87"/>
      <c r="O33" s="87"/>
      <c r="P33" s="79" t="s">
        <v>180</v>
      </c>
      <c r="Q33" s="79" t="s">
        <v>299</v>
      </c>
      <c r="R33" s="79" t="s">
        <v>182</v>
      </c>
      <c r="S33" s="79" t="s">
        <v>280</v>
      </c>
      <c r="T33" s="79" t="s">
        <v>275</v>
      </c>
      <c r="U33" s="89"/>
      <c r="V33" s="79" t="s">
        <v>221</v>
      </c>
      <c r="W33" s="89"/>
      <c r="X33" s="90" t="s">
        <v>188</v>
      </c>
      <c r="Y33" s="91" t="s">
        <v>189</v>
      </c>
      <c r="Z33" s="90" t="s">
        <v>190</v>
      </c>
      <c r="AA33" s="92" t="s">
        <v>182</v>
      </c>
      <c r="AB33" s="92" t="s">
        <v>191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212</v>
      </c>
      <c r="AQ33" s="92" t="s">
        <v>213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271</v>
      </c>
      <c r="AY33" s="79" t="s">
        <v>236</v>
      </c>
    </row>
    <row r="34">
      <c r="A34" s="79" t="s">
        <v>301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180</v>
      </c>
      <c r="H34" s="86" t="s">
        <v>294</v>
      </c>
      <c r="I34" s="87"/>
      <c r="J34" s="79" t="s">
        <v>182</v>
      </c>
      <c r="K34" s="79" t="s">
        <v>267</v>
      </c>
      <c r="L34" s="88"/>
      <c r="M34" s="88"/>
      <c r="N34" s="87"/>
      <c r="O34" s="87"/>
      <c r="P34" s="79" t="s">
        <v>180</v>
      </c>
      <c r="Q34" s="79" t="s">
        <v>299</v>
      </c>
      <c r="R34" s="79" t="s">
        <v>182</v>
      </c>
      <c r="S34" s="79" t="s">
        <v>277</v>
      </c>
      <c r="T34" s="79" t="s">
        <v>275</v>
      </c>
      <c r="U34" s="89"/>
      <c r="V34" s="79" t="s">
        <v>278</v>
      </c>
      <c r="W34" s="89"/>
      <c r="X34" s="90" t="s">
        <v>188</v>
      </c>
      <c r="Y34" s="91" t="s">
        <v>189</v>
      </c>
      <c r="Z34" s="90" t="s">
        <v>190</v>
      </c>
      <c r="AA34" s="92" t="s">
        <v>182</v>
      </c>
      <c r="AB34" s="92" t="s">
        <v>191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212</v>
      </c>
      <c r="AQ34" s="92" t="s">
        <v>213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271</v>
      </c>
      <c r="AY34" s="79" t="s">
        <v>236</v>
      </c>
    </row>
    <row r="35">
      <c r="A35" s="79" t="s">
        <v>302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180</v>
      </c>
      <c r="H35" s="86" t="s">
        <v>294</v>
      </c>
      <c r="I35" s="87"/>
      <c r="J35" s="79" t="s">
        <v>182</v>
      </c>
      <c r="K35" s="79" t="s">
        <v>267</v>
      </c>
      <c r="L35" s="88"/>
      <c r="M35" s="88"/>
      <c r="N35" s="87"/>
      <c r="O35" s="87"/>
      <c r="P35" s="79" t="s">
        <v>180</v>
      </c>
      <c r="Q35" s="79" t="s">
        <v>299</v>
      </c>
      <c r="R35" s="79" t="s">
        <v>182</v>
      </c>
      <c r="S35" s="79" t="s">
        <v>280</v>
      </c>
      <c r="T35" s="79" t="s">
        <v>275</v>
      </c>
      <c r="U35" s="89"/>
      <c r="V35" s="79" t="s">
        <v>221</v>
      </c>
      <c r="W35" s="89"/>
      <c r="X35" s="99" t="s">
        <v>251</v>
      </c>
      <c r="Y35" s="91" t="s">
        <v>189</v>
      </c>
      <c r="Z35" s="99" t="s">
        <v>190</v>
      </c>
      <c r="AA35" s="92" t="s">
        <v>182</v>
      </c>
      <c r="AB35" s="92" t="s">
        <v>191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212</v>
      </c>
      <c r="AQ35" s="92" t="s">
        <v>213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271</v>
      </c>
      <c r="AY35" s="79" t="s">
        <v>236</v>
      </c>
    </row>
    <row r="36">
      <c r="A36" s="79" t="s">
        <v>303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180</v>
      </c>
      <c r="H36" s="86" t="s">
        <v>294</v>
      </c>
      <c r="I36" s="87"/>
      <c r="J36" s="79" t="s">
        <v>182</v>
      </c>
      <c r="K36" s="79" t="s">
        <v>267</v>
      </c>
      <c r="L36" s="88"/>
      <c r="M36" s="88"/>
      <c r="N36" s="87"/>
      <c r="O36" s="87"/>
      <c r="P36" s="79" t="s">
        <v>180</v>
      </c>
      <c r="Q36" s="79" t="s">
        <v>304</v>
      </c>
      <c r="R36" s="79" t="s">
        <v>182</v>
      </c>
      <c r="S36" s="79" t="s">
        <v>280</v>
      </c>
      <c r="T36" s="79" t="s">
        <v>275</v>
      </c>
      <c r="U36" s="89"/>
      <c r="V36" s="79" t="s">
        <v>221</v>
      </c>
      <c r="W36" s="89"/>
      <c r="X36" s="90" t="s">
        <v>188</v>
      </c>
      <c r="Y36" s="91" t="s">
        <v>189</v>
      </c>
      <c r="Z36" s="90" t="s">
        <v>190</v>
      </c>
      <c r="AA36" s="92" t="s">
        <v>182</v>
      </c>
      <c r="AB36" s="92" t="s">
        <v>191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212</v>
      </c>
      <c r="AQ36" s="92" t="s">
        <v>213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271</v>
      </c>
      <c r="AY36" s="79" t="s">
        <v>227</v>
      </c>
    </row>
    <row r="37">
      <c r="A37" s="79" t="s">
        <v>305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180</v>
      </c>
      <c r="H37" s="86" t="s">
        <v>294</v>
      </c>
      <c r="I37" s="87"/>
      <c r="J37" s="79" t="s">
        <v>182</v>
      </c>
      <c r="K37" s="79" t="s">
        <v>267</v>
      </c>
      <c r="L37" s="88"/>
      <c r="M37" s="88"/>
      <c r="N37" s="87"/>
      <c r="O37" s="87"/>
      <c r="P37" s="79" t="s">
        <v>180</v>
      </c>
      <c r="Q37" s="79" t="s">
        <v>304</v>
      </c>
      <c r="R37" s="79" t="s">
        <v>182</v>
      </c>
      <c r="S37" s="79" t="s">
        <v>280</v>
      </c>
      <c r="T37" s="79" t="s">
        <v>275</v>
      </c>
      <c r="U37" s="89"/>
      <c r="V37" s="79" t="s">
        <v>221</v>
      </c>
      <c r="W37" s="89"/>
      <c r="X37" s="90" t="s">
        <v>188</v>
      </c>
      <c r="Y37" s="91" t="s">
        <v>189</v>
      </c>
      <c r="Z37" s="90" t="s">
        <v>190</v>
      </c>
      <c r="AA37" s="92" t="s">
        <v>182</v>
      </c>
      <c r="AB37" s="92" t="s">
        <v>191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212</v>
      </c>
      <c r="AQ37" s="92" t="s">
        <v>213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271</v>
      </c>
      <c r="AY37" s="79" t="s">
        <v>227</v>
      </c>
    </row>
    <row r="38">
      <c r="A38" s="79" t="s">
        <v>306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180</v>
      </c>
      <c r="H38" s="86" t="s">
        <v>294</v>
      </c>
      <c r="I38" s="87"/>
      <c r="J38" s="79" t="s">
        <v>182</v>
      </c>
      <c r="K38" s="79" t="s">
        <v>267</v>
      </c>
      <c r="L38" s="88"/>
      <c r="M38" s="88"/>
      <c r="N38" s="87"/>
      <c r="O38" s="87"/>
      <c r="P38" s="79" t="s">
        <v>180</v>
      </c>
      <c r="Q38" s="79" t="s">
        <v>304</v>
      </c>
      <c r="R38" s="79" t="s">
        <v>182</v>
      </c>
      <c r="S38" s="79" t="s">
        <v>277</v>
      </c>
      <c r="T38" s="79" t="s">
        <v>275</v>
      </c>
      <c r="U38" s="89"/>
      <c r="V38" s="79" t="s">
        <v>278</v>
      </c>
      <c r="W38" s="89"/>
      <c r="X38" s="90" t="s">
        <v>188</v>
      </c>
      <c r="Y38" s="91" t="s">
        <v>189</v>
      </c>
      <c r="Z38" s="90" t="s">
        <v>190</v>
      </c>
      <c r="AA38" s="92" t="s">
        <v>182</v>
      </c>
      <c r="AB38" s="92" t="s">
        <v>191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212</v>
      </c>
      <c r="AQ38" s="92" t="s">
        <v>213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271</v>
      </c>
      <c r="AY38" s="79" t="s">
        <v>227</v>
      </c>
    </row>
    <row r="39">
      <c r="A39" s="79" t="s">
        <v>307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180</v>
      </c>
      <c r="H39" s="86" t="s">
        <v>294</v>
      </c>
      <c r="I39" s="87"/>
      <c r="J39" s="79" t="s">
        <v>182</v>
      </c>
      <c r="K39" s="79" t="s">
        <v>267</v>
      </c>
      <c r="L39" s="88"/>
      <c r="M39" s="88"/>
      <c r="N39" s="87"/>
      <c r="O39" s="87"/>
      <c r="P39" s="79" t="s">
        <v>180</v>
      </c>
      <c r="Q39" s="79" t="s">
        <v>304</v>
      </c>
      <c r="R39" s="79" t="s">
        <v>182</v>
      </c>
      <c r="S39" s="79" t="s">
        <v>277</v>
      </c>
      <c r="T39" s="79" t="s">
        <v>275</v>
      </c>
      <c r="U39" s="89"/>
      <c r="V39" s="79" t="s">
        <v>278</v>
      </c>
      <c r="W39" s="89"/>
      <c r="X39" s="90" t="s">
        <v>188</v>
      </c>
      <c r="Y39" s="91" t="s">
        <v>189</v>
      </c>
      <c r="Z39" s="90" t="s">
        <v>190</v>
      </c>
      <c r="AA39" s="92" t="s">
        <v>182</v>
      </c>
      <c r="AB39" s="92" t="s">
        <v>191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212</v>
      </c>
      <c r="AQ39" s="92" t="s">
        <v>213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271</v>
      </c>
      <c r="AY39" s="79" t="s">
        <v>227</v>
      </c>
    </row>
    <row r="40">
      <c r="A40" s="79" t="s">
        <v>308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180</v>
      </c>
      <c r="H40" s="86" t="s">
        <v>294</v>
      </c>
      <c r="I40" s="86">
        <v>5.0E8</v>
      </c>
      <c r="J40" s="79" t="s">
        <v>182</v>
      </c>
      <c r="K40" s="79" t="s">
        <v>267</v>
      </c>
      <c r="L40" s="88"/>
      <c r="M40" s="88"/>
      <c r="N40" s="87"/>
      <c r="O40" s="87"/>
      <c r="P40" s="79" t="s">
        <v>180</v>
      </c>
      <c r="Q40" s="79" t="s">
        <v>309</v>
      </c>
      <c r="R40" s="79" t="s">
        <v>182</v>
      </c>
      <c r="S40" s="79" t="s">
        <v>310</v>
      </c>
      <c r="T40" s="79" t="s">
        <v>275</v>
      </c>
      <c r="U40" s="89"/>
      <c r="V40" s="79" t="s">
        <v>187</v>
      </c>
      <c r="W40" s="89"/>
      <c r="X40" s="99" t="s">
        <v>251</v>
      </c>
      <c r="Y40" s="102" t="s">
        <v>260</v>
      </c>
      <c r="Z40" s="99" t="s">
        <v>231</v>
      </c>
      <c r="AA40" s="92" t="s">
        <v>182</v>
      </c>
      <c r="AB40" s="92" t="s">
        <v>211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212</v>
      </c>
      <c r="AQ40" s="92" t="s">
        <v>213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271</v>
      </c>
      <c r="AY40" s="79" t="s">
        <v>311</v>
      </c>
    </row>
    <row r="41">
      <c r="A41" s="79" t="s">
        <v>312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180</v>
      </c>
      <c r="H41" s="86" t="s">
        <v>217</v>
      </c>
      <c r="I41" s="87"/>
      <c r="J41" s="79" t="s">
        <v>182</v>
      </c>
      <c r="K41" s="79" t="s">
        <v>267</v>
      </c>
      <c r="L41" s="88"/>
      <c r="M41" s="88"/>
      <c r="N41" s="87"/>
      <c r="O41" s="87"/>
      <c r="P41" s="79" t="s">
        <v>180</v>
      </c>
      <c r="Q41" s="79" t="s">
        <v>224</v>
      </c>
      <c r="R41" s="79" t="s">
        <v>182</v>
      </c>
      <c r="S41" s="79" t="s">
        <v>313</v>
      </c>
      <c r="T41" s="79" t="s">
        <v>226</v>
      </c>
      <c r="U41" s="89"/>
      <c r="V41" s="79" t="s">
        <v>221</v>
      </c>
      <c r="W41" s="89"/>
      <c r="X41" s="90" t="s">
        <v>188</v>
      </c>
      <c r="Y41" s="91" t="s">
        <v>189</v>
      </c>
      <c r="Z41" s="90" t="s">
        <v>190</v>
      </c>
      <c r="AA41" s="92" t="s">
        <v>182</v>
      </c>
      <c r="AB41" s="92" t="s">
        <v>232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212</v>
      </c>
      <c r="AQ41" s="92" t="s">
        <v>213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271</v>
      </c>
      <c r="AY41" s="79" t="s">
        <v>227</v>
      </c>
    </row>
    <row r="42">
      <c r="A42" s="79" t="s">
        <v>314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180</v>
      </c>
      <c r="H42" s="86" t="s">
        <v>217</v>
      </c>
      <c r="I42" s="87"/>
      <c r="J42" s="79" t="s">
        <v>182</v>
      </c>
      <c r="K42" s="79" t="s">
        <v>267</v>
      </c>
      <c r="L42" s="88"/>
      <c r="M42" s="88"/>
      <c r="N42" s="87"/>
      <c r="O42" s="87"/>
      <c r="P42" s="79" t="s">
        <v>180</v>
      </c>
      <c r="Q42" s="79" t="s">
        <v>207</v>
      </c>
      <c r="R42" s="79" t="s">
        <v>182</v>
      </c>
      <c r="S42" s="79" t="s">
        <v>315</v>
      </c>
      <c r="T42" s="79" t="s">
        <v>316</v>
      </c>
      <c r="U42" s="89"/>
      <c r="V42" s="79" t="s">
        <v>187</v>
      </c>
      <c r="W42" s="89"/>
      <c r="X42" s="90" t="s">
        <v>188</v>
      </c>
      <c r="Y42" s="91" t="s">
        <v>189</v>
      </c>
      <c r="Z42" s="90" t="s">
        <v>231</v>
      </c>
      <c r="AA42" s="92" t="s">
        <v>182</v>
      </c>
      <c r="AB42" s="92" t="s">
        <v>191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212</v>
      </c>
      <c r="AQ42" s="92" t="s">
        <v>213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271</v>
      </c>
      <c r="AY42" s="79" t="s">
        <v>215</v>
      </c>
    </row>
    <row r="43">
      <c r="A43" s="79" t="s">
        <v>317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180</v>
      </c>
      <c r="H43" s="86" t="s">
        <v>256</v>
      </c>
      <c r="I43" s="87"/>
      <c r="J43" s="79" t="s">
        <v>182</v>
      </c>
      <c r="K43" s="79" t="s">
        <v>267</v>
      </c>
      <c r="L43" s="88"/>
      <c r="M43" s="88"/>
      <c r="N43" s="87"/>
      <c r="O43" s="87"/>
      <c r="P43" s="79" t="s">
        <v>180</v>
      </c>
      <c r="Q43" s="79" t="s">
        <v>207</v>
      </c>
      <c r="R43" s="79" t="s">
        <v>182</v>
      </c>
      <c r="S43" s="79" t="s">
        <v>318</v>
      </c>
      <c r="T43" s="79" t="s">
        <v>319</v>
      </c>
      <c r="U43" s="89"/>
      <c r="V43" s="79" t="s">
        <v>187</v>
      </c>
      <c r="W43" s="89"/>
      <c r="X43" s="97" t="s">
        <v>240</v>
      </c>
      <c r="Y43" s="91" t="s">
        <v>189</v>
      </c>
      <c r="Z43" s="97" t="s">
        <v>231</v>
      </c>
      <c r="AA43" s="92" t="s">
        <v>182</v>
      </c>
      <c r="AB43" s="92" t="s">
        <v>320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212</v>
      </c>
      <c r="AQ43" s="92" t="s">
        <v>213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271</v>
      </c>
      <c r="AY43" s="79" t="s">
        <v>215</v>
      </c>
    </row>
    <row r="44">
      <c r="A44" s="79" t="s">
        <v>321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180</v>
      </c>
      <c r="H44" s="86" t="s">
        <v>256</v>
      </c>
      <c r="I44" s="87"/>
      <c r="J44" s="79" t="s">
        <v>182</v>
      </c>
      <c r="K44" s="79" t="s">
        <v>267</v>
      </c>
      <c r="L44" s="88"/>
      <c r="M44" s="88"/>
      <c r="N44" s="87"/>
      <c r="O44" s="87"/>
      <c r="P44" s="79" t="s">
        <v>180</v>
      </c>
      <c r="Q44" s="79" t="s">
        <v>295</v>
      </c>
      <c r="R44" s="79" t="s">
        <v>182</v>
      </c>
      <c r="S44" s="79" t="s">
        <v>322</v>
      </c>
      <c r="T44" s="79" t="s">
        <v>323</v>
      </c>
      <c r="U44" s="89"/>
      <c r="V44" s="79" t="s">
        <v>221</v>
      </c>
      <c r="W44" s="89"/>
      <c r="X44" s="90" t="s">
        <v>188</v>
      </c>
      <c r="Y44" s="91" t="s">
        <v>189</v>
      </c>
      <c r="Z44" s="90" t="s">
        <v>231</v>
      </c>
      <c r="AA44" s="92" t="s">
        <v>182</v>
      </c>
      <c r="AB44" s="92" t="s">
        <v>211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212</v>
      </c>
      <c r="AQ44" s="92" t="s">
        <v>213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271</v>
      </c>
      <c r="AY44" s="79" t="s">
        <v>297</v>
      </c>
    </row>
    <row r="45">
      <c r="A45" s="79" t="s">
        <v>324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180</v>
      </c>
      <c r="H45" s="86" t="s">
        <v>181</v>
      </c>
      <c r="I45" s="86">
        <v>500000.0</v>
      </c>
      <c r="J45" s="79" t="s">
        <v>182</v>
      </c>
      <c r="K45" s="79" t="s">
        <v>267</v>
      </c>
      <c r="L45" s="88"/>
      <c r="M45" s="88"/>
      <c r="N45" s="87"/>
      <c r="O45" s="87"/>
      <c r="P45" s="79" t="s">
        <v>180</v>
      </c>
      <c r="Q45" s="79" t="s">
        <v>207</v>
      </c>
      <c r="R45" s="79" t="s">
        <v>182</v>
      </c>
      <c r="S45" s="79" t="s">
        <v>325</v>
      </c>
      <c r="T45" s="79" t="s">
        <v>323</v>
      </c>
      <c r="U45" s="89"/>
      <c r="V45" s="79" t="s">
        <v>221</v>
      </c>
      <c r="W45" s="89"/>
      <c r="X45" s="99" t="s">
        <v>251</v>
      </c>
      <c r="Y45" s="102" t="s">
        <v>260</v>
      </c>
      <c r="Z45" s="99" t="s">
        <v>231</v>
      </c>
      <c r="AA45" s="92" t="s">
        <v>182</v>
      </c>
      <c r="AB45" s="92" t="s">
        <v>232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212</v>
      </c>
      <c r="AQ45" s="92" t="s">
        <v>213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271</v>
      </c>
      <c r="AY45" s="79" t="s">
        <v>215</v>
      </c>
    </row>
    <row r="46">
      <c r="A46" s="79" t="s">
        <v>326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180</v>
      </c>
      <c r="H46" s="86" t="s">
        <v>181</v>
      </c>
      <c r="I46" s="86">
        <v>500000.0</v>
      </c>
      <c r="J46" s="79" t="s">
        <v>182</v>
      </c>
      <c r="K46" s="79" t="s">
        <v>267</v>
      </c>
      <c r="L46" s="88"/>
      <c r="M46" s="88"/>
      <c r="N46" s="87"/>
      <c r="O46" s="87"/>
      <c r="P46" s="79" t="s">
        <v>180</v>
      </c>
      <c r="Q46" s="79" t="s">
        <v>207</v>
      </c>
      <c r="R46" s="79" t="s">
        <v>182</v>
      </c>
      <c r="S46" s="79" t="s">
        <v>327</v>
      </c>
      <c r="T46" s="79" t="s">
        <v>323</v>
      </c>
      <c r="U46" s="89"/>
      <c r="V46" s="79" t="s">
        <v>221</v>
      </c>
      <c r="W46" s="89"/>
      <c r="X46" s="99" t="s">
        <v>251</v>
      </c>
      <c r="Y46" s="102" t="s">
        <v>260</v>
      </c>
      <c r="Z46" s="99" t="s">
        <v>231</v>
      </c>
      <c r="AA46" s="92" t="s">
        <v>182</v>
      </c>
      <c r="AB46" s="92" t="s">
        <v>191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212</v>
      </c>
      <c r="AQ46" s="92" t="s">
        <v>213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271</v>
      </c>
      <c r="AY46" s="79" t="s">
        <v>215</v>
      </c>
    </row>
    <row r="47">
      <c r="A47" s="79" t="s">
        <v>328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180</v>
      </c>
      <c r="H47" s="86" t="s">
        <v>181</v>
      </c>
      <c r="I47" s="86">
        <v>500000.0</v>
      </c>
      <c r="J47" s="79" t="s">
        <v>182</v>
      </c>
      <c r="K47" s="79" t="s">
        <v>267</v>
      </c>
      <c r="L47" s="88"/>
      <c r="M47" s="88"/>
      <c r="N47" s="87"/>
      <c r="O47" s="87"/>
      <c r="P47" s="79" t="s">
        <v>180</v>
      </c>
      <c r="Q47" s="79" t="s">
        <v>207</v>
      </c>
      <c r="R47" s="79" t="s">
        <v>182</v>
      </c>
      <c r="S47" s="79" t="s">
        <v>329</v>
      </c>
      <c r="T47" s="79" t="s">
        <v>323</v>
      </c>
      <c r="U47" s="89"/>
      <c r="V47" s="79" t="s">
        <v>221</v>
      </c>
      <c r="W47" s="89"/>
      <c r="X47" s="99" t="s">
        <v>251</v>
      </c>
      <c r="Y47" s="102" t="s">
        <v>260</v>
      </c>
      <c r="Z47" s="99" t="s">
        <v>231</v>
      </c>
      <c r="AA47" s="92" t="s">
        <v>182</v>
      </c>
      <c r="AB47" s="92" t="s">
        <v>191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212</v>
      </c>
      <c r="AQ47" s="92" t="s">
        <v>213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271</v>
      </c>
      <c r="AY47" s="79" t="s">
        <v>215</v>
      </c>
    </row>
    <row r="48">
      <c r="A48" s="79" t="s">
        <v>330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180</v>
      </c>
      <c r="H48" s="86" t="s">
        <v>181</v>
      </c>
      <c r="I48" s="86">
        <v>500000.0</v>
      </c>
      <c r="J48" s="79" t="s">
        <v>182</v>
      </c>
      <c r="K48" s="79" t="s">
        <v>267</v>
      </c>
      <c r="L48" s="88"/>
      <c r="M48" s="88"/>
      <c r="N48" s="87"/>
      <c r="O48" s="87"/>
      <c r="P48" s="79" t="s">
        <v>180</v>
      </c>
      <c r="Q48" s="79" t="s">
        <v>207</v>
      </c>
      <c r="R48" s="79" t="s">
        <v>182</v>
      </c>
      <c r="S48" s="79" t="s">
        <v>331</v>
      </c>
      <c r="T48" s="79" t="s">
        <v>323</v>
      </c>
      <c r="U48" s="89"/>
      <c r="V48" s="79" t="s">
        <v>221</v>
      </c>
      <c r="W48" s="89"/>
      <c r="X48" s="99" t="s">
        <v>251</v>
      </c>
      <c r="Y48" s="102" t="s">
        <v>260</v>
      </c>
      <c r="Z48" s="99" t="s">
        <v>231</v>
      </c>
      <c r="AA48" s="92" t="s">
        <v>182</v>
      </c>
      <c r="AB48" s="92" t="s">
        <v>191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212</v>
      </c>
      <c r="AQ48" s="92" t="s">
        <v>213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271</v>
      </c>
      <c r="AY48" s="79" t="s">
        <v>215</v>
      </c>
    </row>
    <row r="49">
      <c r="A49" s="79" t="s">
        <v>116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180</v>
      </c>
      <c r="H49" s="86" t="s">
        <v>181</v>
      </c>
      <c r="I49" s="86">
        <v>20000.0</v>
      </c>
      <c r="J49" s="79" t="s">
        <v>182</v>
      </c>
      <c r="K49" s="79" t="s">
        <v>267</v>
      </c>
      <c r="L49" s="88"/>
      <c r="M49" s="88"/>
      <c r="N49" s="87"/>
      <c r="O49" s="87"/>
      <c r="P49" s="79" t="s">
        <v>180</v>
      </c>
      <c r="Q49" s="79" t="s">
        <v>207</v>
      </c>
      <c r="R49" s="79" t="s">
        <v>182</v>
      </c>
      <c r="S49" s="79" t="s">
        <v>332</v>
      </c>
      <c r="T49" s="79" t="s">
        <v>323</v>
      </c>
      <c r="U49" s="89"/>
      <c r="V49" s="79" t="s">
        <v>221</v>
      </c>
      <c r="W49" s="89"/>
      <c r="X49" s="99" t="s">
        <v>251</v>
      </c>
      <c r="Y49" s="102" t="s">
        <v>260</v>
      </c>
      <c r="Z49" s="99" t="s">
        <v>231</v>
      </c>
      <c r="AA49" s="92" t="s">
        <v>182</v>
      </c>
      <c r="AB49" s="92" t="s">
        <v>232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212</v>
      </c>
      <c r="AQ49" s="92" t="s">
        <v>213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271</v>
      </c>
      <c r="AY49" s="79" t="s">
        <v>215</v>
      </c>
    </row>
    <row r="50">
      <c r="A50" s="79" t="s">
        <v>127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180</v>
      </c>
      <c r="H50" s="86" t="s">
        <v>181</v>
      </c>
      <c r="I50" s="86">
        <v>20000.0</v>
      </c>
      <c r="J50" s="79" t="s">
        <v>182</v>
      </c>
      <c r="K50" s="79" t="s">
        <v>267</v>
      </c>
      <c r="L50" s="88"/>
      <c r="M50" s="88"/>
      <c r="N50" s="87"/>
      <c r="O50" s="87"/>
      <c r="P50" s="79" t="s">
        <v>180</v>
      </c>
      <c r="Q50" s="79" t="s">
        <v>207</v>
      </c>
      <c r="R50" s="79" t="s">
        <v>182</v>
      </c>
      <c r="S50" s="79" t="s">
        <v>332</v>
      </c>
      <c r="T50" s="79" t="s">
        <v>323</v>
      </c>
      <c r="U50" s="89"/>
      <c r="V50" s="79" t="s">
        <v>221</v>
      </c>
      <c r="W50" s="89"/>
      <c r="X50" s="99" t="s">
        <v>251</v>
      </c>
      <c r="Y50" s="102" t="s">
        <v>260</v>
      </c>
      <c r="Z50" s="99" t="s">
        <v>231</v>
      </c>
      <c r="AA50" s="92" t="s">
        <v>182</v>
      </c>
      <c r="AB50" s="92" t="s">
        <v>232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212</v>
      </c>
      <c r="AQ50" s="92" t="s">
        <v>213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271</v>
      </c>
      <c r="AY50" s="79" t="s">
        <v>215</v>
      </c>
    </row>
    <row r="51">
      <c r="A51" s="79" t="s">
        <v>333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180</v>
      </c>
      <c r="H51" s="86" t="s">
        <v>256</v>
      </c>
      <c r="I51" s="86">
        <v>1.0E7</v>
      </c>
      <c r="J51" s="79" t="s">
        <v>182</v>
      </c>
      <c r="K51" s="79" t="s">
        <v>267</v>
      </c>
      <c r="L51" s="88"/>
      <c r="M51" s="88"/>
      <c r="N51" s="87"/>
      <c r="O51" s="87"/>
      <c r="P51" s="79" t="s">
        <v>180</v>
      </c>
      <c r="Q51" s="79" t="s">
        <v>207</v>
      </c>
      <c r="R51" s="79" t="s">
        <v>182</v>
      </c>
      <c r="S51" s="79" t="s">
        <v>334</v>
      </c>
      <c r="T51" s="92" t="s">
        <v>335</v>
      </c>
      <c r="U51" s="89"/>
      <c r="V51" s="79" t="s">
        <v>210</v>
      </c>
      <c r="W51" s="89"/>
      <c r="X51" s="90" t="s">
        <v>188</v>
      </c>
      <c r="Y51" s="91" t="s">
        <v>189</v>
      </c>
      <c r="Z51" s="90" t="s">
        <v>231</v>
      </c>
      <c r="AA51" s="92" t="s">
        <v>182</v>
      </c>
      <c r="AB51" s="92" t="s">
        <v>232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212</v>
      </c>
      <c r="AQ51" s="92" t="s">
        <v>213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271</v>
      </c>
      <c r="AY51" s="79" t="s">
        <v>215</v>
      </c>
    </row>
    <row r="52">
      <c r="A52" s="79" t="s">
        <v>336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180</v>
      </c>
      <c r="H52" s="86" t="s">
        <v>337</v>
      </c>
      <c r="I52" s="86">
        <v>1.0E7</v>
      </c>
      <c r="J52" s="79" t="s">
        <v>182</v>
      </c>
      <c r="K52" s="79" t="s">
        <v>267</v>
      </c>
      <c r="L52" s="88"/>
      <c r="M52" s="88"/>
      <c r="N52" s="87"/>
      <c r="O52" s="87"/>
      <c r="P52" s="79" t="s">
        <v>180</v>
      </c>
      <c r="Q52" s="79" t="s">
        <v>207</v>
      </c>
      <c r="R52" s="79" t="s">
        <v>182</v>
      </c>
      <c r="S52" s="79" t="s">
        <v>338</v>
      </c>
      <c r="T52" s="92" t="s">
        <v>335</v>
      </c>
      <c r="U52" s="89"/>
      <c r="V52" s="79" t="s">
        <v>210</v>
      </c>
      <c r="W52" s="89"/>
      <c r="X52" s="90" t="s">
        <v>188</v>
      </c>
      <c r="Y52" s="91" t="s">
        <v>189</v>
      </c>
      <c r="Z52" s="90" t="s">
        <v>231</v>
      </c>
      <c r="AA52" s="92" t="s">
        <v>182</v>
      </c>
      <c r="AB52" s="92" t="s">
        <v>232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212</v>
      </c>
      <c r="AQ52" s="92" t="s">
        <v>213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271</v>
      </c>
      <c r="AY52" s="79" t="s">
        <v>215</v>
      </c>
    </row>
    <row r="53">
      <c r="A53" s="79" t="s">
        <v>339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180</v>
      </c>
      <c r="H53" s="86" t="s">
        <v>337</v>
      </c>
      <c r="I53" s="86">
        <v>1.0E7</v>
      </c>
      <c r="J53" s="79" t="s">
        <v>182</v>
      </c>
      <c r="K53" s="79" t="s">
        <v>267</v>
      </c>
      <c r="L53" s="88"/>
      <c r="M53" s="88"/>
      <c r="N53" s="87"/>
      <c r="O53" s="87"/>
      <c r="P53" s="79" t="s">
        <v>180</v>
      </c>
      <c r="Q53" s="79" t="s">
        <v>224</v>
      </c>
      <c r="R53" s="79" t="s">
        <v>182</v>
      </c>
      <c r="S53" s="79" t="s">
        <v>340</v>
      </c>
      <c r="T53" s="92" t="s">
        <v>335</v>
      </c>
      <c r="U53" s="89"/>
      <c r="V53" s="79" t="s">
        <v>210</v>
      </c>
      <c r="W53" s="89"/>
      <c r="X53" s="97" t="s">
        <v>240</v>
      </c>
      <c r="Y53" s="91" t="s">
        <v>189</v>
      </c>
      <c r="Z53" s="103"/>
      <c r="AA53" s="92" t="s">
        <v>182</v>
      </c>
      <c r="AB53" s="92" t="s">
        <v>191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212</v>
      </c>
      <c r="AQ53" s="92" t="s">
        <v>213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271</v>
      </c>
      <c r="AY53" s="79" t="s">
        <v>227</v>
      </c>
    </row>
    <row r="54">
      <c r="A54" s="79" t="s">
        <v>341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180</v>
      </c>
      <c r="H54" s="86" t="s">
        <v>337</v>
      </c>
      <c r="I54" s="86">
        <v>1.0E7</v>
      </c>
      <c r="J54" s="79" t="s">
        <v>182</v>
      </c>
      <c r="K54" s="79" t="s">
        <v>267</v>
      </c>
      <c r="L54" s="88"/>
      <c r="M54" s="88"/>
      <c r="N54" s="87"/>
      <c r="O54" s="87"/>
      <c r="P54" s="79" t="s">
        <v>180</v>
      </c>
      <c r="Q54" s="79" t="s">
        <v>224</v>
      </c>
      <c r="R54" s="79" t="s">
        <v>182</v>
      </c>
      <c r="S54" s="79" t="s">
        <v>342</v>
      </c>
      <c r="T54" s="92" t="s">
        <v>335</v>
      </c>
      <c r="U54" s="89"/>
      <c r="V54" s="79" t="s">
        <v>210</v>
      </c>
      <c r="W54" s="89"/>
      <c r="X54" s="90" t="s">
        <v>188</v>
      </c>
      <c r="Y54" s="91" t="s">
        <v>189</v>
      </c>
      <c r="Z54" s="90" t="s">
        <v>231</v>
      </c>
      <c r="AA54" s="92" t="s">
        <v>182</v>
      </c>
      <c r="AB54" s="92" t="s">
        <v>232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212</v>
      </c>
      <c r="AQ54" s="92" t="s">
        <v>213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271</v>
      </c>
      <c r="AY54" s="79" t="s">
        <v>227</v>
      </c>
    </row>
    <row r="55">
      <c r="A55" s="79" t="s">
        <v>343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180</v>
      </c>
      <c r="H55" s="86" t="s">
        <v>217</v>
      </c>
      <c r="I55" s="87"/>
      <c r="J55" s="79" t="s">
        <v>180</v>
      </c>
      <c r="K55" s="79" t="s">
        <v>267</v>
      </c>
      <c r="L55" s="89"/>
      <c r="M55" s="89"/>
      <c r="N55" s="87"/>
      <c r="O55" s="87"/>
      <c r="P55" s="79" t="s">
        <v>182</v>
      </c>
      <c r="Q55" s="79" t="s">
        <v>207</v>
      </c>
      <c r="R55" s="79" t="s">
        <v>182</v>
      </c>
      <c r="S55" s="79" t="s">
        <v>344</v>
      </c>
      <c r="T55" s="79" t="s">
        <v>269</v>
      </c>
      <c r="U55" s="89"/>
      <c r="V55" s="79" t="s">
        <v>221</v>
      </c>
      <c r="W55" s="89"/>
      <c r="X55" s="90" t="s">
        <v>188</v>
      </c>
      <c r="Y55" s="96" t="s">
        <v>270</v>
      </c>
      <c r="Z55" s="90" t="s">
        <v>190</v>
      </c>
      <c r="AA55" s="92" t="s">
        <v>180</v>
      </c>
      <c r="AB55" s="92" t="s">
        <v>232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212</v>
      </c>
      <c r="AQ55" s="92" t="s">
        <v>213</v>
      </c>
      <c r="AR55" s="101"/>
      <c r="AS55" s="100"/>
      <c r="AT55" s="101"/>
      <c r="AU55" s="101"/>
      <c r="AV55" s="100"/>
      <c r="AW55" s="100"/>
      <c r="AX55" s="94" t="s">
        <v>271</v>
      </c>
      <c r="AY55" s="79" t="s">
        <v>215</v>
      </c>
    </row>
    <row r="56">
      <c r="A56" s="79" t="s">
        <v>345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180</v>
      </c>
      <c r="H56" s="86" t="s">
        <v>181</v>
      </c>
      <c r="I56" s="87"/>
      <c r="J56" s="79" t="s">
        <v>180</v>
      </c>
      <c r="K56" s="79" t="s">
        <v>267</v>
      </c>
      <c r="L56" s="89"/>
      <c r="M56" s="89"/>
      <c r="N56" s="87"/>
      <c r="O56" s="87"/>
      <c r="P56" s="79" t="s">
        <v>182</v>
      </c>
      <c r="Q56" s="79" t="s">
        <v>207</v>
      </c>
      <c r="R56" s="79" t="s">
        <v>182</v>
      </c>
      <c r="S56" s="79" t="s">
        <v>346</v>
      </c>
      <c r="T56" s="79" t="s">
        <v>269</v>
      </c>
      <c r="U56" s="89"/>
      <c r="V56" s="79" t="s">
        <v>221</v>
      </c>
      <c r="W56" s="89"/>
      <c r="X56" s="90" t="s">
        <v>188</v>
      </c>
      <c r="Y56" s="96" t="s">
        <v>270</v>
      </c>
      <c r="Z56" s="90" t="s">
        <v>190</v>
      </c>
      <c r="AA56" s="92" t="s">
        <v>180</v>
      </c>
      <c r="AB56" s="92" t="s">
        <v>232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212</v>
      </c>
      <c r="AQ56" s="92" t="s">
        <v>213</v>
      </c>
      <c r="AR56" s="101"/>
      <c r="AS56" s="100"/>
      <c r="AT56" s="101"/>
      <c r="AU56" s="101"/>
      <c r="AV56" s="100"/>
      <c r="AW56" s="100"/>
      <c r="AX56" s="94" t="s">
        <v>271</v>
      </c>
      <c r="AY56" s="79" t="s">
        <v>215</v>
      </c>
    </row>
    <row r="57">
      <c r="A57" s="79" t="s">
        <v>347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180</v>
      </c>
      <c r="H57" s="86" t="s">
        <v>181</v>
      </c>
      <c r="I57" s="87"/>
      <c r="J57" s="79" t="s">
        <v>182</v>
      </c>
      <c r="K57" s="79" t="s">
        <v>267</v>
      </c>
      <c r="L57" s="88"/>
      <c r="M57" s="88"/>
      <c r="N57" s="87"/>
      <c r="O57" s="87"/>
      <c r="P57" s="79" t="s">
        <v>180</v>
      </c>
      <c r="Q57" s="79" t="s">
        <v>207</v>
      </c>
      <c r="R57" s="79" t="s">
        <v>182</v>
      </c>
      <c r="S57" s="79" t="s">
        <v>348</v>
      </c>
      <c r="T57" s="79" t="s">
        <v>269</v>
      </c>
      <c r="U57" s="89"/>
      <c r="V57" s="79" t="s">
        <v>221</v>
      </c>
      <c r="W57" s="89"/>
      <c r="X57" s="90" t="s">
        <v>188</v>
      </c>
      <c r="Y57" s="91" t="s">
        <v>189</v>
      </c>
      <c r="Z57" s="90" t="s">
        <v>190</v>
      </c>
      <c r="AA57" s="92" t="s">
        <v>182</v>
      </c>
      <c r="AB57" s="92" t="s">
        <v>191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212</v>
      </c>
      <c r="AQ57" s="92" t="s">
        <v>213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271</v>
      </c>
      <c r="AY57" s="79" t="s">
        <v>215</v>
      </c>
    </row>
    <row r="58">
      <c r="A58" s="79" t="s">
        <v>123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180</v>
      </c>
      <c r="H58" s="86" t="s">
        <v>256</v>
      </c>
      <c r="I58" s="87"/>
      <c r="J58" s="79" t="s">
        <v>182</v>
      </c>
      <c r="K58" s="79" t="s">
        <v>267</v>
      </c>
      <c r="L58" s="88"/>
      <c r="M58" s="88"/>
      <c r="N58" s="87"/>
      <c r="O58" s="87"/>
      <c r="P58" s="79" t="s">
        <v>180</v>
      </c>
      <c r="Q58" s="79" t="s">
        <v>207</v>
      </c>
      <c r="R58" s="79" t="s">
        <v>182</v>
      </c>
      <c r="S58" s="79" t="s">
        <v>349</v>
      </c>
      <c r="T58" s="79" t="s">
        <v>350</v>
      </c>
      <c r="U58" s="89"/>
      <c r="V58" s="79" t="s">
        <v>221</v>
      </c>
      <c r="W58" s="89"/>
      <c r="X58" s="99" t="s">
        <v>251</v>
      </c>
      <c r="Y58" s="91" t="s">
        <v>189</v>
      </c>
      <c r="Z58" s="99" t="s">
        <v>231</v>
      </c>
      <c r="AA58" s="92" t="s">
        <v>182</v>
      </c>
      <c r="AB58" s="92" t="s">
        <v>211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212</v>
      </c>
      <c r="AQ58" s="92" t="s">
        <v>213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271</v>
      </c>
      <c r="AY58" s="79" t="s">
        <v>215</v>
      </c>
    </row>
    <row r="59">
      <c r="A59" s="79" t="s">
        <v>121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180</v>
      </c>
      <c r="H59" s="86" t="s">
        <v>256</v>
      </c>
      <c r="I59" s="87"/>
      <c r="J59" s="79" t="s">
        <v>180</v>
      </c>
      <c r="K59" s="79" t="s">
        <v>267</v>
      </c>
      <c r="L59" s="88"/>
      <c r="M59" s="88"/>
      <c r="N59" s="87"/>
      <c r="O59" s="87"/>
      <c r="P59" s="79" t="s">
        <v>180</v>
      </c>
      <c r="Q59" s="79" t="s">
        <v>207</v>
      </c>
      <c r="R59" s="79" t="s">
        <v>182</v>
      </c>
      <c r="S59" s="79" t="s">
        <v>351</v>
      </c>
      <c r="T59" s="92" t="s">
        <v>335</v>
      </c>
      <c r="U59" s="89"/>
      <c r="V59" s="79" t="s">
        <v>187</v>
      </c>
      <c r="W59" s="89"/>
      <c r="X59" s="90" t="s">
        <v>188</v>
      </c>
      <c r="Y59" s="96" t="s">
        <v>189</v>
      </c>
      <c r="Z59" s="90" t="s">
        <v>190</v>
      </c>
      <c r="AA59" s="92" t="s">
        <v>180</v>
      </c>
      <c r="AB59" s="92" t="s">
        <v>211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212</v>
      </c>
      <c r="AQ59" s="92" t="s">
        <v>213</v>
      </c>
      <c r="AR59" s="101"/>
      <c r="AS59" s="100"/>
      <c r="AT59" s="101"/>
      <c r="AU59" s="101"/>
      <c r="AV59" s="100"/>
      <c r="AW59" s="100"/>
      <c r="AX59" s="94" t="s">
        <v>271</v>
      </c>
      <c r="AY59" s="79" t="s">
        <v>215</v>
      </c>
    </row>
    <row r="60">
      <c r="A60" s="79" t="s">
        <v>352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180</v>
      </c>
      <c r="H60" s="86" t="s">
        <v>353</v>
      </c>
      <c r="I60" s="86">
        <v>60000.0</v>
      </c>
      <c r="J60" s="79" t="s">
        <v>182</v>
      </c>
      <c r="K60" s="79" t="s">
        <v>267</v>
      </c>
      <c r="L60" s="88"/>
      <c r="M60" s="88"/>
      <c r="N60" s="87"/>
      <c r="O60" s="87"/>
      <c r="P60" s="79" t="s">
        <v>180</v>
      </c>
      <c r="Q60" s="79" t="s">
        <v>207</v>
      </c>
      <c r="R60" s="79" t="s">
        <v>182</v>
      </c>
      <c r="S60" s="79" t="s">
        <v>354</v>
      </c>
      <c r="T60" s="79" t="s">
        <v>355</v>
      </c>
      <c r="U60" s="89"/>
      <c r="V60" s="79" t="s">
        <v>221</v>
      </c>
      <c r="W60" s="89"/>
      <c r="X60" s="90" t="s">
        <v>188</v>
      </c>
      <c r="Y60" s="102" t="s">
        <v>260</v>
      </c>
      <c r="Z60" s="90" t="s">
        <v>231</v>
      </c>
      <c r="AA60" s="92" t="s">
        <v>182</v>
      </c>
      <c r="AB60" s="92" t="s">
        <v>211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212</v>
      </c>
      <c r="AQ60" s="92" t="s">
        <v>213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271</v>
      </c>
      <c r="AY60" s="79" t="s">
        <v>215</v>
      </c>
    </row>
    <row r="61">
      <c r="A61" s="79" t="s">
        <v>122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180</v>
      </c>
      <c r="H61" s="86" t="s">
        <v>181</v>
      </c>
      <c r="I61" s="86">
        <v>3000.0</v>
      </c>
      <c r="J61" s="79" t="s">
        <v>180</v>
      </c>
      <c r="K61" s="79" t="s">
        <v>267</v>
      </c>
      <c r="L61" s="88"/>
      <c r="M61" s="88"/>
      <c r="N61" s="87"/>
      <c r="O61" s="87"/>
      <c r="P61" s="79" t="s">
        <v>180</v>
      </c>
      <c r="Q61" s="79" t="s">
        <v>207</v>
      </c>
      <c r="R61" s="79" t="s">
        <v>182</v>
      </c>
      <c r="S61" s="79" t="s">
        <v>356</v>
      </c>
      <c r="T61" s="79" t="s">
        <v>355</v>
      </c>
      <c r="U61" s="89"/>
      <c r="V61" s="79" t="s">
        <v>221</v>
      </c>
      <c r="W61" s="89"/>
      <c r="X61" s="90" t="s">
        <v>188</v>
      </c>
      <c r="Y61" s="96" t="s">
        <v>270</v>
      </c>
      <c r="Z61" s="90" t="s">
        <v>357</v>
      </c>
      <c r="AA61" s="92" t="s">
        <v>180</v>
      </c>
      <c r="AB61" s="92" t="s">
        <v>211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212</v>
      </c>
      <c r="AQ61" s="92" t="s">
        <v>213</v>
      </c>
      <c r="AR61" s="101"/>
      <c r="AS61" s="100"/>
      <c r="AT61" s="101"/>
      <c r="AU61" s="101"/>
      <c r="AV61" s="100"/>
      <c r="AW61" s="100"/>
      <c r="AX61" s="94" t="s">
        <v>271</v>
      </c>
      <c r="AY61" s="79" t="s">
        <v>215</v>
      </c>
    </row>
    <row r="62">
      <c r="A62" s="79" t="s">
        <v>358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180</v>
      </c>
      <c r="H62" s="86" t="s">
        <v>359</v>
      </c>
      <c r="I62" s="87"/>
      <c r="J62" s="79" t="s">
        <v>182</v>
      </c>
      <c r="K62" s="79" t="s">
        <v>360</v>
      </c>
      <c r="L62" s="79" t="s">
        <v>361</v>
      </c>
      <c r="M62" s="79" t="s">
        <v>362</v>
      </c>
      <c r="N62" s="86">
        <v>2.0</v>
      </c>
      <c r="O62" s="86">
        <v>1.0</v>
      </c>
      <c r="P62" s="79" t="s">
        <v>180</v>
      </c>
      <c r="Q62" s="79" t="s">
        <v>207</v>
      </c>
      <c r="R62" s="79" t="s">
        <v>182</v>
      </c>
      <c r="S62" s="79" t="s">
        <v>363</v>
      </c>
      <c r="T62" s="79" t="s">
        <v>364</v>
      </c>
      <c r="U62" s="89"/>
      <c r="V62" s="79" t="s">
        <v>221</v>
      </c>
      <c r="W62" s="89"/>
      <c r="X62" s="95" t="s">
        <v>199</v>
      </c>
      <c r="Y62" s="96" t="s">
        <v>189</v>
      </c>
      <c r="Z62" s="95" t="s">
        <v>231</v>
      </c>
      <c r="AA62" s="92" t="s">
        <v>182</v>
      </c>
      <c r="AB62" s="92" t="s">
        <v>211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212</v>
      </c>
      <c r="AQ62" s="92" t="s">
        <v>213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271</v>
      </c>
      <c r="AY62" s="79" t="s">
        <v>215</v>
      </c>
    </row>
    <row r="63">
      <c r="A63" s="79" t="s">
        <v>365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180</v>
      </c>
      <c r="H63" s="86" t="s">
        <v>359</v>
      </c>
      <c r="I63" s="87"/>
      <c r="J63" s="79" t="s">
        <v>182</v>
      </c>
      <c r="K63" s="79" t="s">
        <v>360</v>
      </c>
      <c r="L63" s="79" t="s">
        <v>361</v>
      </c>
      <c r="M63" s="79" t="s">
        <v>366</v>
      </c>
      <c r="N63" s="86">
        <v>2.0</v>
      </c>
      <c r="O63" s="86">
        <v>1.0</v>
      </c>
      <c r="P63" s="79" t="s">
        <v>180</v>
      </c>
      <c r="Q63" s="79" t="s">
        <v>207</v>
      </c>
      <c r="R63" s="79" t="s">
        <v>182</v>
      </c>
      <c r="S63" s="79" t="s">
        <v>367</v>
      </c>
      <c r="T63" s="79" t="s">
        <v>364</v>
      </c>
      <c r="U63" s="89"/>
      <c r="V63" s="79" t="s">
        <v>221</v>
      </c>
      <c r="W63" s="89"/>
      <c r="X63" s="95" t="s">
        <v>199</v>
      </c>
      <c r="Y63" s="96" t="s">
        <v>189</v>
      </c>
      <c r="Z63" s="95" t="s">
        <v>231</v>
      </c>
      <c r="AA63" s="92" t="s">
        <v>182</v>
      </c>
      <c r="AB63" s="92" t="s">
        <v>211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212</v>
      </c>
      <c r="AQ63" s="92" t="s">
        <v>213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271</v>
      </c>
      <c r="AY63" s="79" t="s">
        <v>215</v>
      </c>
    </row>
    <row r="64">
      <c r="A64" s="79" t="s">
        <v>368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180</v>
      </c>
      <c r="H64" s="86" t="s">
        <v>359</v>
      </c>
      <c r="I64" s="87"/>
      <c r="J64" s="79" t="s">
        <v>182</v>
      </c>
      <c r="K64" s="79" t="s">
        <v>360</v>
      </c>
      <c r="L64" s="79" t="s">
        <v>361</v>
      </c>
      <c r="M64" s="79" t="s">
        <v>369</v>
      </c>
      <c r="N64" s="86">
        <v>2.0</v>
      </c>
      <c r="O64" s="86">
        <v>1.0</v>
      </c>
      <c r="P64" s="79" t="s">
        <v>180</v>
      </c>
      <c r="Q64" s="79" t="s">
        <v>207</v>
      </c>
      <c r="R64" s="79" t="s">
        <v>182</v>
      </c>
      <c r="S64" s="79" t="s">
        <v>370</v>
      </c>
      <c r="T64" s="79" t="s">
        <v>364</v>
      </c>
      <c r="U64" s="89"/>
      <c r="V64" s="79" t="s">
        <v>221</v>
      </c>
      <c r="W64" s="89"/>
      <c r="X64" s="95" t="s">
        <v>199</v>
      </c>
      <c r="Y64" s="96" t="s">
        <v>189</v>
      </c>
      <c r="Z64" s="95" t="s">
        <v>231</v>
      </c>
      <c r="AA64" s="92" t="s">
        <v>182</v>
      </c>
      <c r="AB64" s="92" t="s">
        <v>211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212</v>
      </c>
      <c r="AQ64" s="92" t="s">
        <v>213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271</v>
      </c>
      <c r="AY64" s="79" t="s">
        <v>215</v>
      </c>
    </row>
    <row r="65">
      <c r="A65" s="79" t="s">
        <v>371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180</v>
      </c>
      <c r="H65" s="86" t="s">
        <v>181</v>
      </c>
      <c r="I65" s="87"/>
      <c r="J65" s="79" t="s">
        <v>182</v>
      </c>
      <c r="K65" s="79" t="s">
        <v>257</v>
      </c>
      <c r="L65" s="88"/>
      <c r="M65" s="88"/>
      <c r="N65" s="87"/>
      <c r="O65" s="87"/>
      <c r="P65" s="79" t="s">
        <v>180</v>
      </c>
      <c r="Q65" s="79" t="s">
        <v>207</v>
      </c>
      <c r="R65" s="79" t="s">
        <v>180</v>
      </c>
      <c r="S65" s="79" t="s">
        <v>372</v>
      </c>
      <c r="T65" s="79" t="s">
        <v>373</v>
      </c>
      <c r="U65" s="89"/>
      <c r="V65" s="79" t="s">
        <v>187</v>
      </c>
      <c r="W65" s="89"/>
      <c r="X65" s="90" t="s">
        <v>188</v>
      </c>
      <c r="Y65" s="91" t="s">
        <v>189</v>
      </c>
      <c r="Z65" s="90" t="s">
        <v>190</v>
      </c>
      <c r="AA65" s="92" t="s">
        <v>182</v>
      </c>
      <c r="AB65" s="92" t="s">
        <v>191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212</v>
      </c>
      <c r="AQ65" s="92" t="s">
        <v>213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271</v>
      </c>
      <c r="AY65" s="79" t="s">
        <v>215</v>
      </c>
    </row>
    <row r="66">
      <c r="A66" s="79" t="s">
        <v>374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180</v>
      </c>
      <c r="H66" s="86" t="s">
        <v>181</v>
      </c>
      <c r="I66" s="87"/>
      <c r="J66" s="79" t="s">
        <v>182</v>
      </c>
      <c r="K66" s="79" t="s">
        <v>257</v>
      </c>
      <c r="L66" s="88"/>
      <c r="M66" s="88"/>
      <c r="N66" s="87"/>
      <c r="O66" s="87"/>
      <c r="P66" s="79" t="s">
        <v>180</v>
      </c>
      <c r="Q66" s="79" t="s">
        <v>207</v>
      </c>
      <c r="R66" s="79" t="s">
        <v>180</v>
      </c>
      <c r="S66" s="79" t="s">
        <v>375</v>
      </c>
      <c r="T66" s="79" t="s">
        <v>373</v>
      </c>
      <c r="U66" s="89"/>
      <c r="V66" s="79" t="s">
        <v>187</v>
      </c>
      <c r="W66" s="89"/>
      <c r="X66" s="90" t="s">
        <v>188</v>
      </c>
      <c r="Y66" s="91" t="s">
        <v>189</v>
      </c>
      <c r="Z66" s="98"/>
      <c r="AA66" s="92" t="s">
        <v>182</v>
      </c>
      <c r="AB66" s="92" t="s">
        <v>191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212</v>
      </c>
      <c r="AQ66" s="92" t="s">
        <v>213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271</v>
      </c>
      <c r="AY66" s="79" t="s">
        <v>215</v>
      </c>
    </row>
    <row r="67">
      <c r="A67" s="79" t="s">
        <v>376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180</v>
      </c>
      <c r="H67" s="86" t="s">
        <v>181</v>
      </c>
      <c r="I67" s="87"/>
      <c r="J67" s="79" t="s">
        <v>182</v>
      </c>
      <c r="K67" s="79" t="s">
        <v>257</v>
      </c>
      <c r="L67" s="88"/>
      <c r="M67" s="88"/>
      <c r="N67" s="87"/>
      <c r="O67" s="87"/>
      <c r="P67" s="79" t="s">
        <v>180</v>
      </c>
      <c r="Q67" s="79" t="s">
        <v>207</v>
      </c>
      <c r="R67" s="79" t="s">
        <v>180</v>
      </c>
      <c r="S67" s="79" t="s">
        <v>377</v>
      </c>
      <c r="T67" s="79" t="s">
        <v>373</v>
      </c>
      <c r="U67" s="89"/>
      <c r="V67" s="79" t="s">
        <v>187</v>
      </c>
      <c r="W67" s="89"/>
      <c r="X67" s="90" t="s">
        <v>188</v>
      </c>
      <c r="Y67" s="91" t="s">
        <v>189</v>
      </c>
      <c r="Z67" s="90" t="s">
        <v>190</v>
      </c>
      <c r="AA67" s="92" t="s">
        <v>182</v>
      </c>
      <c r="AB67" s="92" t="s">
        <v>232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212</v>
      </c>
      <c r="AQ67" s="92" t="s">
        <v>213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271</v>
      </c>
      <c r="AY67" s="79" t="s">
        <v>215</v>
      </c>
    </row>
    <row r="68">
      <c r="A68" s="79" t="s">
        <v>378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180</v>
      </c>
      <c r="H68" s="86" t="s">
        <v>181</v>
      </c>
      <c r="I68" s="87"/>
      <c r="J68" s="79" t="s">
        <v>182</v>
      </c>
      <c r="K68" s="79" t="s">
        <v>257</v>
      </c>
      <c r="L68" s="88"/>
      <c r="M68" s="88"/>
      <c r="N68" s="87"/>
      <c r="O68" s="87"/>
      <c r="P68" s="79" t="s">
        <v>180</v>
      </c>
      <c r="Q68" s="79" t="s">
        <v>207</v>
      </c>
      <c r="R68" s="79" t="s">
        <v>180</v>
      </c>
      <c r="S68" s="79" t="s">
        <v>379</v>
      </c>
      <c r="T68" s="79" t="s">
        <v>373</v>
      </c>
      <c r="U68" s="89"/>
      <c r="V68" s="79" t="s">
        <v>187</v>
      </c>
      <c r="W68" s="89"/>
      <c r="X68" s="90" t="s">
        <v>188</v>
      </c>
      <c r="Y68" s="91" t="s">
        <v>189</v>
      </c>
      <c r="Z68" s="90" t="s">
        <v>190</v>
      </c>
      <c r="AA68" s="92" t="s">
        <v>182</v>
      </c>
      <c r="AB68" s="92" t="s">
        <v>232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212</v>
      </c>
      <c r="AQ68" s="92" t="s">
        <v>213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271</v>
      </c>
      <c r="AY68" s="79" t="s">
        <v>215</v>
      </c>
    </row>
    <row r="69">
      <c r="A69" s="79" t="s">
        <v>380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180</v>
      </c>
      <c r="H69" s="86" t="s">
        <v>337</v>
      </c>
      <c r="I69" s="87"/>
      <c r="J69" s="79" t="s">
        <v>182</v>
      </c>
      <c r="K69" s="79" t="s">
        <v>183</v>
      </c>
      <c r="L69" s="88"/>
      <c r="M69" s="88"/>
      <c r="N69" s="87"/>
      <c r="O69" s="87"/>
      <c r="P69" s="79" t="s">
        <v>180</v>
      </c>
      <c r="Q69" s="79" t="s">
        <v>207</v>
      </c>
      <c r="R69" s="79" t="s">
        <v>180</v>
      </c>
      <c r="S69" s="79" t="s">
        <v>381</v>
      </c>
      <c r="T69" s="79" t="s">
        <v>382</v>
      </c>
      <c r="U69" s="89"/>
      <c r="V69" s="79" t="s">
        <v>187</v>
      </c>
      <c r="W69" s="89"/>
      <c r="X69" s="90" t="s">
        <v>188</v>
      </c>
      <c r="Y69" s="91" t="s">
        <v>189</v>
      </c>
      <c r="Z69" s="90" t="s">
        <v>231</v>
      </c>
      <c r="AA69" s="92" t="s">
        <v>182</v>
      </c>
      <c r="AB69" s="92" t="s">
        <v>320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212</v>
      </c>
      <c r="AQ69" s="92" t="s">
        <v>213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271</v>
      </c>
      <c r="AY69" s="79" t="s">
        <v>383</v>
      </c>
    </row>
    <row r="70">
      <c r="A70" s="79" t="s">
        <v>384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180</v>
      </c>
      <c r="H70" s="86" t="s">
        <v>217</v>
      </c>
      <c r="I70" s="87"/>
      <c r="J70" s="79" t="s">
        <v>182</v>
      </c>
      <c r="K70" s="79" t="s">
        <v>183</v>
      </c>
      <c r="L70" s="88"/>
      <c r="M70" s="88"/>
      <c r="N70" s="87"/>
      <c r="O70" s="87"/>
      <c r="P70" s="79" t="s">
        <v>180</v>
      </c>
      <c r="Q70" s="79" t="s">
        <v>207</v>
      </c>
      <c r="R70" s="79" t="s">
        <v>180</v>
      </c>
      <c r="S70" s="79" t="s">
        <v>385</v>
      </c>
      <c r="T70" s="79" t="s">
        <v>386</v>
      </c>
      <c r="U70" s="89"/>
      <c r="V70" s="79" t="s">
        <v>221</v>
      </c>
      <c r="W70" s="89"/>
      <c r="X70" s="97" t="s">
        <v>240</v>
      </c>
      <c r="Y70" s="91" t="s">
        <v>189</v>
      </c>
      <c r="Z70" s="97" t="s">
        <v>231</v>
      </c>
      <c r="AA70" s="92" t="s">
        <v>182</v>
      </c>
      <c r="AB70" s="92" t="s">
        <v>211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212</v>
      </c>
      <c r="AQ70" s="92" t="s">
        <v>213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271</v>
      </c>
      <c r="AY70" s="79" t="s">
        <v>195</v>
      </c>
    </row>
    <row r="71">
      <c r="A71" s="79" t="s">
        <v>387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180</v>
      </c>
      <c r="H71" s="86" t="s">
        <v>388</v>
      </c>
      <c r="I71" s="87"/>
      <c r="J71" s="79" t="s">
        <v>182</v>
      </c>
      <c r="K71" s="79" t="s">
        <v>389</v>
      </c>
      <c r="L71" s="88"/>
      <c r="M71" s="88"/>
      <c r="N71" s="87"/>
      <c r="O71" s="87"/>
      <c r="P71" s="79" t="s">
        <v>180</v>
      </c>
      <c r="Q71" s="79" t="s">
        <v>234</v>
      </c>
      <c r="R71" s="79" t="s">
        <v>180</v>
      </c>
      <c r="S71" s="79" t="s">
        <v>390</v>
      </c>
      <c r="T71" s="79" t="s">
        <v>389</v>
      </c>
      <c r="U71" s="89"/>
      <c r="V71" s="79" t="s">
        <v>221</v>
      </c>
      <c r="W71" s="89"/>
      <c r="X71" s="90" t="s">
        <v>188</v>
      </c>
      <c r="Y71" s="91" t="s">
        <v>189</v>
      </c>
      <c r="Z71" s="90" t="s">
        <v>190</v>
      </c>
      <c r="AA71" s="92" t="s">
        <v>182</v>
      </c>
      <c r="AB71" s="92" t="s">
        <v>191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391</v>
      </c>
      <c r="AQ71" s="92" t="s">
        <v>193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271</v>
      </c>
      <c r="AY71" s="79" t="s">
        <v>236</v>
      </c>
    </row>
    <row r="72">
      <c r="A72" s="79" t="s">
        <v>392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180</v>
      </c>
      <c r="H72" s="86" t="s">
        <v>393</v>
      </c>
      <c r="I72" s="87"/>
      <c r="J72" s="79" t="s">
        <v>182</v>
      </c>
      <c r="K72" s="79" t="s">
        <v>389</v>
      </c>
      <c r="L72" s="88"/>
      <c r="M72" s="88"/>
      <c r="N72" s="87"/>
      <c r="O72" s="87"/>
      <c r="P72" s="79" t="s">
        <v>180</v>
      </c>
      <c r="Q72" s="79" t="s">
        <v>234</v>
      </c>
      <c r="R72" s="79" t="s">
        <v>180</v>
      </c>
      <c r="S72" s="79" t="s">
        <v>394</v>
      </c>
      <c r="T72" s="79" t="s">
        <v>389</v>
      </c>
      <c r="U72" s="89"/>
      <c r="V72" s="79" t="s">
        <v>221</v>
      </c>
      <c r="W72" s="89"/>
      <c r="X72" s="90" t="s">
        <v>188</v>
      </c>
      <c r="Y72" s="91" t="s">
        <v>189</v>
      </c>
      <c r="Z72" s="90" t="s">
        <v>190</v>
      </c>
      <c r="AA72" s="92" t="s">
        <v>182</v>
      </c>
      <c r="AB72" s="92" t="s">
        <v>191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391</v>
      </c>
      <c r="AQ72" s="92" t="s">
        <v>193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271</v>
      </c>
      <c r="AY72" s="79" t="s">
        <v>236</v>
      </c>
    </row>
    <row r="73">
      <c r="A73" s="79" t="s">
        <v>395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180</v>
      </c>
      <c r="H73" s="86" t="s">
        <v>396</v>
      </c>
      <c r="I73" s="87"/>
      <c r="J73" s="79" t="s">
        <v>182</v>
      </c>
      <c r="K73" s="79" t="s">
        <v>389</v>
      </c>
      <c r="L73" s="88"/>
      <c r="M73" s="88"/>
      <c r="N73" s="87"/>
      <c r="O73" s="87"/>
      <c r="P73" s="79" t="s">
        <v>180</v>
      </c>
      <c r="Q73" s="79" t="s">
        <v>234</v>
      </c>
      <c r="R73" s="79" t="s">
        <v>180</v>
      </c>
      <c r="S73" s="79" t="s">
        <v>397</v>
      </c>
      <c r="T73" s="79" t="s">
        <v>389</v>
      </c>
      <c r="U73" s="89"/>
      <c r="V73" s="79" t="s">
        <v>221</v>
      </c>
      <c r="W73" s="89"/>
      <c r="X73" s="90" t="s">
        <v>188</v>
      </c>
      <c r="Y73" s="91" t="s">
        <v>189</v>
      </c>
      <c r="Z73" s="90" t="s">
        <v>190</v>
      </c>
      <c r="AA73" s="92" t="s">
        <v>182</v>
      </c>
      <c r="AB73" s="92" t="s">
        <v>191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391</v>
      </c>
      <c r="AQ73" s="92" t="s">
        <v>193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271</v>
      </c>
      <c r="AY73" s="79" t="s">
        <v>236</v>
      </c>
    </row>
    <row r="74">
      <c r="A74" s="79" t="s">
        <v>398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180</v>
      </c>
      <c r="H74" s="86" t="s">
        <v>399</v>
      </c>
      <c r="I74" s="87"/>
      <c r="J74" s="79" t="s">
        <v>182</v>
      </c>
      <c r="K74" s="79" t="s">
        <v>389</v>
      </c>
      <c r="L74" s="88"/>
      <c r="M74" s="88"/>
      <c r="N74" s="87"/>
      <c r="O74" s="87"/>
      <c r="P74" s="79" t="s">
        <v>180</v>
      </c>
      <c r="Q74" s="79" t="s">
        <v>234</v>
      </c>
      <c r="R74" s="79" t="s">
        <v>180</v>
      </c>
      <c r="S74" s="79" t="s">
        <v>400</v>
      </c>
      <c r="T74" s="79" t="s">
        <v>389</v>
      </c>
      <c r="U74" s="89"/>
      <c r="V74" s="79" t="s">
        <v>221</v>
      </c>
      <c r="W74" s="89"/>
      <c r="X74" s="90" t="s">
        <v>188</v>
      </c>
      <c r="Y74" s="91" t="s">
        <v>189</v>
      </c>
      <c r="Z74" s="90" t="s">
        <v>190</v>
      </c>
      <c r="AA74" s="92" t="s">
        <v>182</v>
      </c>
      <c r="AB74" s="92" t="s">
        <v>191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391</v>
      </c>
      <c r="AQ74" s="92" t="s">
        <v>193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271</v>
      </c>
      <c r="AY74" s="79" t="s">
        <v>236</v>
      </c>
    </row>
    <row r="75">
      <c r="A75" s="79" t="s">
        <v>401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180</v>
      </c>
      <c r="H75" s="86" t="s">
        <v>402</v>
      </c>
      <c r="I75" s="87"/>
      <c r="J75" s="79" t="s">
        <v>182</v>
      </c>
      <c r="K75" s="79" t="s">
        <v>389</v>
      </c>
      <c r="L75" s="88"/>
      <c r="M75" s="88"/>
      <c r="N75" s="87"/>
      <c r="O75" s="87"/>
      <c r="P75" s="79" t="s">
        <v>180</v>
      </c>
      <c r="Q75" s="79" t="s">
        <v>234</v>
      </c>
      <c r="R75" s="79" t="s">
        <v>180</v>
      </c>
      <c r="S75" s="79" t="s">
        <v>403</v>
      </c>
      <c r="T75" s="79" t="s">
        <v>389</v>
      </c>
      <c r="U75" s="89"/>
      <c r="V75" s="79" t="s">
        <v>221</v>
      </c>
      <c r="W75" s="89"/>
      <c r="X75" s="90" t="s">
        <v>188</v>
      </c>
      <c r="Y75" s="91" t="s">
        <v>189</v>
      </c>
      <c r="Z75" s="90" t="s">
        <v>190</v>
      </c>
      <c r="AA75" s="92" t="s">
        <v>182</v>
      </c>
      <c r="AB75" s="92" t="s">
        <v>191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391</v>
      </c>
      <c r="AQ75" s="92" t="s">
        <v>193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271</v>
      </c>
      <c r="AY75" s="79" t="s">
        <v>236</v>
      </c>
    </row>
    <row r="76">
      <c r="A76" s="79" t="s">
        <v>404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180</v>
      </c>
      <c r="H76" s="86" t="s">
        <v>405</v>
      </c>
      <c r="I76" s="87"/>
      <c r="J76" s="79" t="s">
        <v>182</v>
      </c>
      <c r="K76" s="79" t="s">
        <v>389</v>
      </c>
      <c r="L76" s="88"/>
      <c r="M76" s="88"/>
      <c r="N76" s="87"/>
      <c r="O76" s="87"/>
      <c r="P76" s="79" t="s">
        <v>180</v>
      </c>
      <c r="Q76" s="79" t="s">
        <v>234</v>
      </c>
      <c r="R76" s="79" t="s">
        <v>180</v>
      </c>
      <c r="S76" s="79" t="s">
        <v>406</v>
      </c>
      <c r="T76" s="79" t="s">
        <v>389</v>
      </c>
      <c r="U76" s="89"/>
      <c r="V76" s="79" t="s">
        <v>221</v>
      </c>
      <c r="W76" s="89"/>
      <c r="X76" s="90" t="s">
        <v>188</v>
      </c>
      <c r="Y76" s="91" t="s">
        <v>189</v>
      </c>
      <c r="Z76" s="90" t="s">
        <v>190</v>
      </c>
      <c r="AA76" s="92" t="s">
        <v>182</v>
      </c>
      <c r="AB76" s="92" t="s">
        <v>191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391</v>
      </c>
      <c r="AQ76" s="92" t="s">
        <v>193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271</v>
      </c>
      <c r="AY76" s="79" t="s">
        <v>236</v>
      </c>
    </row>
    <row r="77">
      <c r="A77" s="79" t="s">
        <v>407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180</v>
      </c>
      <c r="H77" s="86" t="s">
        <v>408</v>
      </c>
      <c r="I77" s="87"/>
      <c r="J77" s="79" t="s">
        <v>182</v>
      </c>
      <c r="K77" s="79" t="s">
        <v>389</v>
      </c>
      <c r="L77" s="88"/>
      <c r="M77" s="88"/>
      <c r="N77" s="87"/>
      <c r="O77" s="87"/>
      <c r="P77" s="79" t="s">
        <v>180</v>
      </c>
      <c r="Q77" s="79" t="s">
        <v>234</v>
      </c>
      <c r="R77" s="79" t="s">
        <v>180</v>
      </c>
      <c r="S77" s="79" t="s">
        <v>409</v>
      </c>
      <c r="T77" s="79" t="s">
        <v>389</v>
      </c>
      <c r="U77" s="89"/>
      <c r="V77" s="79" t="s">
        <v>221</v>
      </c>
      <c r="W77" s="89"/>
      <c r="X77" s="90" t="s">
        <v>188</v>
      </c>
      <c r="Y77" s="91" t="s">
        <v>189</v>
      </c>
      <c r="Z77" s="90" t="s">
        <v>190</v>
      </c>
      <c r="AA77" s="92" t="s">
        <v>182</v>
      </c>
      <c r="AB77" s="92" t="s">
        <v>191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391</v>
      </c>
      <c r="AQ77" s="92" t="s">
        <v>193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271</v>
      </c>
      <c r="AY77" s="79" t="s">
        <v>236</v>
      </c>
    </row>
    <row r="78">
      <c r="A78" s="79" t="s">
        <v>410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180</v>
      </c>
      <c r="H78" s="86" t="s">
        <v>411</v>
      </c>
      <c r="I78" s="87"/>
      <c r="J78" s="79" t="s">
        <v>182</v>
      </c>
      <c r="K78" s="79" t="s">
        <v>389</v>
      </c>
      <c r="L78" s="88"/>
      <c r="M78" s="88"/>
      <c r="N78" s="87"/>
      <c r="O78" s="87"/>
      <c r="P78" s="79" t="s">
        <v>180</v>
      </c>
      <c r="Q78" s="79" t="s">
        <v>234</v>
      </c>
      <c r="R78" s="79" t="s">
        <v>180</v>
      </c>
      <c r="S78" s="79" t="s">
        <v>412</v>
      </c>
      <c r="T78" s="79" t="s">
        <v>389</v>
      </c>
      <c r="U78" s="89"/>
      <c r="V78" s="79" t="s">
        <v>221</v>
      </c>
      <c r="W78" s="89"/>
      <c r="X78" s="90" t="s">
        <v>188</v>
      </c>
      <c r="Y78" s="91" t="s">
        <v>189</v>
      </c>
      <c r="Z78" s="90" t="s">
        <v>190</v>
      </c>
      <c r="AA78" s="92" t="s">
        <v>182</v>
      </c>
      <c r="AB78" s="92" t="s">
        <v>191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391</v>
      </c>
      <c r="AQ78" s="92" t="s">
        <v>193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271</v>
      </c>
      <c r="AY78" s="79" t="s">
        <v>236</v>
      </c>
    </row>
    <row r="79">
      <c r="A79" s="79" t="s">
        <v>413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180</v>
      </c>
      <c r="H79" s="86" t="s">
        <v>414</v>
      </c>
      <c r="I79" s="87"/>
      <c r="J79" s="79" t="s">
        <v>182</v>
      </c>
      <c r="K79" s="79" t="s">
        <v>389</v>
      </c>
      <c r="L79" s="88"/>
      <c r="M79" s="88"/>
      <c r="N79" s="87"/>
      <c r="O79" s="87"/>
      <c r="P79" s="79" t="s">
        <v>180</v>
      </c>
      <c r="Q79" s="79" t="s">
        <v>234</v>
      </c>
      <c r="R79" s="79" t="s">
        <v>180</v>
      </c>
      <c r="S79" s="79" t="s">
        <v>415</v>
      </c>
      <c r="T79" s="79" t="s">
        <v>389</v>
      </c>
      <c r="U79" s="89"/>
      <c r="V79" s="79" t="s">
        <v>221</v>
      </c>
      <c r="W79" s="89"/>
      <c r="X79" s="90" t="s">
        <v>188</v>
      </c>
      <c r="Y79" s="91" t="s">
        <v>189</v>
      </c>
      <c r="Z79" s="90" t="s">
        <v>190</v>
      </c>
      <c r="AA79" s="92" t="s">
        <v>182</v>
      </c>
      <c r="AB79" s="92" t="s">
        <v>191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391</v>
      </c>
      <c r="AQ79" s="92" t="s">
        <v>193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271</v>
      </c>
      <c r="AY79" s="79" t="s">
        <v>236</v>
      </c>
    </row>
    <row r="80">
      <c r="A80" s="79" t="s">
        <v>416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180</v>
      </c>
      <c r="H80" s="86" t="s">
        <v>417</v>
      </c>
      <c r="I80" s="87"/>
      <c r="J80" s="79" t="s">
        <v>182</v>
      </c>
      <c r="K80" s="79" t="s">
        <v>389</v>
      </c>
      <c r="L80" s="88"/>
      <c r="M80" s="88"/>
      <c r="N80" s="87"/>
      <c r="O80" s="87"/>
      <c r="P80" s="79" t="s">
        <v>180</v>
      </c>
      <c r="Q80" s="79" t="s">
        <v>234</v>
      </c>
      <c r="R80" s="79" t="s">
        <v>180</v>
      </c>
      <c r="S80" s="79" t="s">
        <v>418</v>
      </c>
      <c r="T80" s="79" t="s">
        <v>389</v>
      </c>
      <c r="U80" s="89"/>
      <c r="V80" s="79" t="s">
        <v>221</v>
      </c>
      <c r="W80" s="89"/>
      <c r="X80" s="90" t="s">
        <v>188</v>
      </c>
      <c r="Y80" s="91" t="s">
        <v>189</v>
      </c>
      <c r="Z80" s="90" t="s">
        <v>190</v>
      </c>
      <c r="AA80" s="92" t="s">
        <v>182</v>
      </c>
      <c r="AB80" s="92" t="s">
        <v>191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391</v>
      </c>
      <c r="AQ80" s="92" t="s">
        <v>193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271</v>
      </c>
      <c r="AY80" s="79" t="s">
        <v>236</v>
      </c>
    </row>
    <row r="81">
      <c r="A81" s="79" t="s">
        <v>419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180</v>
      </c>
      <c r="H81" s="86" t="s">
        <v>420</v>
      </c>
      <c r="I81" s="87"/>
      <c r="J81" s="79" t="s">
        <v>182</v>
      </c>
      <c r="K81" s="79" t="s">
        <v>389</v>
      </c>
      <c r="L81" s="88"/>
      <c r="M81" s="88"/>
      <c r="N81" s="87"/>
      <c r="O81" s="87"/>
      <c r="P81" s="79" t="s">
        <v>180</v>
      </c>
      <c r="Q81" s="79" t="s">
        <v>234</v>
      </c>
      <c r="R81" s="79" t="s">
        <v>180</v>
      </c>
      <c r="S81" s="79" t="s">
        <v>421</v>
      </c>
      <c r="T81" s="79" t="s">
        <v>389</v>
      </c>
      <c r="U81" s="89"/>
      <c r="V81" s="79" t="s">
        <v>221</v>
      </c>
      <c r="W81" s="89"/>
      <c r="X81" s="90" t="s">
        <v>188</v>
      </c>
      <c r="Y81" s="91" t="s">
        <v>189</v>
      </c>
      <c r="Z81" s="90" t="s">
        <v>190</v>
      </c>
      <c r="AA81" s="92" t="s">
        <v>182</v>
      </c>
      <c r="AB81" s="92" t="s">
        <v>191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391</v>
      </c>
      <c r="AQ81" s="92" t="s">
        <v>193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271</v>
      </c>
      <c r="AY81" s="79" t="s">
        <v>236</v>
      </c>
    </row>
    <row r="82">
      <c r="A82" s="79" t="s">
        <v>422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180</v>
      </c>
      <c r="H82" s="86" t="s">
        <v>423</v>
      </c>
      <c r="I82" s="87"/>
      <c r="J82" s="79" t="s">
        <v>182</v>
      </c>
      <c r="K82" s="79" t="s">
        <v>389</v>
      </c>
      <c r="L82" s="88"/>
      <c r="M82" s="88"/>
      <c r="N82" s="87"/>
      <c r="O82" s="87"/>
      <c r="P82" s="79" t="s">
        <v>180</v>
      </c>
      <c r="Q82" s="79" t="s">
        <v>224</v>
      </c>
      <c r="R82" s="79" t="s">
        <v>180</v>
      </c>
      <c r="S82" s="79" t="s">
        <v>424</v>
      </c>
      <c r="T82" s="79" t="s">
        <v>389</v>
      </c>
      <c r="U82" s="89"/>
      <c r="V82" s="79" t="s">
        <v>221</v>
      </c>
      <c r="W82" s="89"/>
      <c r="X82" s="90" t="s">
        <v>188</v>
      </c>
      <c r="Y82" s="91" t="s">
        <v>189</v>
      </c>
      <c r="Z82" s="90" t="s">
        <v>231</v>
      </c>
      <c r="AA82" s="92" t="s">
        <v>182</v>
      </c>
      <c r="AB82" s="92" t="s">
        <v>191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391</v>
      </c>
      <c r="AQ82" s="92" t="s">
        <v>193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271</v>
      </c>
      <c r="AY82" s="79" t="s">
        <v>227</v>
      </c>
    </row>
    <row r="83">
      <c r="A83" s="79" t="s">
        <v>425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180</v>
      </c>
      <c r="H83" s="86" t="s">
        <v>417</v>
      </c>
      <c r="I83" s="87"/>
      <c r="J83" s="79" t="s">
        <v>182</v>
      </c>
      <c r="K83" s="79" t="s">
        <v>389</v>
      </c>
      <c r="L83" s="88"/>
      <c r="M83" s="88"/>
      <c r="N83" s="87"/>
      <c r="O83" s="87"/>
      <c r="P83" s="79" t="s">
        <v>180</v>
      </c>
      <c r="Q83" s="79" t="s">
        <v>309</v>
      </c>
      <c r="R83" s="79" t="s">
        <v>180</v>
      </c>
      <c r="S83" s="79" t="s">
        <v>426</v>
      </c>
      <c r="T83" s="79" t="s">
        <v>389</v>
      </c>
      <c r="U83" s="89"/>
      <c r="V83" s="79" t="s">
        <v>210</v>
      </c>
      <c r="W83" s="89"/>
      <c r="X83" s="90" t="s">
        <v>188</v>
      </c>
      <c r="Y83" s="91" t="s">
        <v>189</v>
      </c>
      <c r="Z83" s="90" t="s">
        <v>231</v>
      </c>
      <c r="AA83" s="92" t="s">
        <v>182</v>
      </c>
      <c r="AB83" s="92" t="s">
        <v>320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427</v>
      </c>
      <c r="AQ83" s="92" t="s">
        <v>193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271</v>
      </c>
      <c r="AY83" s="79" t="s">
        <v>311</v>
      </c>
    </row>
    <row r="84">
      <c r="A84" s="79" t="s">
        <v>428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180</v>
      </c>
      <c r="H84" s="86" t="s">
        <v>429</v>
      </c>
      <c r="I84" s="87"/>
      <c r="J84" s="79" t="s">
        <v>182</v>
      </c>
      <c r="K84" s="79" t="s">
        <v>389</v>
      </c>
      <c r="L84" s="88"/>
      <c r="M84" s="88"/>
      <c r="N84" s="87"/>
      <c r="O84" s="87"/>
      <c r="P84" s="79" t="s">
        <v>180</v>
      </c>
      <c r="Q84" s="79" t="s">
        <v>309</v>
      </c>
      <c r="R84" s="79" t="s">
        <v>180</v>
      </c>
      <c r="S84" s="79" t="s">
        <v>430</v>
      </c>
      <c r="T84" s="79" t="s">
        <v>389</v>
      </c>
      <c r="U84" s="89"/>
      <c r="V84" s="79" t="s">
        <v>221</v>
      </c>
      <c r="W84" s="89"/>
      <c r="X84" s="90" t="s">
        <v>188</v>
      </c>
      <c r="Y84" s="91" t="s">
        <v>189</v>
      </c>
      <c r="Z84" s="90" t="s">
        <v>231</v>
      </c>
      <c r="AA84" s="92" t="s">
        <v>182</v>
      </c>
      <c r="AB84" s="92" t="s">
        <v>320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427</v>
      </c>
      <c r="AQ84" s="92" t="s">
        <v>193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271</v>
      </c>
      <c r="AY84" s="79" t="s">
        <v>431</v>
      </c>
    </row>
    <row r="85">
      <c r="A85" s="79" t="s">
        <v>432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180</v>
      </c>
      <c r="H85" s="86" t="s">
        <v>181</v>
      </c>
      <c r="I85" s="87"/>
      <c r="J85" s="79" t="s">
        <v>182</v>
      </c>
      <c r="K85" s="79" t="s">
        <v>183</v>
      </c>
      <c r="L85" s="88"/>
      <c r="M85" s="88"/>
      <c r="N85" s="87"/>
      <c r="O85" s="87"/>
      <c r="P85" s="79" t="s">
        <v>180</v>
      </c>
      <c r="Q85" s="79" t="s">
        <v>207</v>
      </c>
      <c r="R85" s="79" t="s">
        <v>180</v>
      </c>
      <c r="S85" s="79" t="s">
        <v>433</v>
      </c>
      <c r="T85" s="79" t="s">
        <v>198</v>
      </c>
      <c r="U85" s="89"/>
      <c r="V85" s="79" t="s">
        <v>221</v>
      </c>
      <c r="W85" s="89"/>
      <c r="X85" s="90" t="s">
        <v>188</v>
      </c>
      <c r="Y85" s="91" t="s">
        <v>189</v>
      </c>
      <c r="Z85" s="90" t="s">
        <v>231</v>
      </c>
      <c r="AA85" s="92" t="s">
        <v>182</v>
      </c>
      <c r="AB85" s="92" t="s">
        <v>211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212</v>
      </c>
      <c r="AQ85" s="92" t="s">
        <v>213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271</v>
      </c>
      <c r="AY85" s="79" t="s">
        <v>195</v>
      </c>
    </row>
    <row r="86">
      <c r="A86" s="79" t="s">
        <v>118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180</v>
      </c>
      <c r="H86" s="86" t="s">
        <v>181</v>
      </c>
      <c r="I86" s="86">
        <v>3000.0</v>
      </c>
      <c r="J86" s="79" t="s">
        <v>182</v>
      </c>
      <c r="K86" s="79" t="s">
        <v>267</v>
      </c>
      <c r="L86" s="88"/>
      <c r="M86" s="88"/>
      <c r="N86" s="87"/>
      <c r="O86" s="87"/>
      <c r="P86" s="79" t="s">
        <v>180</v>
      </c>
      <c r="Q86" s="79" t="s">
        <v>207</v>
      </c>
      <c r="R86" s="79" t="s">
        <v>182</v>
      </c>
      <c r="S86" s="79" t="s">
        <v>434</v>
      </c>
      <c r="T86" s="79" t="s">
        <v>435</v>
      </c>
      <c r="U86" s="89"/>
      <c r="V86" s="79" t="s">
        <v>187</v>
      </c>
      <c r="W86" s="89"/>
      <c r="X86" s="99" t="s">
        <v>199</v>
      </c>
      <c r="Y86" s="102" t="s">
        <v>260</v>
      </c>
      <c r="Z86" s="99" t="s">
        <v>231</v>
      </c>
      <c r="AA86" s="92" t="s">
        <v>182</v>
      </c>
      <c r="AB86" s="92" t="s">
        <v>232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212</v>
      </c>
      <c r="AQ86" s="92" t="s">
        <v>213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271</v>
      </c>
      <c r="AY86" s="79" t="s">
        <v>215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