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Gastos'!$A$1:$E$276</definedName>
    <definedName hidden="1" localSheetId="3" name="_xlnm._FilterDatabase">Switching!$A$1:$F$5</definedName>
    <definedName hidden="1" localSheetId="4" name="_xlnm._FilterDatabase">'Inventário de Lotes'!$A$1:$E$17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kB6cRhWPvj7MhaIY5W5I6JJli7sPAlKZ4bzPigCOgCs="/>
    </ext>
  </extLst>
</workbook>
</file>

<file path=xl/sharedStrings.xml><?xml version="1.0" encoding="utf-8"?>
<sst xmlns="http://schemas.openxmlformats.org/spreadsheetml/2006/main" count="2457" uniqueCount="431">
  <si>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</si>
  <si>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</si>
  <si>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</si>
  <si>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</si>
  <si>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</si>
  <si>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</si>
  <si>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</si>
  <si>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</si>
  <si>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</si>
  <si>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</si>
  <si>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</si>
  <si>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</si>
  <si>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</si>
  <si>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</si>
  <si>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</si>
  <si>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</si>
  <si>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</si>
  <si>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</si>
  <si>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</si>
  <si>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</si>
  <si>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</si>
  <si>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</si>
  <si>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</si>
  <si>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</si>
  <si>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</si>
  <si>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</si>
  <si>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</si>
  <si>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</si>
  <si>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</si>
  <si>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</si>
  <si>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</si>
  <si>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</si>
  <si>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</si>
  <si>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</si>
  <si>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</si>
  <si>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</si>
  <si>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</si>
  <si>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</si>
  <si>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</si>
  <si>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</si>
  <si>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</si>
  <si>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</si>
  <si>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</si>
  <si>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</si>
  <si>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</si>
  <si>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</si>
  <si>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</si>
  <si>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</si>
  <si>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</si>
  <si>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</si>
  <si>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</si>
  <si>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</si>
  <si>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</si>
  <si>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5400 fev.</t>
  </si>
  <si>
    <t>Condomínio</t>
  </si>
  <si>
    <t>Lote 5680 abr.</t>
  </si>
  <si>
    <t>Pelada</t>
  </si>
  <si>
    <t>Lote 6630,64 fev.</t>
  </si>
  <si>
    <t>Cemig SIM</t>
  </si>
  <si>
    <t>Lote 7500 mai.</t>
  </si>
  <si>
    <t>Faxina Rosa</t>
  </si>
  <si>
    <t>Lote 8500 mar.</t>
  </si>
  <si>
    <t>Internet</t>
  </si>
  <si>
    <t>Aluguel</t>
  </si>
  <si>
    <t>Total geral</t>
  </si>
  <si>
    <t>Tratamento Lara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</si>
  <si>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</si>
  <si>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</si>
  <si>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</si>
  <si>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</si>
  <si>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</si>
  <si>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</si>
  <si>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</si>
  <si>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</si>
  <si>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</si>
  <si>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</si>
  <si>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</si>
  <si>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</si>
  <si>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</si>
  <si>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</si>
  <si>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</si>
  <si>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</si>
  <si>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</si>
  <si>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</si>
  <si>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</si>
  <si>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</si>
  <si>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</si>
  <si>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</si>
  <si>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</si>
  <si>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</si>
  <si>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</si>
  <si>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</si>
  <si>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</si>
  <si>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</si>
  <si>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</si>
  <si>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</si>
  <si>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</si>
  <si>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Lote 7600 jun.</t>
  </si>
  <si>
    <t>Mari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</si>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</sst>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997471734"/>
        <c:axId val="1112197495"/>
      </c:barChart>
      <c:catAx>
        <c:axId val="19974717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112197495"/>
      </c:catAx>
      <c:valAx>
        <c:axId val="11121974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99747173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0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2913.53"/>
        <n v="2811.15"/>
        <n v="73.19"/>
        <n v="19.02"/>
        <n v="5.0"/>
        <n v="5301.28"/>
        <n v="101.47"/>
        <n v="983.8"/>
        <n v="4875.26"/>
        <n v="113.31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5"/>
        <item x="1"/>
        <item x="11"/>
        <item x="2"/>
        <item x="13"/>
        <item x="12"/>
        <item x="10"/>
        <item x="3"/>
        <item x="4"/>
        <item x="5"/>
        <item x="7"/>
        <item x="6"/>
        <item x="9"/>
        <item h="1" x="14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261224.2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258648.33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14624.37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G:G&lt;&gt;"""")))"),-2575.8699999999917)</f>
        <v>-2575.87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16713.92</v>
      </c>
      <c r="C7" s="6">
        <f>IF($A7="","",SUMIFS('Salários'!$D:$D,'Salários'!$B:$B,"&gt;="&amp;$A7,'Salários'!$B:$B,"&lt;"&amp;EDATE($A7,1)))</f>
        <v>17243</v>
      </c>
      <c r="D7" s="6">
        <f t="shared" si="1"/>
        <v>529.08</v>
      </c>
      <c r="E7" s="4">
        <f>IF($A7="","",COUNTIFS('Todos os Gastos'!$A:$A,"&gt;="&amp;$A7,'Todos os Gastos'!$A:$A,"&lt;"&amp;EDATE($A7,1)))</f>
        <v>17</v>
      </c>
      <c r="F7" s="4">
        <f>IF($A7="","",COUNTIFS('Salários'!$B:$B,"&gt;="&amp;$A7,'Salários'!$B:$B,"&lt;"&amp;EDATE($A7,1)))</f>
        <v>3</v>
      </c>
      <c r="G7" s="6">
        <f t="shared" si="2"/>
        <v>14624.37</v>
      </c>
      <c r="I7" s="7" t="s">
        <v>14</v>
      </c>
      <c r="J7" s="8">
        <f>SUMIFS(D:D,A:A,"&gt;="&amp;EOMONTH(TODAY(),-1)+1,A:A,"&lt;"&amp;EDATE(EOMONTH(TODAY(),-1)+1,1))</f>
        <v>529.08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13859.18</v>
      </c>
      <c r="C8" s="3">
        <f>IF($A8="","",SUMIFS('Salários'!$D:$D,'Salários'!$B:$B,"&gt;="&amp;$A8,'Salários'!$B:$B,"&lt;"&amp;EDATE($A8,1)))</f>
        <v>12680</v>
      </c>
      <c r="D8" s="3">
        <f t="shared" si="1"/>
        <v>-1179.18</v>
      </c>
      <c r="E8" s="4">
        <f>IF($A8="","",COUNTIFS('Todos os Gastos'!$A:$A,"&gt;="&amp;$A8,'Todos os Gastos'!$A:$A,"&lt;"&amp;EDATE($A8,1)))</f>
        <v>13</v>
      </c>
      <c r="F8" s="4">
        <f>IF($A8="","",COUNTIFS('Salários'!$B:$B,"&gt;="&amp;$A8,'Salários'!$B:$B,"&lt;"&amp;EDATE($A8,1)))</f>
        <v>2</v>
      </c>
      <c r="G8" s="3">
        <f t="shared" si="2"/>
        <v>13445.19</v>
      </c>
      <c r="I8" s="7" t="s">
        <v>15</v>
      </c>
      <c r="J8" s="8">
        <f>AVERAGEIF(D:D,"&lt;&gt;",D:D)</f>
        <v>-151.5217647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12024.21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10035.03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8446.05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7356.87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3147.69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5987.43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2916.53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-264.59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-4617.64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-2575.87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3900.0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63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6">
        <v>46056.0</v>
      </c>
      <c r="B18" s="42" t="s">
        <v>65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66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67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63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68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69</v>
      </c>
      <c r="C34" s="49">
        <v>2831.4</v>
      </c>
      <c r="D34" s="35" t="s">
        <v>37</v>
      </c>
      <c r="E34" s="35" t="s">
        <v>51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70</v>
      </c>
      <c r="C35" s="49">
        <v>460.0</v>
      </c>
      <c r="D35" s="35" t="s">
        <v>37</v>
      </c>
      <c r="E35" s="35" t="s">
        <v>39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71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72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72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73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74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74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67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75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76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3" t="s">
        <v>63</v>
      </c>
      <c r="C54" s="49">
        <v>473.73</v>
      </c>
      <c r="D54" s="35" t="s">
        <v>37</v>
      </c>
      <c r="E54" s="35" t="s">
        <v>49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63</v>
      </c>
      <c r="C55" s="49">
        <v>508.07</v>
      </c>
      <c r="D55" s="35" t="s">
        <v>37</v>
      </c>
      <c r="E55" s="35" t="s">
        <v>51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2" t="s">
        <v>69</v>
      </c>
      <c r="C56" s="55">
        <v>1368.12</v>
      </c>
      <c r="D56" s="35" t="s">
        <v>37</v>
      </c>
      <c r="E56" s="35" t="s">
        <v>39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69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69</v>
      </c>
      <c r="C58" s="49">
        <v>807.2</v>
      </c>
      <c r="D58" s="35" t="s">
        <v>37</v>
      </c>
      <c r="E58" s="35" t="s">
        <v>53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53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53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57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77</v>
      </c>
      <c r="C62" s="49">
        <v>35.0</v>
      </c>
      <c r="D62" s="35" t="s">
        <v>37</v>
      </c>
      <c r="E62" s="35" t="s">
        <v>57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57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78</v>
      </c>
      <c r="C64" s="49">
        <v>450.0</v>
      </c>
      <c r="D64" s="35" t="s">
        <v>37</v>
      </c>
      <c r="E64" s="35" t="s">
        <v>57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26</v>
      </c>
      <c r="C65" s="49">
        <v>75.0</v>
      </c>
      <c r="D65" s="35" t="s">
        <v>37</v>
      </c>
      <c r="E65" s="35" t="s">
        <v>57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79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80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81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82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83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84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85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86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57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3" t="s">
        <v>44</v>
      </c>
      <c r="C77" s="49">
        <v>65.6</v>
      </c>
      <c r="D77" s="42" t="s">
        <v>37</v>
      </c>
      <c r="E77" s="35" t="s">
        <v>57</v>
      </c>
      <c r="G77" s="57"/>
      <c r="H77" s="58"/>
    </row>
    <row r="78" ht="14.25" customHeight="1">
      <c r="A78" s="34">
        <v>46120.0</v>
      </c>
      <c r="B78" s="42" t="s">
        <v>87</v>
      </c>
      <c r="C78" s="49">
        <v>70.0</v>
      </c>
      <c r="D78" s="42" t="s">
        <v>37</v>
      </c>
      <c r="E78" s="35" t="s">
        <v>55</v>
      </c>
      <c r="G78" s="57"/>
      <c r="H78" s="58"/>
    </row>
    <row r="79" ht="14.25" customHeight="1">
      <c r="A79" s="34">
        <v>46122.0</v>
      </c>
      <c r="B79" s="35" t="s">
        <v>88</v>
      </c>
      <c r="C79" s="49">
        <v>434.75</v>
      </c>
      <c r="D79" s="42" t="s">
        <v>37</v>
      </c>
      <c r="E79" s="35" t="s">
        <v>55</v>
      </c>
      <c r="G79" s="57"/>
      <c r="H79" s="58"/>
    </row>
    <row r="80" ht="14.25" customHeight="1">
      <c r="A80" s="34">
        <v>46122.0</v>
      </c>
      <c r="B80" s="42" t="s">
        <v>89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76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63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90</v>
      </c>
      <c r="C83" s="47">
        <v>45.0</v>
      </c>
      <c r="D83" s="43" t="s">
        <v>37</v>
      </c>
      <c r="E83" s="35" t="s">
        <v>55</v>
      </c>
      <c r="G83" s="57"/>
      <c r="H83" s="58"/>
    </row>
    <row r="84" ht="14.25" customHeight="1">
      <c r="A84" s="46">
        <v>46126.0</v>
      </c>
      <c r="B84" s="42" t="s">
        <v>69</v>
      </c>
      <c r="C84" s="47">
        <v>151.71</v>
      </c>
      <c r="D84" s="43" t="s">
        <v>37</v>
      </c>
      <c r="E84" s="35" t="s">
        <v>55</v>
      </c>
      <c r="G84" s="57"/>
      <c r="H84" s="58"/>
    </row>
    <row r="85" ht="14.25" customHeight="1">
      <c r="A85" s="46">
        <v>46126.0</v>
      </c>
      <c r="B85" s="42" t="s">
        <v>69</v>
      </c>
      <c r="C85" s="47">
        <v>206.8</v>
      </c>
      <c r="D85" s="43" t="s">
        <v>37</v>
      </c>
      <c r="E85" s="35" t="s">
        <v>55</v>
      </c>
      <c r="G85" s="57"/>
      <c r="H85" s="58"/>
    </row>
    <row r="86" ht="14.25" customHeight="1">
      <c r="A86" s="46">
        <v>46126.0</v>
      </c>
      <c r="B86" s="42" t="s">
        <v>69</v>
      </c>
      <c r="C86" s="47">
        <v>2472.89</v>
      </c>
      <c r="D86" s="43" t="s">
        <v>37</v>
      </c>
      <c r="E86" s="37" t="s">
        <v>38</v>
      </c>
      <c r="G86" s="57"/>
      <c r="H86" s="58"/>
    </row>
    <row r="87" ht="14.25" customHeight="1">
      <c r="A87" s="46">
        <v>46126.0</v>
      </c>
      <c r="B87" s="42" t="s">
        <v>26</v>
      </c>
      <c r="C87" s="47">
        <v>18.75</v>
      </c>
      <c r="D87" s="43" t="s">
        <v>37</v>
      </c>
      <c r="E87" s="35" t="s">
        <v>55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57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57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61</v>
      </c>
      <c r="G90" s="57"/>
      <c r="H90" s="58"/>
    </row>
    <row r="91" ht="14.25" customHeight="1">
      <c r="A91" s="34">
        <v>46132.0</v>
      </c>
      <c r="B91" s="35" t="s">
        <v>36</v>
      </c>
      <c r="C91" s="47">
        <v>670.0</v>
      </c>
      <c r="D91" s="35" t="s">
        <v>37</v>
      </c>
      <c r="E91" s="37" t="s">
        <v>38</v>
      </c>
      <c r="G91" s="57"/>
      <c r="H91" s="58"/>
    </row>
    <row r="92" ht="14.25" customHeight="1">
      <c r="A92" s="34">
        <v>46132.0</v>
      </c>
      <c r="B92" s="42" t="s">
        <v>42</v>
      </c>
      <c r="C92" s="49">
        <v>98.98</v>
      </c>
      <c r="D92" s="35" t="s">
        <v>37</v>
      </c>
      <c r="E92" s="35" t="s">
        <v>61</v>
      </c>
      <c r="G92" s="57"/>
      <c r="H92" s="58"/>
    </row>
    <row r="93" ht="14.25" customHeight="1">
      <c r="A93" s="34">
        <v>46132.0</v>
      </c>
      <c r="B93" s="43" t="s">
        <v>91</v>
      </c>
      <c r="C93" s="47">
        <v>120.75</v>
      </c>
      <c r="D93" s="35" t="s">
        <v>37</v>
      </c>
      <c r="E93" s="35" t="s">
        <v>61</v>
      </c>
      <c r="G93" s="57"/>
      <c r="H93" s="58"/>
    </row>
    <row r="94" ht="14.25" customHeight="1">
      <c r="A94" s="34">
        <v>46132.0</v>
      </c>
      <c r="B94" s="43" t="s">
        <v>54</v>
      </c>
      <c r="C94" s="47">
        <v>113.8</v>
      </c>
      <c r="D94" s="35" t="s">
        <v>37</v>
      </c>
      <c r="E94" s="35" t="s">
        <v>61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61</v>
      </c>
      <c r="G95" s="57"/>
      <c r="H95" s="58"/>
    </row>
    <row r="96" ht="14.25" customHeight="1">
      <c r="A96" s="46">
        <v>46142.0</v>
      </c>
      <c r="B96" s="43" t="s">
        <v>92</v>
      </c>
      <c r="C96" s="47">
        <v>400.0</v>
      </c>
      <c r="D96" s="35" t="s">
        <v>37</v>
      </c>
      <c r="E96" s="35" t="s">
        <v>61</v>
      </c>
      <c r="G96" s="57"/>
      <c r="H96" s="58"/>
    </row>
    <row r="97" ht="14.25" customHeight="1">
      <c r="A97" s="46">
        <v>46142.0</v>
      </c>
      <c r="B97" s="42" t="s">
        <v>65</v>
      </c>
      <c r="C97" s="49">
        <v>530.0</v>
      </c>
      <c r="D97" s="35" t="s">
        <v>37</v>
      </c>
      <c r="E97" s="35" t="s">
        <v>61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59</v>
      </c>
      <c r="G98" s="57"/>
      <c r="H98" s="58"/>
    </row>
    <row r="99" ht="14.25" customHeight="1">
      <c r="A99" s="34">
        <v>46146.0</v>
      </c>
      <c r="B99" s="43" t="s">
        <v>93</v>
      </c>
      <c r="C99" s="47">
        <v>59.8</v>
      </c>
      <c r="D99" s="43" t="s">
        <v>37</v>
      </c>
      <c r="E99" s="37" t="s">
        <v>59</v>
      </c>
      <c r="G99" s="57"/>
      <c r="H99" s="58"/>
    </row>
    <row r="100" ht="14.25" customHeight="1">
      <c r="A100" s="34">
        <v>46146.0</v>
      </c>
      <c r="B100" s="43" t="s">
        <v>94</v>
      </c>
      <c r="C100" s="47">
        <v>250.0</v>
      </c>
      <c r="D100" s="43" t="s">
        <v>37</v>
      </c>
      <c r="E100" s="37" t="s">
        <v>59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61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61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76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85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95</v>
      </c>
      <c r="C106" s="47">
        <v>44.0</v>
      </c>
      <c r="D106" s="43" t="s">
        <v>37</v>
      </c>
      <c r="E106" s="59" t="s">
        <v>59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59</v>
      </c>
      <c r="G107" s="57"/>
      <c r="H107" s="58"/>
    </row>
    <row r="108" ht="14.25" customHeight="1">
      <c r="A108" s="46">
        <v>46155.0</v>
      </c>
      <c r="B108" s="43" t="s">
        <v>63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63</v>
      </c>
      <c r="C109" s="47">
        <v>787.11</v>
      </c>
      <c r="D109" s="43" t="s">
        <v>37</v>
      </c>
      <c r="E109" s="59" t="s">
        <v>59</v>
      </c>
      <c r="G109" s="57"/>
      <c r="H109" s="58"/>
    </row>
    <row r="110" ht="14.25" customHeight="1">
      <c r="A110" s="46">
        <v>46155.0</v>
      </c>
      <c r="B110" s="42" t="s">
        <v>69</v>
      </c>
      <c r="C110" s="49">
        <v>2831.4</v>
      </c>
      <c r="D110" s="43" t="s">
        <v>37</v>
      </c>
      <c r="E110" s="59" t="s">
        <v>59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59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46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2913.53</v>
      </c>
      <c r="D114" s="43" t="s">
        <v>37</v>
      </c>
      <c r="E114" s="59" t="s">
        <v>46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2811.15</v>
      </c>
      <c r="D115" s="43" t="s">
        <v>37</v>
      </c>
      <c r="E115" s="59" t="s">
        <v>45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73.19</v>
      </c>
      <c r="D116" s="43" t="s">
        <v>37</v>
      </c>
      <c r="E116" s="43" t="s">
        <v>38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19.02</v>
      </c>
      <c r="D117" s="43" t="s">
        <v>37</v>
      </c>
      <c r="E117" s="59" t="s">
        <v>46</v>
      </c>
      <c r="G117" s="57"/>
      <c r="H117" s="58"/>
    </row>
    <row r="118" ht="14.25" customHeight="1">
      <c r="A118" s="46">
        <v>46166.0</v>
      </c>
      <c r="B118" s="43" t="s">
        <v>96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2" t="s">
        <v>40</v>
      </c>
      <c r="C119" s="47">
        <v>5301.28</v>
      </c>
      <c r="D119" s="43" t="s">
        <v>37</v>
      </c>
      <c r="E119" s="59" t="s">
        <v>97</v>
      </c>
      <c r="G119" s="57"/>
      <c r="H119" s="58"/>
    </row>
    <row r="120" ht="14.25" customHeight="1">
      <c r="A120" s="34">
        <v>46175.0</v>
      </c>
      <c r="B120" s="43" t="s">
        <v>92</v>
      </c>
      <c r="C120" s="47">
        <v>400.0</v>
      </c>
      <c r="D120" s="37" t="s">
        <v>37</v>
      </c>
      <c r="E120" s="59" t="s">
        <v>97</v>
      </c>
      <c r="G120" s="57"/>
      <c r="H120" s="58"/>
    </row>
    <row r="121" ht="14.25" customHeight="1">
      <c r="A121" s="46">
        <v>46178.0</v>
      </c>
      <c r="B121" s="43" t="s">
        <v>60</v>
      </c>
      <c r="C121" s="49">
        <v>950.0</v>
      </c>
      <c r="D121" s="37" t="s">
        <v>37</v>
      </c>
      <c r="E121" s="59" t="s">
        <v>97</v>
      </c>
      <c r="G121" s="57"/>
      <c r="H121" s="58"/>
    </row>
    <row r="122" ht="14.25" customHeight="1">
      <c r="A122" s="46">
        <v>46180.0</v>
      </c>
      <c r="B122" s="43" t="s">
        <v>44</v>
      </c>
      <c r="C122" s="47">
        <v>110.0</v>
      </c>
      <c r="D122" s="37" t="s">
        <v>37</v>
      </c>
      <c r="E122" s="59" t="s">
        <v>97</v>
      </c>
      <c r="G122" s="57"/>
      <c r="H122" s="58"/>
    </row>
    <row r="123" ht="14.25" customHeight="1">
      <c r="A123" s="34">
        <v>46183.0</v>
      </c>
      <c r="B123" s="35" t="s">
        <v>76</v>
      </c>
      <c r="C123" s="49">
        <v>65.0</v>
      </c>
      <c r="D123" s="42"/>
      <c r="E123" s="42"/>
      <c r="G123" s="57"/>
      <c r="H123" s="58"/>
    </row>
    <row r="124" ht="14.25" customHeight="1">
      <c r="A124" s="34">
        <v>46184.0</v>
      </c>
      <c r="B124" s="42" t="s">
        <v>42</v>
      </c>
      <c r="C124" s="47">
        <v>101.47</v>
      </c>
      <c r="D124" s="42"/>
      <c r="E124" s="42"/>
      <c r="G124" s="57"/>
      <c r="H124" s="58"/>
    </row>
    <row r="125" ht="14.25" customHeight="1">
      <c r="A125" s="34">
        <v>46185.0</v>
      </c>
      <c r="B125" s="43" t="s">
        <v>63</v>
      </c>
      <c r="C125" s="47">
        <v>983.8</v>
      </c>
      <c r="D125" s="42"/>
      <c r="E125" s="42"/>
      <c r="G125" s="57"/>
      <c r="H125" s="58"/>
    </row>
    <row r="126" ht="14.25" customHeight="1">
      <c r="A126" s="34">
        <v>46188.0</v>
      </c>
      <c r="B126" s="42" t="s">
        <v>69</v>
      </c>
      <c r="C126" s="49">
        <v>2831.4</v>
      </c>
      <c r="D126" s="42"/>
      <c r="E126" s="42"/>
      <c r="G126" s="57"/>
      <c r="H126" s="58"/>
    </row>
    <row r="127" ht="14.25" customHeight="1">
      <c r="A127" s="34">
        <v>46188.0</v>
      </c>
      <c r="B127" s="43" t="s">
        <v>89</v>
      </c>
      <c r="C127" s="47">
        <v>60.0</v>
      </c>
      <c r="D127" s="42"/>
      <c r="E127" s="42"/>
      <c r="G127" s="57"/>
      <c r="H127" s="58"/>
    </row>
    <row r="128" ht="14.25" customHeight="1">
      <c r="A128" s="34">
        <v>46188.0</v>
      </c>
      <c r="B128" s="43" t="s">
        <v>62</v>
      </c>
      <c r="C128" s="49">
        <v>132.4</v>
      </c>
      <c r="D128" s="42"/>
      <c r="E128" s="42"/>
      <c r="G128" s="57"/>
      <c r="H128" s="58"/>
    </row>
    <row r="129" ht="14.25" customHeight="1">
      <c r="A129" s="34">
        <v>46188.0</v>
      </c>
      <c r="B129" s="43" t="s">
        <v>98</v>
      </c>
      <c r="C129" s="47">
        <v>50.0</v>
      </c>
      <c r="D129" s="42"/>
      <c r="E129" s="42"/>
      <c r="G129" s="57"/>
      <c r="H129" s="58"/>
    </row>
    <row r="130" ht="14.25" customHeight="1">
      <c r="A130" s="34">
        <v>46188.0</v>
      </c>
      <c r="B130" s="42" t="s">
        <v>85</v>
      </c>
      <c r="C130" s="47">
        <v>120.0</v>
      </c>
      <c r="D130" s="42"/>
      <c r="E130" s="42"/>
      <c r="G130" s="57"/>
      <c r="H130" s="58"/>
    </row>
    <row r="131" ht="14.25" customHeight="1">
      <c r="A131" s="46">
        <v>46192.0</v>
      </c>
      <c r="B131" s="37" t="s">
        <v>99</v>
      </c>
      <c r="C131" s="47">
        <v>40.0</v>
      </c>
      <c r="D131" s="42"/>
      <c r="E131" s="42"/>
      <c r="G131" s="57"/>
      <c r="H131" s="58"/>
    </row>
    <row r="132" ht="14.25" customHeight="1">
      <c r="A132" s="46">
        <v>46192.0</v>
      </c>
      <c r="B132" s="43" t="s">
        <v>56</v>
      </c>
      <c r="C132" s="49">
        <v>50.0</v>
      </c>
      <c r="D132" s="42"/>
      <c r="E132" s="42"/>
      <c r="G132" s="57"/>
      <c r="H132" s="58"/>
    </row>
    <row r="133" ht="14.25" customHeight="1">
      <c r="A133" s="46">
        <v>46192.0</v>
      </c>
      <c r="B133" s="42" t="s">
        <v>65</v>
      </c>
      <c r="C133" s="49">
        <v>530.0</v>
      </c>
      <c r="D133" s="42"/>
      <c r="E133" s="42"/>
      <c r="G133" s="57"/>
      <c r="H133" s="58"/>
    </row>
    <row r="134" ht="14.25" customHeight="1">
      <c r="A134" s="34">
        <v>46193.0</v>
      </c>
      <c r="B134" s="35" t="s">
        <v>36</v>
      </c>
      <c r="C134" s="47">
        <v>4875.26</v>
      </c>
      <c r="D134" s="42"/>
      <c r="E134" s="42"/>
      <c r="G134" s="57"/>
      <c r="H134" s="58"/>
    </row>
    <row r="135" ht="14.25" customHeight="1">
      <c r="A135" s="46">
        <v>46193.0</v>
      </c>
      <c r="B135" s="43" t="s">
        <v>54</v>
      </c>
      <c r="C135" s="49">
        <v>113.31</v>
      </c>
      <c r="D135" s="42"/>
      <c r="E135" s="42"/>
      <c r="G135" s="57"/>
      <c r="H135" s="58"/>
    </row>
    <row r="136" ht="14.25" customHeight="1">
      <c r="A136" s="34">
        <v>46205.0</v>
      </c>
      <c r="B136" s="42" t="s">
        <v>40</v>
      </c>
      <c r="C136" s="49">
        <v>930.0</v>
      </c>
      <c r="D136" s="42"/>
      <c r="E136" s="42"/>
      <c r="F136" s="54"/>
      <c r="G136" s="39"/>
      <c r="H136" s="53"/>
      <c r="I136" s="41"/>
      <c r="J136" s="41"/>
    </row>
    <row r="137" ht="14.25" customHeight="1">
      <c r="A137" s="34">
        <v>46205.0</v>
      </c>
      <c r="B137" s="43" t="s">
        <v>92</v>
      </c>
      <c r="C137" s="47">
        <v>400.0</v>
      </c>
      <c r="D137" s="35"/>
      <c r="E137" s="35"/>
      <c r="F137" s="54"/>
      <c r="G137" s="39"/>
      <c r="H137" s="53"/>
      <c r="I137" s="41"/>
      <c r="J137" s="41"/>
    </row>
    <row r="138" ht="14.25" customHeight="1">
      <c r="A138" s="34">
        <v>46209.0</v>
      </c>
      <c r="B138" s="43" t="s">
        <v>60</v>
      </c>
      <c r="C138" s="49">
        <v>950.0</v>
      </c>
      <c r="D138" s="42"/>
      <c r="E138" s="42"/>
      <c r="G138" s="57"/>
      <c r="H138" s="58"/>
    </row>
    <row r="139" ht="14.25" customHeight="1">
      <c r="A139" s="46">
        <v>46210.0</v>
      </c>
      <c r="B139" s="43" t="s">
        <v>44</v>
      </c>
      <c r="C139" s="47">
        <v>110.0</v>
      </c>
      <c r="D139" s="42"/>
      <c r="E139" s="42"/>
      <c r="G139" s="57"/>
      <c r="H139" s="58"/>
    </row>
    <row r="140" ht="14.25" customHeight="1">
      <c r="A140" s="34">
        <v>46213.0</v>
      </c>
      <c r="B140" s="35" t="s">
        <v>76</v>
      </c>
      <c r="C140" s="49">
        <v>65.0</v>
      </c>
      <c r="D140" s="42"/>
      <c r="E140" s="42"/>
      <c r="G140" s="57"/>
      <c r="H140" s="58"/>
    </row>
    <row r="141" ht="14.25" customHeight="1">
      <c r="A141" s="34">
        <v>46214.0</v>
      </c>
      <c r="B141" s="42" t="s">
        <v>42</v>
      </c>
      <c r="C141" s="49">
        <v>95.12</v>
      </c>
      <c r="D141" s="42"/>
      <c r="E141" s="42"/>
      <c r="G141" s="57"/>
      <c r="H141" s="58"/>
    </row>
    <row r="142" ht="14.25" customHeight="1">
      <c r="A142" s="34">
        <v>46215.0</v>
      </c>
      <c r="B142" s="43" t="s">
        <v>63</v>
      </c>
      <c r="C142" s="49">
        <v>981.95</v>
      </c>
      <c r="D142" s="42"/>
      <c r="E142" s="42"/>
      <c r="G142" s="57"/>
      <c r="H142" s="58"/>
    </row>
    <row r="143" ht="14.25" customHeight="1">
      <c r="A143" s="34">
        <v>46215.0</v>
      </c>
      <c r="B143" s="42" t="s">
        <v>69</v>
      </c>
      <c r="C143" s="49">
        <v>2831.4</v>
      </c>
      <c r="D143" s="42"/>
      <c r="E143" s="42"/>
      <c r="G143" s="57"/>
      <c r="H143" s="58"/>
    </row>
    <row r="144" ht="14.25" customHeight="1">
      <c r="A144" s="34">
        <v>46215.0</v>
      </c>
      <c r="B144" s="43" t="s">
        <v>56</v>
      </c>
      <c r="C144" s="49">
        <v>50.0</v>
      </c>
      <c r="D144" s="42"/>
      <c r="E144" s="42"/>
      <c r="G144" s="57"/>
      <c r="H144" s="58"/>
    </row>
    <row r="145" ht="14.25" customHeight="1">
      <c r="A145" s="34">
        <v>46218.0</v>
      </c>
      <c r="B145" s="43" t="s">
        <v>62</v>
      </c>
      <c r="C145" s="49">
        <v>132.4</v>
      </c>
      <c r="D145" s="42"/>
      <c r="E145" s="42"/>
      <c r="G145" s="57"/>
      <c r="H145" s="58"/>
    </row>
    <row r="146" ht="14.25" customHeight="1">
      <c r="A146" s="34">
        <v>46223.0</v>
      </c>
      <c r="B146" s="35" t="s">
        <v>36</v>
      </c>
      <c r="C146" s="49">
        <v>6800.0</v>
      </c>
      <c r="D146" s="42"/>
      <c r="E146" s="42"/>
      <c r="G146" s="57"/>
      <c r="H146" s="58"/>
    </row>
    <row r="147" ht="14.25" customHeight="1">
      <c r="A147" s="34">
        <v>46223.0</v>
      </c>
      <c r="B147" s="43" t="s">
        <v>54</v>
      </c>
      <c r="C147" s="49">
        <v>113.31</v>
      </c>
      <c r="D147" s="42"/>
      <c r="E147" s="42"/>
      <c r="G147" s="57"/>
      <c r="H147" s="58"/>
    </row>
    <row r="148" ht="14.25" customHeight="1">
      <c r="A148" s="46">
        <v>46233.0</v>
      </c>
      <c r="B148" s="43" t="s">
        <v>92</v>
      </c>
      <c r="C148" s="47">
        <v>400.0</v>
      </c>
      <c r="D148" s="35"/>
      <c r="E148" s="35"/>
      <c r="G148" s="57"/>
      <c r="H148" s="58"/>
    </row>
    <row r="149" ht="14.25" customHeight="1">
      <c r="A149" s="34">
        <v>46236.0</v>
      </c>
      <c r="B149" s="42" t="s">
        <v>40</v>
      </c>
      <c r="C149" s="49">
        <v>1500.0</v>
      </c>
      <c r="D149" s="42"/>
      <c r="E149" s="42"/>
      <c r="G149" s="57"/>
      <c r="H149" s="58"/>
    </row>
    <row r="150" ht="14.25" customHeight="1">
      <c r="A150" s="46">
        <v>46239.0</v>
      </c>
      <c r="B150" s="42" t="s">
        <v>75</v>
      </c>
      <c r="C150" s="49">
        <v>81.8</v>
      </c>
      <c r="D150" s="35"/>
      <c r="E150" s="35"/>
      <c r="G150" s="57"/>
      <c r="H150" s="58"/>
    </row>
    <row r="151" ht="14.25" customHeight="1">
      <c r="A151" s="34">
        <v>46240.0</v>
      </c>
      <c r="B151" s="43" t="s">
        <v>60</v>
      </c>
      <c r="C151" s="49">
        <v>950.0</v>
      </c>
      <c r="D151" s="42"/>
      <c r="E151" s="42"/>
      <c r="G151" s="57"/>
      <c r="H151" s="58"/>
    </row>
    <row r="152" ht="14.25" customHeight="1">
      <c r="A152" s="46">
        <v>46241.0</v>
      </c>
      <c r="B152" s="43" t="s">
        <v>44</v>
      </c>
      <c r="C152" s="47">
        <v>110.0</v>
      </c>
      <c r="D152" s="42"/>
      <c r="E152" s="42"/>
      <c r="G152" s="57"/>
      <c r="H152" s="58"/>
    </row>
    <row r="153" ht="14.25" customHeight="1">
      <c r="A153" s="34">
        <v>46244.0</v>
      </c>
      <c r="B153" s="35" t="s">
        <v>76</v>
      </c>
      <c r="C153" s="49">
        <v>65.0</v>
      </c>
      <c r="D153" s="42"/>
      <c r="E153" s="42"/>
      <c r="G153" s="57"/>
      <c r="H153" s="58"/>
    </row>
    <row r="154" ht="14.25" customHeight="1">
      <c r="A154" s="34">
        <v>46245.0</v>
      </c>
      <c r="B154" s="42" t="s">
        <v>42</v>
      </c>
      <c r="C154" s="49">
        <v>95.12</v>
      </c>
      <c r="D154" s="42"/>
      <c r="E154" s="42"/>
      <c r="G154" s="57"/>
      <c r="H154" s="58"/>
    </row>
    <row r="155" ht="14.25" customHeight="1">
      <c r="A155" s="34">
        <v>46246.0</v>
      </c>
      <c r="B155" s="43" t="s">
        <v>63</v>
      </c>
      <c r="C155" s="49">
        <v>981.95</v>
      </c>
      <c r="D155" s="42"/>
      <c r="E155" s="42"/>
      <c r="G155" s="57"/>
      <c r="H155" s="58"/>
    </row>
    <row r="156" ht="14.25" customHeight="1">
      <c r="A156" s="34">
        <v>46246.0</v>
      </c>
      <c r="B156" s="42" t="s">
        <v>69</v>
      </c>
      <c r="C156" s="49">
        <v>2831.4</v>
      </c>
      <c r="D156" s="42"/>
      <c r="E156" s="42"/>
      <c r="G156" s="57"/>
      <c r="H156" s="58"/>
    </row>
    <row r="157" ht="14.25" customHeight="1">
      <c r="A157" s="34">
        <v>46246.0</v>
      </c>
      <c r="B157" s="42" t="s">
        <v>70</v>
      </c>
      <c r="C157" s="49">
        <v>460.0</v>
      </c>
      <c r="D157" s="42"/>
      <c r="E157" s="42"/>
      <c r="G157" s="57"/>
      <c r="H157" s="58"/>
    </row>
    <row r="158" ht="14.25" customHeight="1">
      <c r="A158" s="46">
        <v>46246.0</v>
      </c>
      <c r="B158" s="43" t="s">
        <v>56</v>
      </c>
      <c r="C158" s="49">
        <v>50.0</v>
      </c>
      <c r="D158" s="42"/>
      <c r="E158" s="42"/>
      <c r="G158" s="57"/>
      <c r="H158" s="58"/>
    </row>
    <row r="159" ht="14.25" customHeight="1">
      <c r="A159" s="34">
        <v>46246.0</v>
      </c>
      <c r="B159" s="42" t="s">
        <v>65</v>
      </c>
      <c r="C159" s="49">
        <v>530.0</v>
      </c>
      <c r="D159" s="42"/>
      <c r="E159" s="42"/>
      <c r="G159" s="57"/>
      <c r="H159" s="58"/>
    </row>
    <row r="160" ht="14.25" customHeight="1">
      <c r="A160" s="34">
        <v>46249.0</v>
      </c>
      <c r="B160" s="43" t="s">
        <v>62</v>
      </c>
      <c r="C160" s="49">
        <v>132.4</v>
      </c>
      <c r="D160" s="42"/>
      <c r="E160" s="42"/>
      <c r="G160" s="57"/>
      <c r="H160" s="58"/>
    </row>
    <row r="161" ht="14.25" customHeight="1">
      <c r="A161" s="34">
        <v>46254.0</v>
      </c>
      <c r="B161" s="35" t="s">
        <v>36</v>
      </c>
      <c r="C161" s="49">
        <v>5800.0</v>
      </c>
      <c r="D161" s="42"/>
      <c r="E161" s="42"/>
      <c r="G161" s="57"/>
      <c r="H161" s="58"/>
    </row>
    <row r="162" ht="14.25" customHeight="1">
      <c r="A162" s="34">
        <v>46254.0</v>
      </c>
      <c r="B162" s="43" t="s">
        <v>54</v>
      </c>
      <c r="C162" s="49">
        <v>113.31</v>
      </c>
      <c r="D162" s="42"/>
      <c r="E162" s="42"/>
      <c r="G162" s="57"/>
      <c r="H162" s="58"/>
    </row>
    <row r="163" ht="14.25" customHeight="1">
      <c r="A163" s="46">
        <v>46264.0</v>
      </c>
      <c r="B163" s="43" t="s">
        <v>92</v>
      </c>
      <c r="C163" s="47">
        <v>400.0</v>
      </c>
      <c r="D163" s="35"/>
      <c r="E163" s="35"/>
      <c r="G163" s="57"/>
      <c r="H163" s="58"/>
    </row>
    <row r="164" ht="14.25" customHeight="1">
      <c r="A164" s="34">
        <v>46267.0</v>
      </c>
      <c r="B164" s="42" t="s">
        <v>40</v>
      </c>
      <c r="C164" s="49">
        <v>2000.0</v>
      </c>
      <c r="D164" s="42"/>
      <c r="E164" s="42"/>
      <c r="G164" s="57"/>
      <c r="H164" s="58"/>
    </row>
    <row r="165" ht="14.25" customHeight="1">
      <c r="A165" s="34">
        <v>46271.0</v>
      </c>
      <c r="B165" s="43" t="s">
        <v>60</v>
      </c>
      <c r="C165" s="49">
        <v>950.0</v>
      </c>
      <c r="D165" s="42"/>
      <c r="E165" s="42"/>
      <c r="G165" s="57"/>
      <c r="H165" s="58"/>
    </row>
    <row r="166" ht="14.25" customHeight="1">
      <c r="A166" s="46">
        <v>46272.0</v>
      </c>
      <c r="B166" s="43" t="s">
        <v>44</v>
      </c>
      <c r="C166" s="47">
        <v>110.0</v>
      </c>
      <c r="D166" s="42"/>
      <c r="E166" s="42"/>
      <c r="G166" s="57"/>
      <c r="H166" s="58"/>
    </row>
    <row r="167" ht="14.25" customHeight="1">
      <c r="A167" s="34">
        <v>46273.0</v>
      </c>
      <c r="B167" s="42" t="s">
        <v>100</v>
      </c>
      <c r="C167" s="49">
        <v>90.0</v>
      </c>
      <c r="D167" s="42"/>
      <c r="E167" s="42"/>
      <c r="G167" s="57"/>
      <c r="H167" s="58"/>
    </row>
    <row r="168" ht="14.25" customHeight="1">
      <c r="A168" s="34">
        <v>46275.0</v>
      </c>
      <c r="B168" s="35" t="s">
        <v>76</v>
      </c>
      <c r="C168" s="49">
        <v>65.0</v>
      </c>
      <c r="D168" s="42"/>
      <c r="E168" s="42"/>
      <c r="G168" s="57"/>
      <c r="H168" s="58"/>
    </row>
    <row r="169" ht="14.25" customHeight="1">
      <c r="A169" s="34">
        <v>46276.0</v>
      </c>
      <c r="B169" s="42" t="s">
        <v>42</v>
      </c>
      <c r="C169" s="49">
        <v>95.12</v>
      </c>
      <c r="D169" s="42"/>
      <c r="E169" s="42"/>
      <c r="G169" s="57"/>
      <c r="H169" s="58"/>
    </row>
    <row r="170" ht="14.25" customHeight="1">
      <c r="A170" s="34">
        <v>46277.0</v>
      </c>
      <c r="B170" s="43" t="s">
        <v>63</v>
      </c>
      <c r="C170" s="49">
        <v>981.95</v>
      </c>
      <c r="D170" s="42"/>
      <c r="E170" s="42"/>
      <c r="G170" s="57"/>
      <c r="H170" s="58"/>
    </row>
    <row r="171" ht="14.25" customHeight="1">
      <c r="A171" s="34">
        <v>46277.0</v>
      </c>
      <c r="B171" s="42" t="s">
        <v>69</v>
      </c>
      <c r="C171" s="49">
        <v>2831.4</v>
      </c>
      <c r="D171" s="42"/>
      <c r="E171" s="42"/>
      <c r="G171" s="57"/>
      <c r="H171" s="58"/>
    </row>
    <row r="172" ht="14.25" customHeight="1">
      <c r="A172" s="34">
        <v>46277.0</v>
      </c>
      <c r="B172" s="43" t="s">
        <v>56</v>
      </c>
      <c r="C172" s="49">
        <v>50.0</v>
      </c>
      <c r="D172" s="42"/>
      <c r="E172" s="42"/>
      <c r="G172" s="57"/>
      <c r="H172" s="58"/>
    </row>
    <row r="173" ht="14.25" customHeight="1">
      <c r="A173" s="34">
        <v>46280.0</v>
      </c>
      <c r="B173" s="43" t="s">
        <v>62</v>
      </c>
      <c r="C173" s="49">
        <v>132.4</v>
      </c>
      <c r="D173" s="42"/>
      <c r="E173" s="42"/>
      <c r="G173" s="57"/>
      <c r="H173" s="58"/>
    </row>
    <row r="174" ht="14.25" customHeight="1">
      <c r="A174" s="34">
        <v>46285.0</v>
      </c>
      <c r="B174" s="35" t="s">
        <v>36</v>
      </c>
      <c r="C174" s="49">
        <v>6850.0</v>
      </c>
      <c r="D174" s="42"/>
      <c r="E174" s="42"/>
      <c r="G174" s="57"/>
      <c r="H174" s="58"/>
    </row>
    <row r="175" ht="14.25" customHeight="1">
      <c r="A175" s="46">
        <v>46285.0</v>
      </c>
      <c r="B175" s="43" t="s">
        <v>54</v>
      </c>
      <c r="C175" s="49">
        <v>113.31</v>
      </c>
      <c r="D175" s="42"/>
      <c r="E175" s="42"/>
      <c r="G175" s="57"/>
      <c r="H175" s="58"/>
    </row>
    <row r="176" ht="14.25" customHeight="1">
      <c r="A176" s="46">
        <v>46295.0</v>
      </c>
      <c r="B176" s="43" t="s">
        <v>92</v>
      </c>
      <c r="C176" s="47">
        <v>400.0</v>
      </c>
      <c r="D176" s="35"/>
      <c r="E176" s="35"/>
      <c r="G176" s="57"/>
      <c r="H176" s="58"/>
    </row>
    <row r="177" ht="14.25" customHeight="1">
      <c r="A177" s="34">
        <v>46297.0</v>
      </c>
      <c r="B177" s="42" t="s">
        <v>40</v>
      </c>
      <c r="C177" s="49">
        <v>1800.0</v>
      </c>
      <c r="D177" s="42"/>
      <c r="E177" s="42"/>
      <c r="G177" s="57"/>
      <c r="H177" s="58"/>
    </row>
    <row r="178" ht="14.25" customHeight="1">
      <c r="A178" s="34">
        <v>46301.0</v>
      </c>
      <c r="B178" s="43" t="s">
        <v>60</v>
      </c>
      <c r="C178" s="49">
        <v>950.0</v>
      </c>
      <c r="D178" s="42"/>
      <c r="E178" s="42"/>
      <c r="G178" s="57"/>
      <c r="H178" s="58"/>
    </row>
    <row r="179" ht="14.25" customHeight="1">
      <c r="A179" s="46">
        <v>46302.0</v>
      </c>
      <c r="B179" s="43" t="s">
        <v>44</v>
      </c>
      <c r="C179" s="47">
        <v>110.0</v>
      </c>
      <c r="D179" s="42"/>
      <c r="E179" s="42"/>
      <c r="G179" s="57"/>
      <c r="H179" s="58"/>
    </row>
    <row r="180" ht="14.25" customHeight="1">
      <c r="A180" s="34">
        <v>46302.0</v>
      </c>
      <c r="B180" s="42" t="s">
        <v>65</v>
      </c>
      <c r="C180" s="49">
        <v>530.0</v>
      </c>
      <c r="D180" s="42"/>
      <c r="E180" s="42"/>
      <c r="G180" s="57"/>
      <c r="H180" s="58"/>
    </row>
    <row r="181" ht="14.25" customHeight="1">
      <c r="A181" s="34">
        <v>46303.0</v>
      </c>
      <c r="B181" s="42" t="s">
        <v>100</v>
      </c>
      <c r="C181" s="49">
        <v>90.0</v>
      </c>
      <c r="D181" s="42"/>
      <c r="E181" s="42"/>
      <c r="G181" s="57"/>
      <c r="H181" s="58"/>
    </row>
    <row r="182" ht="14.25" customHeight="1">
      <c r="A182" s="34">
        <v>46303.0</v>
      </c>
      <c r="B182" s="42" t="s">
        <v>101</v>
      </c>
      <c r="C182" s="49">
        <v>119.8</v>
      </c>
      <c r="D182" s="42"/>
      <c r="E182" s="42"/>
      <c r="G182" s="57"/>
      <c r="H182" s="58"/>
    </row>
    <row r="183" ht="14.25" customHeight="1">
      <c r="A183" s="34">
        <v>46305.0</v>
      </c>
      <c r="B183" s="35" t="s">
        <v>76</v>
      </c>
      <c r="C183" s="49">
        <v>65.0</v>
      </c>
      <c r="D183" s="42"/>
      <c r="E183" s="42"/>
      <c r="G183" s="57"/>
      <c r="H183" s="58"/>
    </row>
    <row r="184" ht="14.25" customHeight="1">
      <c r="A184" s="34">
        <v>46306.0</v>
      </c>
      <c r="B184" s="42" t="s">
        <v>42</v>
      </c>
      <c r="C184" s="49">
        <v>95.12</v>
      </c>
      <c r="D184" s="42"/>
      <c r="E184" s="42"/>
      <c r="G184" s="57"/>
      <c r="H184" s="58"/>
    </row>
    <row r="185" ht="14.25" customHeight="1">
      <c r="A185" s="34">
        <v>46307.0</v>
      </c>
      <c r="B185" s="43" t="s">
        <v>63</v>
      </c>
      <c r="C185" s="49">
        <v>981.95</v>
      </c>
      <c r="D185" s="42"/>
      <c r="E185" s="42"/>
      <c r="G185" s="57"/>
      <c r="H185" s="58"/>
    </row>
    <row r="186" ht="14.25" customHeight="1">
      <c r="A186" s="34">
        <v>46307.0</v>
      </c>
      <c r="B186" s="42" t="s">
        <v>69</v>
      </c>
      <c r="C186" s="49">
        <v>2831.4</v>
      </c>
      <c r="D186" s="42"/>
      <c r="E186" s="42"/>
      <c r="G186" s="57"/>
      <c r="H186" s="58"/>
    </row>
    <row r="187" ht="14.25" customHeight="1">
      <c r="A187" s="46">
        <v>46307.0</v>
      </c>
      <c r="B187" s="43" t="s">
        <v>56</v>
      </c>
      <c r="C187" s="49">
        <v>50.0</v>
      </c>
      <c r="D187" s="42"/>
      <c r="E187" s="42"/>
      <c r="G187" s="57"/>
      <c r="H187" s="58"/>
    </row>
    <row r="188" ht="14.25" customHeight="1">
      <c r="A188" s="34">
        <v>46310.0</v>
      </c>
      <c r="B188" s="43" t="s">
        <v>62</v>
      </c>
      <c r="C188" s="49">
        <v>132.4</v>
      </c>
      <c r="D188" s="42"/>
      <c r="E188" s="42"/>
      <c r="G188" s="57"/>
      <c r="H188" s="58"/>
    </row>
    <row r="189" ht="14.25" customHeight="1">
      <c r="A189" s="34">
        <v>46315.0</v>
      </c>
      <c r="B189" s="35" t="s">
        <v>36</v>
      </c>
      <c r="C189" s="49">
        <v>6000.0</v>
      </c>
      <c r="D189" s="42"/>
      <c r="E189" s="42"/>
      <c r="G189" s="57"/>
      <c r="H189" s="58"/>
    </row>
    <row r="190" ht="14.25" customHeight="1">
      <c r="A190" s="34">
        <v>46315.0</v>
      </c>
      <c r="B190" s="43" t="s">
        <v>54</v>
      </c>
      <c r="C190" s="49">
        <v>113.31</v>
      </c>
      <c r="D190" s="42"/>
      <c r="E190" s="42"/>
      <c r="G190" s="57"/>
      <c r="H190" s="58"/>
    </row>
    <row r="191" ht="14.25" customHeight="1">
      <c r="A191" s="46">
        <v>46325.0</v>
      </c>
      <c r="B191" s="43" t="s">
        <v>92</v>
      </c>
      <c r="C191" s="47">
        <v>400.0</v>
      </c>
      <c r="D191" s="35"/>
      <c r="E191" s="35"/>
      <c r="G191" s="57"/>
      <c r="H191" s="58"/>
    </row>
    <row r="192" ht="14.25" customHeight="1">
      <c r="A192" s="34">
        <v>46328.0</v>
      </c>
      <c r="B192" s="42" t="s">
        <v>40</v>
      </c>
      <c r="C192" s="49">
        <v>2200.0</v>
      </c>
      <c r="D192" s="42"/>
      <c r="E192" s="42"/>
      <c r="G192" s="57"/>
      <c r="H192" s="58"/>
    </row>
    <row r="193" ht="14.25" customHeight="1">
      <c r="A193" s="34">
        <v>46332.0</v>
      </c>
      <c r="B193" s="43" t="s">
        <v>60</v>
      </c>
      <c r="C193" s="49">
        <v>950.0</v>
      </c>
      <c r="D193" s="42"/>
      <c r="E193" s="42"/>
      <c r="G193" s="57"/>
      <c r="H193" s="58"/>
    </row>
    <row r="194" ht="14.25" customHeight="1">
      <c r="A194" s="46">
        <v>46333.0</v>
      </c>
      <c r="B194" s="43" t="s">
        <v>44</v>
      </c>
      <c r="C194" s="47">
        <v>110.0</v>
      </c>
      <c r="D194" s="42"/>
      <c r="E194" s="42"/>
      <c r="G194" s="57"/>
      <c r="H194" s="58"/>
    </row>
    <row r="195" ht="14.25" customHeight="1">
      <c r="A195" s="34">
        <v>46335.0</v>
      </c>
      <c r="B195" s="42" t="s">
        <v>100</v>
      </c>
      <c r="C195" s="49">
        <v>90.0</v>
      </c>
      <c r="D195" s="42"/>
      <c r="E195" s="42"/>
      <c r="G195" s="57"/>
      <c r="H195" s="58"/>
    </row>
    <row r="196" ht="14.25" customHeight="1">
      <c r="A196" s="34">
        <v>46336.0</v>
      </c>
      <c r="B196" s="35" t="s">
        <v>76</v>
      </c>
      <c r="C196" s="49">
        <v>65.0</v>
      </c>
      <c r="D196" s="42"/>
      <c r="E196" s="42"/>
      <c r="G196" s="57"/>
      <c r="H196" s="58"/>
    </row>
    <row r="197" ht="14.25" customHeight="1">
      <c r="A197" s="34">
        <v>46337.0</v>
      </c>
      <c r="B197" s="42" t="s">
        <v>42</v>
      </c>
      <c r="C197" s="49">
        <v>95.12</v>
      </c>
      <c r="D197" s="42"/>
      <c r="E197" s="42"/>
      <c r="G197" s="57"/>
      <c r="H197" s="58"/>
    </row>
    <row r="198" ht="14.25" customHeight="1">
      <c r="A198" s="34">
        <v>46338.0</v>
      </c>
      <c r="B198" s="43" t="s">
        <v>63</v>
      </c>
      <c r="C198" s="49">
        <v>981.95</v>
      </c>
      <c r="D198" s="42"/>
      <c r="E198" s="42"/>
      <c r="G198" s="57"/>
      <c r="H198" s="58"/>
    </row>
    <row r="199" ht="14.25" customHeight="1">
      <c r="A199" s="34">
        <v>46338.0</v>
      </c>
      <c r="B199" s="42" t="s">
        <v>69</v>
      </c>
      <c r="C199" s="49">
        <v>2831.4</v>
      </c>
      <c r="D199" s="42"/>
      <c r="E199" s="42"/>
      <c r="G199" s="57"/>
      <c r="H199" s="58"/>
    </row>
    <row r="200" ht="14.25" customHeight="1">
      <c r="A200" s="34">
        <v>46338.0</v>
      </c>
      <c r="B200" s="43" t="s">
        <v>56</v>
      </c>
      <c r="C200" s="49">
        <v>50.0</v>
      </c>
      <c r="D200" s="42"/>
      <c r="E200" s="42"/>
      <c r="G200" s="57"/>
      <c r="H200" s="58"/>
    </row>
    <row r="201" ht="14.25" customHeight="1">
      <c r="A201" s="34">
        <v>46341.0</v>
      </c>
      <c r="B201" s="43" t="s">
        <v>62</v>
      </c>
      <c r="C201" s="49">
        <v>132.4</v>
      </c>
      <c r="D201" s="42"/>
      <c r="E201" s="42"/>
      <c r="G201" s="57"/>
      <c r="H201" s="58"/>
    </row>
    <row r="202" ht="14.25" customHeight="1">
      <c r="A202" s="34">
        <v>46346.0</v>
      </c>
      <c r="B202" s="35" t="s">
        <v>36</v>
      </c>
      <c r="C202" s="49">
        <v>5750.0</v>
      </c>
      <c r="D202" s="42"/>
      <c r="E202" s="42"/>
      <c r="G202" s="57"/>
      <c r="H202" s="58"/>
    </row>
    <row r="203" ht="14.25" customHeight="1">
      <c r="A203" s="34">
        <v>46346.0</v>
      </c>
      <c r="B203" s="43" t="s">
        <v>54</v>
      </c>
      <c r="C203" s="49">
        <v>113.31</v>
      </c>
      <c r="D203" s="42"/>
      <c r="E203" s="42"/>
      <c r="G203" s="57"/>
      <c r="H203" s="58"/>
    </row>
    <row r="204" ht="14.25" customHeight="1">
      <c r="A204" s="46">
        <v>46356.0</v>
      </c>
      <c r="B204" s="43" t="s">
        <v>92</v>
      </c>
      <c r="C204" s="47">
        <v>400.0</v>
      </c>
      <c r="D204" s="35"/>
      <c r="E204" s="35"/>
      <c r="G204" s="57"/>
      <c r="H204" s="58"/>
    </row>
    <row r="205" ht="14.25" customHeight="1">
      <c r="A205" s="34">
        <v>46358.0</v>
      </c>
      <c r="B205" s="42" t="s">
        <v>40</v>
      </c>
      <c r="C205" s="49">
        <v>1880.0</v>
      </c>
      <c r="D205" s="42"/>
      <c r="E205" s="42"/>
      <c r="G205" s="57"/>
      <c r="H205" s="58"/>
    </row>
    <row r="206" ht="14.25" customHeight="1">
      <c r="A206" s="34">
        <v>46362.0</v>
      </c>
      <c r="B206" s="43" t="s">
        <v>60</v>
      </c>
      <c r="C206" s="49">
        <v>950.0</v>
      </c>
      <c r="D206" s="42"/>
      <c r="E206" s="42"/>
      <c r="G206" s="57"/>
      <c r="H206" s="58"/>
    </row>
    <row r="207" ht="14.25" customHeight="1">
      <c r="A207" s="46">
        <v>46363.0</v>
      </c>
      <c r="B207" s="43" t="s">
        <v>44</v>
      </c>
      <c r="C207" s="47">
        <v>110.0</v>
      </c>
      <c r="D207" s="42"/>
      <c r="E207" s="42"/>
      <c r="G207" s="57"/>
      <c r="H207" s="58"/>
    </row>
    <row r="208" ht="14.25" customHeight="1">
      <c r="A208" s="34">
        <v>46365.0</v>
      </c>
      <c r="B208" s="42" t="s">
        <v>65</v>
      </c>
      <c r="C208" s="49">
        <v>530.0</v>
      </c>
      <c r="D208" s="42"/>
      <c r="E208" s="42"/>
      <c r="G208" s="57"/>
      <c r="H208" s="58"/>
    </row>
    <row r="209" ht="14.25" customHeight="1">
      <c r="A209" s="34">
        <v>46366.0</v>
      </c>
      <c r="B209" s="35" t="s">
        <v>76</v>
      </c>
      <c r="C209" s="49">
        <v>65.0</v>
      </c>
      <c r="D209" s="42"/>
      <c r="E209" s="42"/>
      <c r="G209" s="57"/>
      <c r="H209" s="58"/>
    </row>
    <row r="210" ht="14.25" customHeight="1">
      <c r="A210" s="34">
        <v>46367.0</v>
      </c>
      <c r="B210" s="42" t="s">
        <v>42</v>
      </c>
      <c r="C210" s="49">
        <v>95.12</v>
      </c>
      <c r="D210" s="42"/>
      <c r="E210" s="42"/>
      <c r="G210" s="57"/>
      <c r="H210" s="58"/>
    </row>
    <row r="211" ht="14.25" customHeight="1">
      <c r="A211" s="34">
        <v>46367.0</v>
      </c>
      <c r="B211" s="42" t="s">
        <v>102</v>
      </c>
      <c r="C211" s="49">
        <v>2900.0</v>
      </c>
      <c r="D211" s="42"/>
      <c r="E211" s="42"/>
      <c r="G211" s="57"/>
      <c r="H211" s="58"/>
    </row>
    <row r="212" ht="14.25" customHeight="1">
      <c r="A212" s="34">
        <v>46368.0</v>
      </c>
      <c r="B212" s="43" t="s">
        <v>63</v>
      </c>
      <c r="C212" s="49">
        <v>981.95</v>
      </c>
      <c r="D212" s="42"/>
      <c r="E212" s="42"/>
      <c r="G212" s="57"/>
      <c r="H212" s="58"/>
    </row>
    <row r="213" ht="14.25" customHeight="1">
      <c r="A213" s="34">
        <v>46368.0</v>
      </c>
      <c r="B213" s="42" t="s">
        <v>69</v>
      </c>
      <c r="C213" s="49">
        <v>2831.4</v>
      </c>
      <c r="D213" s="42"/>
      <c r="E213" s="42"/>
      <c r="G213" s="57"/>
      <c r="H213" s="58"/>
    </row>
    <row r="214" ht="14.25" customHeight="1">
      <c r="A214" s="46">
        <v>46368.0</v>
      </c>
      <c r="B214" s="43" t="s">
        <v>56</v>
      </c>
      <c r="C214" s="49">
        <v>50.0</v>
      </c>
      <c r="D214" s="42"/>
      <c r="E214" s="42"/>
      <c r="G214" s="57"/>
      <c r="H214" s="58"/>
    </row>
    <row r="215" ht="14.25" customHeight="1">
      <c r="A215" s="34">
        <v>46371.0</v>
      </c>
      <c r="B215" s="43" t="s">
        <v>62</v>
      </c>
      <c r="C215" s="49">
        <v>132.4</v>
      </c>
      <c r="D215" s="42"/>
      <c r="E215" s="42"/>
      <c r="G215" s="57"/>
      <c r="H215" s="58"/>
    </row>
    <row r="216" ht="14.25" customHeight="1">
      <c r="A216" s="34">
        <v>46376.0</v>
      </c>
      <c r="B216" s="35" t="s">
        <v>36</v>
      </c>
      <c r="C216" s="49">
        <v>6250.0</v>
      </c>
      <c r="D216" s="42"/>
      <c r="E216" s="42"/>
      <c r="G216" s="57"/>
      <c r="H216" s="58"/>
    </row>
    <row r="217" ht="14.25" customHeight="1">
      <c r="A217" s="46">
        <v>46376.0</v>
      </c>
      <c r="B217" s="43" t="s">
        <v>54</v>
      </c>
      <c r="C217" s="49">
        <v>113.31</v>
      </c>
      <c r="D217" s="42"/>
      <c r="E217" s="42"/>
      <c r="G217" s="57"/>
      <c r="H217" s="58"/>
    </row>
    <row r="218" ht="14.25" customHeight="1">
      <c r="A218" s="34">
        <v>46389.0</v>
      </c>
      <c r="B218" s="42" t="s">
        <v>40</v>
      </c>
      <c r="C218" s="49">
        <v>2000.0</v>
      </c>
      <c r="D218" s="42"/>
      <c r="E218" s="42"/>
      <c r="G218" s="57"/>
      <c r="H218" s="58"/>
    </row>
    <row r="219" ht="14.25" customHeight="1">
      <c r="A219" s="34">
        <v>46393.0</v>
      </c>
      <c r="B219" s="43" t="s">
        <v>60</v>
      </c>
      <c r="C219" s="49">
        <v>950.0</v>
      </c>
      <c r="D219" s="42"/>
      <c r="E219" s="42"/>
      <c r="G219" s="57"/>
      <c r="H219" s="58"/>
    </row>
    <row r="220" ht="14.25" customHeight="1">
      <c r="A220" s="46">
        <v>46394.0</v>
      </c>
      <c r="B220" s="43" t="s">
        <v>44</v>
      </c>
      <c r="C220" s="47">
        <v>110.0</v>
      </c>
      <c r="D220" s="42"/>
      <c r="E220" s="42"/>
      <c r="G220" s="57"/>
      <c r="H220" s="58"/>
    </row>
    <row r="221" ht="14.25" customHeight="1">
      <c r="A221" s="34">
        <v>46397.0</v>
      </c>
      <c r="B221" s="35" t="s">
        <v>76</v>
      </c>
      <c r="C221" s="49">
        <v>65.0</v>
      </c>
      <c r="D221" s="42"/>
      <c r="E221" s="42"/>
      <c r="G221" s="57"/>
      <c r="H221" s="58"/>
    </row>
    <row r="222" ht="14.25" customHeight="1">
      <c r="A222" s="34">
        <v>46398.0</v>
      </c>
      <c r="B222" s="42" t="s">
        <v>42</v>
      </c>
      <c r="C222" s="49">
        <v>105.37</v>
      </c>
      <c r="D222" s="42"/>
      <c r="E222" s="42"/>
      <c r="G222" s="57"/>
      <c r="H222" s="58"/>
    </row>
    <row r="223" ht="14.25" customHeight="1">
      <c r="A223" s="34">
        <v>46399.0</v>
      </c>
      <c r="B223" s="43" t="s">
        <v>63</v>
      </c>
      <c r="C223" s="49">
        <v>983.13</v>
      </c>
      <c r="D223" s="42"/>
      <c r="E223" s="42"/>
      <c r="G223" s="57"/>
      <c r="H223" s="58"/>
    </row>
    <row r="224" ht="14.25" customHeight="1">
      <c r="A224" s="34">
        <v>46399.0</v>
      </c>
      <c r="B224" s="43" t="s">
        <v>56</v>
      </c>
      <c r="C224" s="49">
        <v>50.0</v>
      </c>
      <c r="D224" s="42"/>
      <c r="E224" s="42"/>
      <c r="G224" s="57"/>
      <c r="H224" s="58"/>
    </row>
    <row r="225" ht="14.25" customHeight="1">
      <c r="A225" s="34">
        <v>46402.0</v>
      </c>
      <c r="B225" s="43" t="s">
        <v>62</v>
      </c>
      <c r="C225" s="49">
        <v>132.4</v>
      </c>
      <c r="D225" s="42"/>
      <c r="E225" s="42"/>
      <c r="G225" s="57"/>
      <c r="H225" s="58"/>
    </row>
    <row r="226" ht="14.25" customHeight="1">
      <c r="A226" s="34">
        <v>46407.0</v>
      </c>
      <c r="B226" s="35" t="s">
        <v>36</v>
      </c>
      <c r="C226" s="49">
        <v>7796.0</v>
      </c>
      <c r="D226" s="42"/>
      <c r="E226" s="42"/>
      <c r="G226" s="57"/>
      <c r="H226" s="58"/>
    </row>
    <row r="227" ht="14.25" customHeight="1">
      <c r="A227" s="34">
        <v>46407.0</v>
      </c>
      <c r="B227" s="43" t="s">
        <v>54</v>
      </c>
      <c r="C227" s="49">
        <v>102.36</v>
      </c>
      <c r="D227" s="42"/>
      <c r="E227" s="42"/>
      <c r="G227" s="57"/>
      <c r="H227" s="58"/>
    </row>
    <row r="228" ht="14.25" customHeight="1">
      <c r="A228" s="34">
        <v>46420.0</v>
      </c>
      <c r="B228" s="42" t="s">
        <v>40</v>
      </c>
      <c r="C228" s="49">
        <v>1800.0</v>
      </c>
      <c r="D228" s="42"/>
      <c r="E228" s="42"/>
      <c r="G228" s="57"/>
      <c r="H228" s="58"/>
    </row>
    <row r="229" ht="14.25" customHeight="1">
      <c r="A229" s="34">
        <v>46424.0</v>
      </c>
      <c r="B229" s="43" t="s">
        <v>60</v>
      </c>
      <c r="C229" s="49">
        <v>950.0</v>
      </c>
      <c r="D229" s="42"/>
      <c r="E229" s="42"/>
      <c r="G229" s="57"/>
      <c r="H229" s="58"/>
    </row>
    <row r="230" ht="14.25" customHeight="1">
      <c r="A230" s="46">
        <v>46425.0</v>
      </c>
      <c r="B230" s="43" t="s">
        <v>44</v>
      </c>
      <c r="C230" s="47">
        <v>110.0</v>
      </c>
      <c r="D230" s="42"/>
      <c r="E230" s="42"/>
      <c r="G230" s="57"/>
      <c r="H230" s="58"/>
    </row>
    <row r="231" ht="14.25" customHeight="1">
      <c r="A231" s="34">
        <v>46428.0</v>
      </c>
      <c r="B231" s="35" t="s">
        <v>76</v>
      </c>
      <c r="C231" s="49">
        <v>65.0</v>
      </c>
      <c r="D231" s="42"/>
      <c r="E231" s="42"/>
      <c r="G231" s="57"/>
      <c r="H231" s="58"/>
    </row>
    <row r="232" ht="14.25" customHeight="1">
      <c r="A232" s="34">
        <v>46428.0</v>
      </c>
      <c r="B232" s="42" t="s">
        <v>65</v>
      </c>
      <c r="C232" s="49">
        <v>530.0</v>
      </c>
      <c r="D232" s="42"/>
      <c r="E232" s="42"/>
      <c r="G232" s="57"/>
      <c r="H232" s="58"/>
    </row>
    <row r="233" ht="14.25" customHeight="1">
      <c r="A233" s="34">
        <v>46429.0</v>
      </c>
      <c r="B233" s="42" t="s">
        <v>42</v>
      </c>
      <c r="C233" s="49">
        <v>95.12</v>
      </c>
      <c r="D233" s="42"/>
      <c r="E233" s="42"/>
      <c r="G233" s="57"/>
      <c r="H233" s="58"/>
    </row>
    <row r="234" ht="14.25" customHeight="1">
      <c r="A234" s="34">
        <v>46430.0</v>
      </c>
      <c r="B234" s="43" t="s">
        <v>63</v>
      </c>
      <c r="C234" s="49">
        <v>981.95</v>
      </c>
      <c r="D234" s="42"/>
      <c r="E234" s="42"/>
      <c r="G234" s="57"/>
      <c r="H234" s="58"/>
    </row>
    <row r="235" ht="14.25" customHeight="1">
      <c r="A235" s="34">
        <v>46430.0</v>
      </c>
      <c r="B235" s="42" t="s">
        <v>69</v>
      </c>
      <c r="C235" s="49">
        <v>2831.4</v>
      </c>
      <c r="D235" s="42"/>
      <c r="E235" s="42"/>
      <c r="G235" s="57"/>
      <c r="H235" s="58"/>
    </row>
    <row r="236" ht="14.25" customHeight="1">
      <c r="A236" s="34">
        <v>46430.0</v>
      </c>
      <c r="B236" s="42" t="s">
        <v>68</v>
      </c>
      <c r="C236" s="49">
        <v>1407.65</v>
      </c>
      <c r="D236" s="42"/>
      <c r="E236" s="42"/>
      <c r="G236" s="57"/>
      <c r="H236" s="58"/>
    </row>
    <row r="237" ht="14.25" customHeight="1">
      <c r="A237" s="46">
        <v>46430.0</v>
      </c>
      <c r="B237" s="43" t="s">
        <v>56</v>
      </c>
      <c r="C237" s="49">
        <v>50.0</v>
      </c>
      <c r="D237" s="42"/>
      <c r="E237" s="35"/>
      <c r="G237" s="57"/>
      <c r="H237" s="58"/>
    </row>
    <row r="238" ht="14.25" customHeight="1">
      <c r="A238" s="34">
        <v>46433.0</v>
      </c>
      <c r="B238" s="43" t="s">
        <v>62</v>
      </c>
      <c r="C238" s="49">
        <v>132.4</v>
      </c>
      <c r="D238" s="42"/>
      <c r="E238" s="42"/>
      <c r="G238" s="57"/>
      <c r="H238" s="58"/>
    </row>
    <row r="239" ht="14.25" customHeight="1">
      <c r="A239" s="34">
        <v>46437.0</v>
      </c>
      <c r="B239" s="42" t="s">
        <v>70</v>
      </c>
      <c r="C239" s="49">
        <v>460.0</v>
      </c>
      <c r="D239" s="42"/>
      <c r="E239" s="42"/>
      <c r="G239" s="57"/>
      <c r="H239" s="58"/>
    </row>
    <row r="240" ht="14.25" customHeight="1">
      <c r="A240" s="34">
        <v>46438.0</v>
      </c>
      <c r="B240" s="35" t="s">
        <v>36</v>
      </c>
      <c r="C240" s="49">
        <v>6004.07</v>
      </c>
      <c r="D240" s="42"/>
      <c r="E240" s="42"/>
      <c r="G240" s="57"/>
      <c r="H240" s="58"/>
    </row>
    <row r="241" ht="14.25" customHeight="1">
      <c r="A241" s="46">
        <v>46438.0</v>
      </c>
      <c r="B241" s="43" t="s">
        <v>54</v>
      </c>
      <c r="C241" s="49">
        <v>113.31</v>
      </c>
      <c r="D241" s="42"/>
      <c r="E241" s="42"/>
      <c r="G241" s="57"/>
      <c r="H241" s="58"/>
    </row>
    <row r="242" ht="14.25" customHeight="1">
      <c r="A242" s="34">
        <v>46448.0</v>
      </c>
      <c r="B242" s="42" t="s">
        <v>40</v>
      </c>
      <c r="C242" s="49">
        <v>1771.95</v>
      </c>
      <c r="D242" s="42"/>
      <c r="E242" s="42"/>
      <c r="G242" s="57"/>
      <c r="H242" s="58"/>
    </row>
    <row r="243" ht="14.25" customHeight="1">
      <c r="A243" s="34">
        <v>46451.0</v>
      </c>
      <c r="B243" s="42" t="s">
        <v>75</v>
      </c>
      <c r="C243" s="49">
        <v>81.8</v>
      </c>
      <c r="D243" s="42"/>
      <c r="E243" s="42"/>
      <c r="G243" s="57"/>
      <c r="H243" s="58"/>
    </row>
    <row r="244" ht="14.25" customHeight="1">
      <c r="A244" s="34">
        <v>46452.0</v>
      </c>
      <c r="B244" s="43" t="s">
        <v>60</v>
      </c>
      <c r="C244" s="49">
        <v>950.0</v>
      </c>
      <c r="D244" s="42"/>
      <c r="E244" s="42"/>
      <c r="G244" s="57"/>
      <c r="H244" s="58"/>
    </row>
    <row r="245" ht="14.25" customHeight="1">
      <c r="A245" s="46">
        <v>46453.0</v>
      </c>
      <c r="B245" s="43" t="s">
        <v>44</v>
      </c>
      <c r="C245" s="47">
        <v>110.0</v>
      </c>
      <c r="D245" s="42"/>
      <c r="E245" s="42"/>
      <c r="G245" s="57"/>
      <c r="H245" s="58"/>
    </row>
    <row r="246" ht="14.25" customHeight="1">
      <c r="A246" s="34">
        <v>46456.0</v>
      </c>
      <c r="B246" s="35" t="s">
        <v>50</v>
      </c>
      <c r="C246" s="49">
        <v>1336.73</v>
      </c>
      <c r="D246" s="42"/>
      <c r="E246" s="42"/>
      <c r="G246" s="57"/>
      <c r="H246" s="58"/>
    </row>
    <row r="247" ht="14.25" customHeight="1">
      <c r="A247" s="34">
        <v>46456.0</v>
      </c>
      <c r="B247" s="35" t="s">
        <v>76</v>
      </c>
      <c r="C247" s="49">
        <v>65.0</v>
      </c>
      <c r="D247" s="42"/>
      <c r="E247" s="42"/>
      <c r="G247" s="57"/>
      <c r="H247" s="58"/>
    </row>
    <row r="248" ht="14.25" customHeight="1">
      <c r="A248" s="34">
        <v>46457.0</v>
      </c>
      <c r="B248" s="42" t="s">
        <v>42</v>
      </c>
      <c r="C248" s="49">
        <v>86.15</v>
      </c>
      <c r="D248" s="42"/>
      <c r="E248" s="42"/>
      <c r="G248" s="57"/>
      <c r="H248" s="58"/>
    </row>
    <row r="249" ht="14.25" customHeight="1">
      <c r="A249" s="34">
        <v>46458.0</v>
      </c>
      <c r="B249" s="43" t="s">
        <v>63</v>
      </c>
      <c r="C249" s="49">
        <v>981.22</v>
      </c>
      <c r="D249" s="42"/>
      <c r="E249" s="42"/>
      <c r="G249" s="57"/>
      <c r="H249" s="58"/>
    </row>
    <row r="250" ht="14.25" customHeight="1">
      <c r="A250" s="34">
        <v>46458.0</v>
      </c>
      <c r="B250" s="42" t="s">
        <v>69</v>
      </c>
      <c r="C250" s="49">
        <v>2831.4</v>
      </c>
      <c r="D250" s="42"/>
      <c r="E250" s="42"/>
      <c r="G250" s="57"/>
      <c r="H250" s="58"/>
    </row>
    <row r="251" ht="14.25" customHeight="1">
      <c r="A251" s="34">
        <v>46458.0</v>
      </c>
      <c r="B251" s="43" t="s">
        <v>56</v>
      </c>
      <c r="C251" s="49">
        <v>50.0</v>
      </c>
      <c r="D251" s="42"/>
      <c r="E251" s="42"/>
      <c r="G251" s="57"/>
      <c r="H251" s="58"/>
    </row>
    <row r="252" ht="14.25" customHeight="1">
      <c r="A252" s="34">
        <v>46461.0</v>
      </c>
      <c r="B252" s="43" t="s">
        <v>62</v>
      </c>
      <c r="C252" s="49">
        <v>132.4</v>
      </c>
      <c r="D252" s="42"/>
      <c r="E252" s="42"/>
      <c r="G252" s="57"/>
      <c r="H252" s="58"/>
    </row>
    <row r="253" ht="14.25" customHeight="1">
      <c r="A253" s="34">
        <v>46466.0</v>
      </c>
      <c r="B253" s="35" t="s">
        <v>36</v>
      </c>
      <c r="C253" s="49">
        <v>7494.55</v>
      </c>
      <c r="D253" s="42"/>
      <c r="E253" s="42"/>
      <c r="G253" s="57"/>
      <c r="H253" s="58"/>
    </row>
    <row r="254" ht="14.25" customHeight="1">
      <c r="A254" s="34">
        <v>46466.0</v>
      </c>
      <c r="B254" s="43" t="s">
        <v>54</v>
      </c>
      <c r="C254" s="49">
        <v>87.84</v>
      </c>
      <c r="D254" s="42"/>
      <c r="E254" s="42"/>
      <c r="G254" s="57"/>
      <c r="H254" s="58"/>
    </row>
    <row r="255" ht="14.25" customHeight="1">
      <c r="A255" s="34">
        <v>46477.0</v>
      </c>
      <c r="B255" s="42" t="s">
        <v>79</v>
      </c>
      <c r="C255" s="49">
        <v>35.62</v>
      </c>
      <c r="D255" s="42"/>
      <c r="E255" s="42"/>
      <c r="G255" s="57"/>
      <c r="H255" s="58"/>
    </row>
    <row r="256" ht="14.25" customHeight="1">
      <c r="A256" s="34">
        <v>46479.0</v>
      </c>
      <c r="B256" s="42" t="s">
        <v>40</v>
      </c>
      <c r="C256" s="49">
        <v>5310.25</v>
      </c>
      <c r="D256" s="42"/>
      <c r="E256" s="42"/>
      <c r="G256" s="57"/>
      <c r="H256" s="58"/>
    </row>
    <row r="257" ht="14.25" customHeight="1">
      <c r="A257" s="34">
        <v>46483.0</v>
      </c>
      <c r="B257" s="43" t="s">
        <v>60</v>
      </c>
      <c r="C257" s="49">
        <v>950.0</v>
      </c>
      <c r="D257" s="42"/>
      <c r="E257" s="42"/>
      <c r="G257" s="57"/>
      <c r="H257" s="58"/>
    </row>
    <row r="258" ht="14.25" customHeight="1">
      <c r="A258" s="46">
        <v>46484.0</v>
      </c>
      <c r="B258" s="43" t="s">
        <v>44</v>
      </c>
      <c r="C258" s="47">
        <v>110.0</v>
      </c>
      <c r="D258" s="42"/>
      <c r="E258" s="42"/>
      <c r="G258" s="57"/>
      <c r="H258" s="58"/>
    </row>
    <row r="259" ht="14.25" customHeight="1">
      <c r="A259" s="34">
        <v>46487.0</v>
      </c>
      <c r="B259" s="35" t="s">
        <v>76</v>
      </c>
      <c r="C259" s="49">
        <v>65.0</v>
      </c>
      <c r="D259" s="42"/>
      <c r="E259" s="42"/>
      <c r="G259" s="57"/>
      <c r="H259" s="58"/>
    </row>
    <row r="260" ht="14.25" customHeight="1">
      <c r="A260" s="34">
        <v>46488.0</v>
      </c>
      <c r="B260" s="42" t="s">
        <v>42</v>
      </c>
      <c r="C260" s="49">
        <v>98.98</v>
      </c>
      <c r="D260" s="42"/>
      <c r="E260" s="42"/>
      <c r="G260" s="57"/>
      <c r="H260" s="58"/>
    </row>
    <row r="261" ht="14.25" customHeight="1">
      <c r="A261" s="34">
        <v>46489.0</v>
      </c>
      <c r="B261" s="43" t="s">
        <v>63</v>
      </c>
      <c r="C261" s="49">
        <v>981.22</v>
      </c>
      <c r="D261" s="42"/>
      <c r="E261" s="42"/>
      <c r="G261" s="57"/>
      <c r="H261" s="58"/>
    </row>
    <row r="262" ht="14.25" customHeight="1">
      <c r="A262" s="34">
        <v>46489.0</v>
      </c>
      <c r="B262" s="42" t="s">
        <v>69</v>
      </c>
      <c r="C262" s="49">
        <v>2831.4</v>
      </c>
      <c r="D262" s="42"/>
      <c r="E262" s="42"/>
      <c r="G262" s="57"/>
      <c r="H262" s="58"/>
    </row>
    <row r="263" ht="14.25" customHeight="1">
      <c r="A263" s="46">
        <v>46489.0</v>
      </c>
      <c r="B263" s="43" t="s">
        <v>56</v>
      </c>
      <c r="C263" s="49">
        <v>50.0</v>
      </c>
      <c r="D263" s="42"/>
      <c r="E263" s="42"/>
      <c r="G263" s="57"/>
      <c r="H263" s="58"/>
    </row>
    <row r="264" ht="14.25" customHeight="1">
      <c r="A264" s="34">
        <v>46492.0</v>
      </c>
      <c r="B264" s="43" t="s">
        <v>62</v>
      </c>
      <c r="C264" s="49">
        <v>132.4</v>
      </c>
      <c r="D264" s="42"/>
      <c r="E264" s="42"/>
      <c r="G264" s="57"/>
      <c r="H264" s="58"/>
    </row>
    <row r="265" ht="14.25" customHeight="1">
      <c r="A265" s="34">
        <v>46497.0</v>
      </c>
      <c r="B265" s="35" t="s">
        <v>36</v>
      </c>
      <c r="C265" s="47">
        <v>6350.0</v>
      </c>
      <c r="D265" s="42"/>
      <c r="E265" s="42"/>
      <c r="G265" s="57"/>
      <c r="H265" s="58"/>
    </row>
    <row r="266" ht="14.25" customHeight="1">
      <c r="A266" s="46">
        <v>46497.0</v>
      </c>
      <c r="B266" s="43" t="s">
        <v>54</v>
      </c>
      <c r="C266" s="47">
        <v>113.8</v>
      </c>
      <c r="D266" s="42"/>
      <c r="E266" s="42"/>
      <c r="G266" s="57"/>
      <c r="H266" s="58"/>
    </row>
    <row r="267" ht="14.25" customHeight="1">
      <c r="A267" s="46">
        <v>46507.0</v>
      </c>
      <c r="B267" s="42" t="s">
        <v>65</v>
      </c>
      <c r="C267" s="49">
        <v>530.0</v>
      </c>
      <c r="D267" s="42"/>
      <c r="E267" s="42"/>
      <c r="G267" s="57"/>
      <c r="H267" s="58"/>
    </row>
    <row r="268" ht="14.25" customHeight="1">
      <c r="A268" s="34">
        <v>46509.0</v>
      </c>
      <c r="B268" s="42" t="s">
        <v>40</v>
      </c>
      <c r="C268" s="47">
        <v>3452.5</v>
      </c>
      <c r="D268" s="42"/>
      <c r="E268" s="42"/>
      <c r="G268" s="57"/>
      <c r="H268" s="58"/>
    </row>
    <row r="269" ht="14.25" customHeight="1">
      <c r="A269" s="34">
        <v>46513.0</v>
      </c>
      <c r="B269" s="43" t="s">
        <v>60</v>
      </c>
      <c r="C269" s="49">
        <v>950.0</v>
      </c>
      <c r="D269" s="42"/>
      <c r="E269" s="42"/>
      <c r="G269" s="57"/>
      <c r="H269" s="58"/>
    </row>
    <row r="270" ht="14.25" customHeight="1">
      <c r="A270" s="46">
        <v>46514.0</v>
      </c>
      <c r="B270" s="43" t="s">
        <v>44</v>
      </c>
      <c r="C270" s="47">
        <v>110.0</v>
      </c>
      <c r="D270" s="42"/>
      <c r="E270" s="42"/>
      <c r="G270" s="57"/>
      <c r="H270" s="58"/>
    </row>
    <row r="271" ht="14.25" customHeight="1">
      <c r="A271" s="34">
        <v>46517.0</v>
      </c>
      <c r="B271" s="35" t="s">
        <v>76</v>
      </c>
      <c r="C271" s="49">
        <v>65.0</v>
      </c>
      <c r="D271" s="42"/>
      <c r="E271" s="42"/>
      <c r="G271" s="57"/>
      <c r="H271" s="58"/>
    </row>
    <row r="272" ht="14.25" customHeight="1">
      <c r="A272" s="34">
        <v>46518.0</v>
      </c>
      <c r="B272" s="42" t="s">
        <v>42</v>
      </c>
      <c r="C272" s="47">
        <v>98.88</v>
      </c>
      <c r="D272" s="42"/>
      <c r="E272" s="42"/>
      <c r="G272" s="57"/>
      <c r="H272" s="58"/>
    </row>
    <row r="273" ht="14.25" customHeight="1">
      <c r="A273" s="34">
        <v>46519.0</v>
      </c>
      <c r="B273" s="43" t="s">
        <v>63</v>
      </c>
      <c r="C273" s="47">
        <v>980.86</v>
      </c>
      <c r="D273" s="42"/>
      <c r="E273" s="42"/>
      <c r="G273" s="57"/>
      <c r="H273" s="58"/>
    </row>
    <row r="274" ht="14.25" customHeight="1">
      <c r="A274" s="34">
        <v>46522.0</v>
      </c>
      <c r="B274" s="43" t="s">
        <v>62</v>
      </c>
      <c r="C274" s="49">
        <v>132.4</v>
      </c>
      <c r="D274" s="42"/>
      <c r="E274" s="42"/>
      <c r="G274" s="57"/>
      <c r="H274" s="58"/>
    </row>
    <row r="275" ht="14.25" customHeight="1">
      <c r="A275" s="34">
        <v>46527.0</v>
      </c>
      <c r="B275" s="35" t="s">
        <v>36</v>
      </c>
      <c r="C275" s="47">
        <v>5372.0</v>
      </c>
      <c r="D275" s="42"/>
      <c r="E275" s="42"/>
      <c r="G275" s="57"/>
      <c r="H275" s="58"/>
    </row>
    <row r="276" ht="14.25" customHeight="1">
      <c r="A276" s="46">
        <v>46527.0</v>
      </c>
      <c r="B276" s="43" t="s">
        <v>54</v>
      </c>
      <c r="C276" s="49">
        <v>113.31</v>
      </c>
      <c r="D276" s="42"/>
      <c r="E276" s="42"/>
      <c r="G276" s="57"/>
      <c r="H276" s="58"/>
    </row>
    <row r="277" ht="14.25" customHeight="1">
      <c r="A277" s="60"/>
      <c r="B277" s="61"/>
      <c r="C277" s="62"/>
      <c r="G277" s="57"/>
      <c r="H277" s="58"/>
    </row>
    <row r="278" ht="14.25" customHeight="1">
      <c r="A278" s="60"/>
      <c r="B278" s="61"/>
      <c r="C278" s="62"/>
      <c r="G278" s="57"/>
      <c r="H278" s="58"/>
    </row>
    <row r="279" ht="14.25" customHeight="1">
      <c r="A279" s="60"/>
      <c r="B279" s="61"/>
      <c r="C279" s="62"/>
      <c r="G279" s="57"/>
      <c r="H279" s="58"/>
    </row>
    <row r="280" ht="14.25" customHeight="1">
      <c r="A280" s="60"/>
      <c r="B280" s="61"/>
      <c r="C280" s="62"/>
      <c r="G280" s="57"/>
      <c r="H280" s="58"/>
    </row>
    <row r="281" ht="14.25" customHeight="1">
      <c r="A281" s="60"/>
      <c r="B281" s="61"/>
      <c r="C281" s="62"/>
      <c r="G281" s="57"/>
      <c r="H281" s="58"/>
    </row>
    <row r="282" ht="14.25" customHeight="1">
      <c r="A282" s="60"/>
      <c r="B282" s="61"/>
      <c r="C282" s="6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3"/>
      <c r="B331" s="64"/>
      <c r="C331" s="65"/>
      <c r="G331" s="57"/>
      <c r="H331" s="58"/>
    </row>
    <row r="332" ht="14.25" customHeight="1">
      <c r="A332" s="63"/>
      <c r="B332" s="64"/>
      <c r="C332" s="65"/>
      <c r="G332" s="57"/>
      <c r="H332" s="58"/>
    </row>
    <row r="333" ht="14.25" customHeight="1">
      <c r="A333" s="63"/>
      <c r="B333" s="64"/>
      <c r="C333" s="65"/>
      <c r="G333" s="57"/>
      <c r="H333" s="58"/>
    </row>
    <row r="334" ht="14.25" customHeight="1">
      <c r="A334" s="63"/>
      <c r="B334" s="64"/>
      <c r="C334" s="65"/>
      <c r="G334" s="57"/>
      <c r="H334" s="58"/>
    </row>
    <row r="335" ht="14.25" customHeight="1">
      <c r="A335" s="63"/>
      <c r="B335" s="64"/>
      <c r="C335" s="65"/>
      <c r="G335" s="57"/>
      <c r="H335" s="58"/>
    </row>
    <row r="336" ht="14.25" customHeight="1">
      <c r="A336" s="63"/>
      <c r="B336" s="64"/>
      <c r="C336" s="65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0"/>
      <c r="C407" s="32"/>
      <c r="G407" s="57"/>
      <c r="H407" s="58"/>
    </row>
    <row r="408" ht="14.25" customHeight="1">
      <c r="A408" s="60"/>
      <c r="C408" s="32"/>
    </row>
    <row r="409" ht="14.25" customHeight="1">
      <c r="A409" s="60"/>
      <c r="C409" s="32"/>
    </row>
    <row r="410" ht="14.25" customHeight="1">
      <c r="A410" s="60"/>
      <c r="C410" s="32"/>
    </row>
    <row r="411" ht="14.25" customHeight="1">
      <c r="A411" s="60"/>
      <c r="C411" s="32"/>
    </row>
    <row r="412" ht="14.25" customHeight="1">
      <c r="A412" s="60"/>
      <c r="C412" s="32"/>
    </row>
    <row r="413" ht="14.25" customHeight="1">
      <c r="A413" s="60"/>
      <c r="C413" s="32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</row>
  </sheetData>
  <autoFilter ref="$A$1:$E$276">
    <sortState ref="A1:E276">
      <sortCondition ref="A1:A276"/>
      <sortCondition ref="B1:B276"/>
      <sortCondition ref="E1:E276"/>
      <sortCondition ref="C1:C276"/>
      <sortCondition ref="D1:D276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103</v>
      </c>
      <c r="B1" s="21" t="s">
        <v>104</v>
      </c>
      <c r="C1" s="21" t="s">
        <v>21</v>
      </c>
      <c r="D1" s="21" t="s">
        <v>105</v>
      </c>
      <c r="E1" s="21" t="s">
        <v>106</v>
      </c>
      <c r="F1" s="21" t="s">
        <v>107</v>
      </c>
    </row>
    <row r="2" ht="14.25" customHeight="1">
      <c r="A2" s="66" t="s">
        <v>108</v>
      </c>
      <c r="B2" s="59" t="s">
        <v>46</v>
      </c>
      <c r="C2" s="27">
        <v>46146.0</v>
      </c>
      <c r="D2" s="27">
        <v>46147.0</v>
      </c>
      <c r="E2" s="26">
        <v>3122.53</v>
      </c>
      <c r="F2" s="67" t="s">
        <v>109</v>
      </c>
    </row>
    <row r="3" ht="14.25" customHeight="1">
      <c r="A3" s="66" t="s">
        <v>110</v>
      </c>
      <c r="B3" s="59" t="s">
        <v>111</v>
      </c>
      <c r="C3" s="27">
        <v>46146.0</v>
      </c>
      <c r="D3" s="27">
        <v>46147.0</v>
      </c>
      <c r="E3" s="26">
        <v>3119.0</v>
      </c>
      <c r="F3" s="67" t="s">
        <v>112</v>
      </c>
    </row>
    <row r="4" ht="14.25" customHeight="1">
      <c r="A4" s="66" t="s">
        <v>61</v>
      </c>
      <c r="B4" s="59" t="s">
        <v>113</v>
      </c>
      <c r="C4" s="27">
        <v>46148.0</v>
      </c>
      <c r="D4" s="27">
        <v>46148.0</v>
      </c>
      <c r="E4" s="26">
        <v>3000.0</v>
      </c>
      <c r="F4" s="67" t="s">
        <v>114</v>
      </c>
    </row>
    <row r="5" ht="14.25" customHeight="1">
      <c r="A5" s="66" t="s">
        <v>61</v>
      </c>
      <c r="B5" s="59" t="s">
        <v>41</v>
      </c>
      <c r="C5" s="27">
        <v>46148.0</v>
      </c>
      <c r="D5" s="27">
        <v>46148.0</v>
      </c>
      <c r="E5" s="26">
        <v>192.41</v>
      </c>
      <c r="F5" s="67" t="s">
        <v>109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115</v>
      </c>
      <c r="B1" s="21" t="s">
        <v>21</v>
      </c>
      <c r="C1" s="21" t="s">
        <v>105</v>
      </c>
      <c r="D1" s="21" t="s">
        <v>116</v>
      </c>
      <c r="E1" s="21" t="s">
        <v>107</v>
      </c>
    </row>
    <row r="2" ht="14.25" customHeight="1">
      <c r="A2" s="66" t="s">
        <v>49</v>
      </c>
      <c r="B2" s="25">
        <v>46057.0</v>
      </c>
      <c r="C2" s="25">
        <v>46057.0</v>
      </c>
      <c r="D2" s="69">
        <v>4000.0</v>
      </c>
      <c r="E2" s="70" t="s">
        <v>117</v>
      </c>
    </row>
    <row r="3" ht="14.25" customHeight="1">
      <c r="A3" s="66" t="s">
        <v>57</v>
      </c>
      <c r="B3" s="25">
        <v>46057.0</v>
      </c>
      <c r="C3" s="25">
        <v>46057.0</v>
      </c>
      <c r="D3" s="69">
        <v>6630.64</v>
      </c>
      <c r="E3" s="70" t="s">
        <v>117</v>
      </c>
    </row>
    <row r="4" ht="14.25" customHeight="1">
      <c r="A4" s="66" t="s">
        <v>39</v>
      </c>
      <c r="B4" s="28">
        <v>46058.0</v>
      </c>
      <c r="C4" s="28">
        <v>46058.0</v>
      </c>
      <c r="D4" s="69">
        <v>10342.0</v>
      </c>
      <c r="E4" s="70" t="s">
        <v>117</v>
      </c>
    </row>
    <row r="5" ht="14.25" customHeight="1">
      <c r="A5" s="66" t="s">
        <v>51</v>
      </c>
      <c r="B5" s="28">
        <v>46058.0</v>
      </c>
      <c r="C5" s="28">
        <v>46058.0</v>
      </c>
      <c r="D5" s="69">
        <v>4124.75</v>
      </c>
      <c r="E5" s="70" t="s">
        <v>117</v>
      </c>
    </row>
    <row r="6" ht="14.25" customHeight="1">
      <c r="A6" s="66" t="s">
        <v>53</v>
      </c>
      <c r="B6" s="28">
        <v>46058.0</v>
      </c>
      <c r="C6" s="28">
        <v>46058.0</v>
      </c>
      <c r="D6" s="69">
        <v>5400.0</v>
      </c>
      <c r="E6" s="70" t="s">
        <v>117</v>
      </c>
    </row>
    <row r="7" ht="14.25" customHeight="1">
      <c r="A7" s="66" t="s">
        <v>43</v>
      </c>
      <c r="B7" s="28">
        <v>46059.0</v>
      </c>
      <c r="C7" s="28">
        <v>46059.0</v>
      </c>
      <c r="D7" s="69">
        <v>2063.11</v>
      </c>
      <c r="E7" s="70" t="s">
        <v>117</v>
      </c>
    </row>
    <row r="8" ht="14.25" customHeight="1">
      <c r="A8" s="66" t="s">
        <v>108</v>
      </c>
      <c r="B8" s="71">
        <v>46084.0</v>
      </c>
      <c r="C8" s="71">
        <v>46084.0</v>
      </c>
      <c r="D8" s="72">
        <v>3000.0</v>
      </c>
      <c r="E8" s="73" t="s">
        <v>118</v>
      </c>
    </row>
    <row r="9" ht="14.25" customHeight="1">
      <c r="A9" s="66" t="s">
        <v>110</v>
      </c>
      <c r="B9" s="71">
        <v>46085.0</v>
      </c>
      <c r="C9" s="71">
        <v>46085.0</v>
      </c>
      <c r="D9" s="72">
        <v>3000.0</v>
      </c>
      <c r="E9" s="73" t="s">
        <v>118</v>
      </c>
    </row>
    <row r="10" ht="14.25" customHeight="1">
      <c r="A10" s="66" t="s">
        <v>61</v>
      </c>
      <c r="B10" s="71">
        <v>46087.0</v>
      </c>
      <c r="C10" s="71">
        <v>46087.0</v>
      </c>
      <c r="D10" s="72">
        <v>8587.0</v>
      </c>
      <c r="E10" s="74" t="s">
        <v>119</v>
      </c>
    </row>
    <row r="11" ht="14.25" customHeight="1">
      <c r="A11" s="66" t="s">
        <v>55</v>
      </c>
      <c r="B11" s="71">
        <v>46118.0</v>
      </c>
      <c r="C11" s="75">
        <v>46126.0</v>
      </c>
      <c r="D11" s="72">
        <v>5680.0</v>
      </c>
      <c r="E11" s="67" t="s">
        <v>112</v>
      </c>
    </row>
    <row r="12" ht="14.25" customHeight="1">
      <c r="A12" s="59" t="s">
        <v>59</v>
      </c>
      <c r="B12" s="27">
        <v>46146.0</v>
      </c>
      <c r="C12" s="27">
        <v>46146.0</v>
      </c>
      <c r="D12" s="26">
        <v>7536.72</v>
      </c>
      <c r="E12" s="67" t="s">
        <v>109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7" t="s">
        <v>109</v>
      </c>
    </row>
    <row r="14" ht="14.25" customHeight="1">
      <c r="A14" s="59" t="s">
        <v>120</v>
      </c>
      <c r="B14" s="27">
        <v>46150.0</v>
      </c>
      <c r="C14" s="27">
        <v>46150.0</v>
      </c>
      <c r="D14" s="26">
        <v>3000.0</v>
      </c>
      <c r="E14" s="67" t="s">
        <v>114</v>
      </c>
    </row>
    <row r="15" ht="14.25" customHeight="1">
      <c r="A15" s="59" t="s">
        <v>121</v>
      </c>
      <c r="B15" s="27">
        <v>46150.0</v>
      </c>
      <c r="C15" s="27">
        <v>46150.0</v>
      </c>
      <c r="D15" s="26">
        <v>3429.0</v>
      </c>
      <c r="E15" s="67" t="s">
        <v>112</v>
      </c>
    </row>
    <row r="16" ht="14.25" customHeight="1">
      <c r="A16" s="59" t="s">
        <v>97</v>
      </c>
      <c r="B16" s="27">
        <v>46174.0</v>
      </c>
      <c r="C16" s="27">
        <v>46174.0</v>
      </c>
      <c r="D16" s="26">
        <v>7561.0</v>
      </c>
      <c r="E16" s="67" t="s">
        <v>109</v>
      </c>
    </row>
    <row r="17" ht="14.25" customHeight="1">
      <c r="A17" s="59" t="s">
        <v>122</v>
      </c>
      <c r="B17" s="76">
        <v>46177.0</v>
      </c>
      <c r="C17" s="76">
        <v>46177.0</v>
      </c>
      <c r="D17" s="77">
        <v>5680.0</v>
      </c>
      <c r="E17" s="78" t="s">
        <v>123</v>
      </c>
    </row>
    <row r="18" ht="14.25" customHeight="1">
      <c r="A18" s="79"/>
      <c r="B18" s="61"/>
      <c r="C18" s="57"/>
      <c r="D18" s="62"/>
      <c r="E18" s="80"/>
    </row>
    <row r="19" ht="14.25" customHeight="1">
      <c r="A19" s="79"/>
      <c r="B19" s="61"/>
      <c r="C19" s="57"/>
      <c r="D19" s="62"/>
      <c r="E19" s="80"/>
    </row>
    <row r="20" ht="14.25" customHeight="1">
      <c r="A20" s="79"/>
      <c r="B20" s="61"/>
      <c r="C20" s="57"/>
      <c r="D20" s="62"/>
      <c r="E20" s="80"/>
    </row>
    <row r="21" ht="14.25" customHeight="1">
      <c r="A21" s="79"/>
      <c r="B21" s="61"/>
      <c r="C21" s="57"/>
      <c r="D21" s="62"/>
      <c r="E21" s="80"/>
    </row>
    <row r="22" ht="14.25" customHeight="1">
      <c r="A22" s="79"/>
      <c r="B22" s="61"/>
      <c r="C22" s="57"/>
      <c r="D22" s="62"/>
      <c r="E22" s="80"/>
    </row>
    <row r="23" ht="14.25" customHeight="1">
      <c r="A23" s="79"/>
      <c r="B23" s="61"/>
      <c r="C23" s="57"/>
      <c r="D23" s="62"/>
      <c r="E23" s="80"/>
    </row>
    <row r="24" ht="14.25" customHeight="1">
      <c r="A24" s="79"/>
      <c r="B24" s="61"/>
      <c r="C24" s="57"/>
      <c r="D24" s="62"/>
      <c r="E24" s="80"/>
    </row>
    <row r="25" ht="14.25" customHeight="1">
      <c r="A25" s="79"/>
      <c r="B25" s="61"/>
      <c r="C25" s="57"/>
      <c r="D25" s="62"/>
      <c r="E25" s="80"/>
    </row>
    <row r="26" ht="14.25" customHeight="1">
      <c r="A26" s="79"/>
      <c r="B26" s="61"/>
      <c r="C26" s="57"/>
      <c r="D26" s="62"/>
      <c r="E26" s="80"/>
    </row>
    <row r="27" ht="14.25" customHeight="1">
      <c r="A27" s="79"/>
      <c r="B27" s="61"/>
      <c r="C27" s="57"/>
      <c r="D27" s="62"/>
      <c r="E27" s="80"/>
    </row>
    <row r="28" ht="14.25" customHeight="1">
      <c r="A28" s="79"/>
      <c r="B28" s="61"/>
      <c r="C28" s="57"/>
      <c r="D28" s="62"/>
      <c r="E28" s="80"/>
    </row>
    <row r="29" ht="14.25" customHeight="1">
      <c r="A29" s="79"/>
      <c r="B29" s="61"/>
      <c r="C29" s="57"/>
      <c r="D29" s="62"/>
      <c r="E29" s="80"/>
    </row>
    <row r="30" ht="14.25" customHeight="1">
      <c r="A30" s="79"/>
      <c r="B30" s="61"/>
      <c r="C30" s="57"/>
      <c r="D30" s="62"/>
      <c r="E30" s="80"/>
    </row>
    <row r="31" ht="14.25" customHeight="1">
      <c r="A31" s="79"/>
      <c r="B31" s="61"/>
      <c r="C31" s="57"/>
      <c r="D31" s="62"/>
      <c r="E31" s="80"/>
    </row>
    <row r="32" ht="14.25" customHeight="1">
      <c r="A32" s="79"/>
      <c r="B32" s="61"/>
      <c r="C32" s="57"/>
      <c r="D32" s="62"/>
      <c r="E32" s="80"/>
    </row>
    <row r="33" ht="14.25" customHeight="1">
      <c r="A33" s="79"/>
      <c r="B33" s="61"/>
      <c r="C33" s="57"/>
      <c r="D33" s="62"/>
      <c r="E33" s="80"/>
    </row>
    <row r="34" ht="14.25" customHeight="1">
      <c r="A34" s="79"/>
      <c r="B34" s="61"/>
      <c r="C34" s="57"/>
      <c r="D34" s="62"/>
      <c r="E34" s="80"/>
    </row>
    <row r="35" ht="14.25" customHeight="1">
      <c r="A35" s="79"/>
      <c r="B35" s="61"/>
      <c r="C35" s="57"/>
      <c r="D35" s="62"/>
      <c r="E35" s="80"/>
    </row>
    <row r="36" ht="14.25" customHeight="1">
      <c r="A36" s="79"/>
      <c r="B36" s="61"/>
      <c r="C36" s="57"/>
      <c r="D36" s="62"/>
      <c r="E36" s="80"/>
    </row>
    <row r="37" ht="14.25" customHeight="1">
      <c r="A37" s="79"/>
      <c r="B37" s="61"/>
      <c r="C37" s="57"/>
      <c r="D37" s="62"/>
      <c r="E37" s="80"/>
    </row>
    <row r="38" ht="14.25" customHeight="1">
      <c r="A38" s="79"/>
      <c r="B38" s="61"/>
      <c r="C38" s="57"/>
      <c r="D38" s="62"/>
      <c r="E38" s="80"/>
    </row>
    <row r="39" ht="14.25" customHeight="1">
      <c r="A39" s="79"/>
      <c r="B39" s="61"/>
      <c r="C39" s="57"/>
      <c r="D39" s="62"/>
      <c r="E39" s="80"/>
    </row>
    <row r="40" ht="14.25" customHeight="1">
      <c r="A40" s="79"/>
      <c r="B40" s="61"/>
      <c r="C40" s="57"/>
      <c r="D40" s="62"/>
      <c r="E40" s="80"/>
    </row>
    <row r="41" ht="14.25" customHeight="1">
      <c r="A41" s="79"/>
      <c r="B41" s="61"/>
      <c r="C41" s="57"/>
      <c r="D41" s="62"/>
      <c r="E41" s="80"/>
    </row>
    <row r="42" ht="14.25" customHeight="1">
      <c r="A42" s="79"/>
      <c r="B42" s="61"/>
      <c r="C42" s="57"/>
      <c r="D42" s="62"/>
      <c r="E42" s="80"/>
    </row>
    <row r="43" ht="14.25" customHeight="1">
      <c r="A43" s="79"/>
      <c r="B43" s="61"/>
      <c r="C43" s="57"/>
      <c r="D43" s="62"/>
      <c r="E43" s="80"/>
    </row>
    <row r="44" ht="14.25" customHeight="1">
      <c r="A44" s="79"/>
      <c r="B44" s="61"/>
      <c r="C44" s="57"/>
      <c r="D44" s="62"/>
      <c r="E44" s="80"/>
    </row>
    <row r="45" ht="14.25" customHeight="1">
      <c r="A45" s="79"/>
      <c r="B45" s="61"/>
      <c r="C45" s="57"/>
      <c r="D45" s="62"/>
      <c r="E45" s="80"/>
    </row>
    <row r="46" ht="14.25" customHeight="1">
      <c r="A46" s="79"/>
      <c r="B46" s="61"/>
      <c r="C46" s="57"/>
      <c r="D46" s="62"/>
      <c r="E46" s="80"/>
    </row>
    <row r="47" ht="14.25" customHeight="1">
      <c r="A47" s="79"/>
      <c r="B47" s="61"/>
      <c r="C47" s="57"/>
      <c r="D47" s="62"/>
      <c r="E47" s="80"/>
    </row>
    <row r="48" ht="14.25" customHeight="1">
      <c r="A48" s="79"/>
      <c r="B48" s="61"/>
      <c r="C48" s="57"/>
      <c r="D48" s="62"/>
      <c r="E48" s="80"/>
    </row>
    <row r="49" ht="14.25" customHeight="1">
      <c r="A49" s="79"/>
      <c r="B49" s="61"/>
      <c r="C49" s="57"/>
      <c r="D49" s="62"/>
      <c r="E49" s="80"/>
    </row>
    <row r="50" ht="14.25" customHeight="1">
      <c r="A50" s="79"/>
      <c r="B50" s="61"/>
      <c r="C50" s="57"/>
      <c r="D50" s="62"/>
      <c r="E50" s="80"/>
    </row>
    <row r="51" ht="14.25" customHeight="1">
      <c r="A51" s="79"/>
      <c r="B51" s="61"/>
      <c r="C51" s="57"/>
      <c r="D51" s="62"/>
      <c r="E51" s="80"/>
    </row>
    <row r="52" ht="14.25" customHeight="1">
      <c r="A52" s="79"/>
      <c r="B52" s="61"/>
      <c r="C52" s="57"/>
      <c r="D52" s="62"/>
      <c r="E52" s="80"/>
    </row>
    <row r="53" ht="14.25" customHeight="1">
      <c r="A53" s="79"/>
      <c r="B53" s="61"/>
      <c r="C53" s="57"/>
      <c r="D53" s="62"/>
      <c r="E53" s="80"/>
    </row>
    <row r="54" ht="14.25" customHeight="1">
      <c r="A54" s="79"/>
      <c r="B54" s="61"/>
      <c r="C54" s="57"/>
      <c r="D54" s="62"/>
      <c r="E54" s="80"/>
    </row>
    <row r="55" ht="14.25" customHeight="1">
      <c r="A55" s="79"/>
      <c r="B55" s="61"/>
      <c r="C55" s="57"/>
      <c r="D55" s="62"/>
      <c r="E55" s="80"/>
    </row>
    <row r="56" ht="14.25" customHeight="1">
      <c r="A56" s="79"/>
      <c r="B56" s="61"/>
      <c r="C56" s="57"/>
      <c r="D56" s="62"/>
      <c r="E56" s="80"/>
    </row>
    <row r="57" ht="14.25" customHeight="1">
      <c r="A57" s="79"/>
      <c r="B57" s="61"/>
      <c r="C57" s="57"/>
      <c r="D57" s="62"/>
      <c r="E57" s="80"/>
    </row>
    <row r="58" ht="14.25" customHeight="1">
      <c r="A58" s="79"/>
      <c r="B58" s="61"/>
      <c r="C58" s="57"/>
      <c r="D58" s="62"/>
      <c r="E58" s="80"/>
    </row>
    <row r="59" ht="14.25" customHeight="1">
      <c r="A59" s="79"/>
      <c r="B59" s="61"/>
      <c r="C59" s="57"/>
      <c r="D59" s="62"/>
      <c r="E59" s="80"/>
    </row>
    <row r="60" ht="14.25" customHeight="1">
      <c r="A60" s="79"/>
      <c r="B60" s="61"/>
      <c r="C60" s="57"/>
      <c r="D60" s="62"/>
      <c r="E60" s="80"/>
    </row>
    <row r="61" ht="14.25" customHeight="1">
      <c r="A61" s="79"/>
      <c r="B61" s="61"/>
      <c r="C61" s="57"/>
      <c r="D61" s="62"/>
      <c r="E61" s="80"/>
    </row>
    <row r="62" ht="14.25" customHeight="1">
      <c r="A62" s="79"/>
      <c r="B62" s="61"/>
      <c r="C62" s="57"/>
      <c r="D62" s="62"/>
      <c r="E62" s="80"/>
    </row>
    <row r="63" ht="14.25" customHeight="1">
      <c r="A63" s="79"/>
      <c r="B63" s="61"/>
      <c r="C63" s="57"/>
      <c r="D63" s="62"/>
      <c r="E63" s="80"/>
    </row>
    <row r="64" ht="14.25" customHeight="1">
      <c r="A64" s="79"/>
      <c r="B64" s="61"/>
      <c r="C64" s="57"/>
      <c r="D64" s="62"/>
      <c r="E64" s="80"/>
    </row>
    <row r="65" ht="14.25" customHeight="1">
      <c r="A65" s="79"/>
      <c r="B65" s="61"/>
      <c r="C65" s="57"/>
      <c r="D65" s="62"/>
      <c r="E65" s="80"/>
    </row>
    <row r="66" ht="14.25" customHeight="1">
      <c r="A66" s="79"/>
      <c r="B66" s="61"/>
      <c r="C66" s="57"/>
      <c r="D66" s="62"/>
      <c r="E66" s="80"/>
    </row>
    <row r="67" ht="14.25" customHeight="1">
      <c r="A67" s="79"/>
      <c r="B67" s="61"/>
      <c r="C67" s="57"/>
      <c r="D67" s="62"/>
      <c r="E67" s="80"/>
    </row>
    <row r="68" ht="14.25" customHeight="1">
      <c r="A68" s="79"/>
      <c r="B68" s="61"/>
      <c r="C68" s="57"/>
      <c r="D68" s="62"/>
      <c r="E68" s="80"/>
    </row>
    <row r="69" ht="14.25" customHeight="1">
      <c r="A69" s="79"/>
      <c r="B69" s="61"/>
      <c r="C69" s="57"/>
      <c r="D69" s="62"/>
      <c r="E69" s="80"/>
    </row>
    <row r="70" ht="14.25" customHeight="1">
      <c r="A70" s="79"/>
      <c r="B70" s="61"/>
      <c r="C70" s="57"/>
      <c r="D70" s="62"/>
      <c r="E70" s="80"/>
    </row>
    <row r="71" ht="14.25" customHeight="1">
      <c r="A71" s="79"/>
      <c r="B71" s="61"/>
      <c r="C71" s="57"/>
      <c r="D71" s="62"/>
      <c r="E71" s="80"/>
    </row>
    <row r="72" ht="14.25" customHeight="1">
      <c r="A72" s="79"/>
      <c r="B72" s="61"/>
      <c r="C72" s="57"/>
      <c r="D72" s="62"/>
      <c r="E72" s="80"/>
    </row>
    <row r="73" ht="14.25" customHeight="1">
      <c r="A73" s="79"/>
      <c r="B73" s="61"/>
      <c r="C73" s="57"/>
      <c r="D73" s="62"/>
      <c r="E73" s="80"/>
    </row>
    <row r="74" ht="14.25" customHeight="1">
      <c r="A74" s="79"/>
      <c r="B74" s="61"/>
      <c r="C74" s="57"/>
      <c r="D74" s="62"/>
      <c r="E74" s="80"/>
    </row>
    <row r="75" ht="14.25" customHeight="1">
      <c r="A75" s="79"/>
      <c r="B75" s="61"/>
      <c r="C75" s="57"/>
      <c r="D75" s="62"/>
      <c r="E75" s="80"/>
    </row>
    <row r="76" ht="14.25" customHeight="1">
      <c r="A76" s="79"/>
      <c r="B76" s="61"/>
      <c r="C76" s="57"/>
      <c r="D76" s="62"/>
      <c r="E76" s="80"/>
    </row>
    <row r="77" ht="14.25" customHeight="1">
      <c r="A77" s="79"/>
      <c r="B77" s="61"/>
      <c r="C77" s="57"/>
      <c r="D77" s="62"/>
      <c r="E77" s="80"/>
    </row>
    <row r="78" ht="14.25" customHeight="1">
      <c r="A78" s="79"/>
      <c r="B78" s="61"/>
      <c r="C78" s="57"/>
      <c r="D78" s="62"/>
      <c r="E78" s="80"/>
    </row>
    <row r="79" ht="14.25" customHeight="1">
      <c r="A79" s="79"/>
      <c r="B79" s="61"/>
      <c r="C79" s="57"/>
      <c r="D79" s="62"/>
      <c r="E79" s="80"/>
    </row>
    <row r="80" ht="14.25" customHeight="1">
      <c r="A80" s="79"/>
      <c r="B80" s="61"/>
      <c r="C80" s="57"/>
      <c r="D80" s="62"/>
      <c r="E80" s="80"/>
    </row>
    <row r="81" ht="14.25" customHeight="1">
      <c r="A81" s="79"/>
      <c r="B81" s="61"/>
      <c r="C81" s="57"/>
      <c r="D81" s="62"/>
      <c r="E81" s="80"/>
    </row>
    <row r="82" ht="14.25" customHeight="1">
      <c r="A82" s="79"/>
      <c r="B82" s="61"/>
      <c r="C82" s="57"/>
      <c r="D82" s="62"/>
      <c r="E82" s="80"/>
    </row>
    <row r="83" ht="14.25" customHeight="1">
      <c r="A83" s="79"/>
      <c r="B83" s="61"/>
      <c r="C83" s="57"/>
      <c r="D83" s="62"/>
      <c r="E83" s="80"/>
    </row>
    <row r="84" ht="14.25" customHeight="1">
      <c r="A84" s="79"/>
      <c r="B84" s="61"/>
      <c r="C84" s="57"/>
      <c r="D84" s="62"/>
      <c r="E84" s="80"/>
    </row>
    <row r="85" ht="14.25" customHeight="1">
      <c r="A85" s="79"/>
      <c r="B85" s="61"/>
      <c r="C85" s="57"/>
      <c r="D85" s="62"/>
      <c r="E85" s="80"/>
    </row>
    <row r="86" ht="14.25" customHeight="1">
      <c r="A86" s="79"/>
      <c r="B86" s="61"/>
      <c r="C86" s="57"/>
      <c r="D86" s="62"/>
      <c r="E86" s="80"/>
    </row>
    <row r="87" ht="14.25" customHeight="1">
      <c r="A87" s="79"/>
      <c r="B87" s="61"/>
      <c r="C87" s="57"/>
      <c r="D87" s="62"/>
      <c r="E87" s="80"/>
    </row>
    <row r="88" ht="14.25" customHeight="1">
      <c r="A88" s="79"/>
      <c r="B88" s="61"/>
      <c r="C88" s="57"/>
      <c r="D88" s="62"/>
      <c r="E88" s="80"/>
    </row>
    <row r="89" ht="14.25" customHeight="1">
      <c r="A89" s="79"/>
      <c r="B89" s="61"/>
      <c r="C89" s="57"/>
      <c r="D89" s="62"/>
      <c r="E89" s="80"/>
    </row>
    <row r="90" ht="14.25" customHeight="1">
      <c r="A90" s="79"/>
      <c r="B90" s="61"/>
      <c r="C90" s="57"/>
      <c r="D90" s="62"/>
      <c r="E90" s="80"/>
    </row>
    <row r="91" ht="14.25" customHeight="1">
      <c r="A91" s="79"/>
      <c r="B91" s="61"/>
      <c r="C91" s="57"/>
      <c r="D91" s="62"/>
      <c r="E91" s="80"/>
    </row>
    <row r="92" ht="14.25" customHeight="1">
      <c r="A92" s="79"/>
      <c r="B92" s="61"/>
      <c r="C92" s="57"/>
      <c r="D92" s="62"/>
      <c r="E92" s="80"/>
    </row>
    <row r="93" ht="14.25" customHeight="1">
      <c r="A93" s="79"/>
      <c r="B93" s="61"/>
      <c r="C93" s="57"/>
      <c r="D93" s="62"/>
      <c r="E93" s="80"/>
    </row>
    <row r="94" ht="14.25" customHeight="1">
      <c r="A94" s="79"/>
      <c r="B94" s="61"/>
      <c r="C94" s="57"/>
      <c r="D94" s="62"/>
      <c r="E94" s="80"/>
    </row>
    <row r="95" ht="14.25" customHeight="1">
      <c r="A95" s="79"/>
      <c r="B95" s="61"/>
      <c r="C95" s="57"/>
      <c r="D95" s="62"/>
      <c r="E95" s="80"/>
    </row>
    <row r="96" ht="14.25" customHeight="1">
      <c r="A96" s="79"/>
      <c r="B96" s="61"/>
      <c r="C96" s="57"/>
      <c r="D96" s="62"/>
      <c r="E96" s="80"/>
    </row>
    <row r="97" ht="14.25" customHeight="1">
      <c r="A97" s="79"/>
      <c r="B97" s="61"/>
      <c r="C97" s="57"/>
      <c r="D97" s="62"/>
      <c r="E97" s="80"/>
    </row>
    <row r="98" ht="14.25" customHeight="1">
      <c r="A98" s="79"/>
      <c r="B98" s="61"/>
      <c r="C98" s="57"/>
      <c r="D98" s="62"/>
      <c r="E98" s="80"/>
    </row>
    <row r="99" ht="14.25" customHeight="1">
      <c r="A99" s="79"/>
      <c r="B99" s="61"/>
      <c r="C99" s="57"/>
      <c r="D99" s="62"/>
      <c r="E99" s="80"/>
    </row>
    <row r="100" ht="14.25" customHeight="1">
      <c r="A100" s="79"/>
      <c r="B100" s="61"/>
      <c r="C100" s="57"/>
      <c r="D100" s="62"/>
      <c r="E100" s="80"/>
    </row>
    <row r="101" ht="14.25" customHeight="1">
      <c r="A101" s="79"/>
      <c r="B101" s="61"/>
      <c r="C101" s="57"/>
      <c r="D101" s="62"/>
      <c r="E101" s="80"/>
    </row>
    <row r="102" ht="14.25" customHeight="1">
      <c r="A102" s="79"/>
      <c r="B102" s="61"/>
      <c r="C102" s="57"/>
      <c r="D102" s="62"/>
      <c r="E102" s="80"/>
    </row>
    <row r="103" ht="14.25" customHeight="1">
      <c r="A103" s="79"/>
      <c r="B103" s="61"/>
      <c r="C103" s="57"/>
      <c r="D103" s="62"/>
      <c r="E103" s="80"/>
    </row>
    <row r="104" ht="14.25" customHeight="1">
      <c r="A104" s="79"/>
      <c r="B104" s="61"/>
      <c r="C104" s="57"/>
      <c r="D104" s="62"/>
      <c r="E104" s="80"/>
    </row>
    <row r="105" ht="14.25" customHeight="1">
      <c r="A105" s="79"/>
      <c r="B105" s="61"/>
      <c r="C105" s="57"/>
      <c r="D105" s="62"/>
      <c r="E105" s="80"/>
    </row>
    <row r="106" ht="14.25" customHeight="1">
      <c r="A106" s="79"/>
      <c r="B106" s="61"/>
      <c r="C106" s="57"/>
      <c r="D106" s="62"/>
      <c r="E106" s="80"/>
    </row>
    <row r="107" ht="14.25" customHeight="1">
      <c r="A107" s="79"/>
      <c r="B107" s="61"/>
      <c r="C107" s="57"/>
      <c r="D107" s="62"/>
      <c r="E107" s="80"/>
    </row>
    <row r="108" ht="14.25" customHeight="1">
      <c r="A108" s="79"/>
      <c r="B108" s="61"/>
      <c r="C108" s="57"/>
      <c r="D108" s="62"/>
      <c r="E108" s="80"/>
    </row>
    <row r="109" ht="14.25" customHeight="1">
      <c r="A109" s="79"/>
      <c r="B109" s="61"/>
      <c r="C109" s="57"/>
      <c r="D109" s="62"/>
      <c r="E109" s="80"/>
    </row>
    <row r="110" ht="14.25" customHeight="1">
      <c r="A110" s="79"/>
      <c r="B110" s="61"/>
      <c r="C110" s="57"/>
      <c r="D110" s="62"/>
      <c r="E110" s="80"/>
    </row>
    <row r="111" ht="14.25" customHeight="1">
      <c r="A111" s="79"/>
      <c r="B111" s="61"/>
      <c r="C111" s="57"/>
      <c r="D111" s="62"/>
      <c r="E111" s="80"/>
    </row>
    <row r="112" ht="14.25" customHeight="1">
      <c r="A112" s="79"/>
      <c r="B112" s="61"/>
      <c r="C112" s="57"/>
      <c r="D112" s="62"/>
      <c r="E112" s="80"/>
    </row>
    <row r="113" ht="14.25" customHeight="1">
      <c r="A113" s="79"/>
      <c r="B113" s="61"/>
      <c r="C113" s="57"/>
      <c r="D113" s="62"/>
      <c r="E113" s="80"/>
    </row>
    <row r="114" ht="14.25" customHeight="1">
      <c r="A114" s="79"/>
      <c r="B114" s="61"/>
      <c r="C114" s="57"/>
      <c r="D114" s="62"/>
      <c r="E114" s="80"/>
    </row>
    <row r="115" ht="14.25" customHeight="1">
      <c r="A115" s="79"/>
      <c r="B115" s="61"/>
      <c r="C115" s="57"/>
      <c r="D115" s="62"/>
      <c r="E115" s="80"/>
    </row>
    <row r="116" ht="14.25" customHeight="1">
      <c r="A116" s="79"/>
      <c r="B116" s="61"/>
      <c r="C116" s="57"/>
      <c r="D116" s="62"/>
      <c r="E116" s="80"/>
    </row>
    <row r="117" ht="14.25" customHeight="1">
      <c r="A117" s="79"/>
      <c r="B117" s="61"/>
      <c r="C117" s="57"/>
      <c r="D117" s="62"/>
      <c r="E117" s="80"/>
    </row>
    <row r="118" ht="14.25" customHeight="1">
      <c r="A118" s="79"/>
      <c r="B118" s="61"/>
      <c r="C118" s="57"/>
      <c r="D118" s="62"/>
      <c r="E118" s="80"/>
    </row>
    <row r="119" ht="14.25" customHeight="1">
      <c r="A119" s="79"/>
      <c r="B119" s="61"/>
      <c r="C119" s="57"/>
      <c r="D119" s="62"/>
      <c r="E119" s="80"/>
    </row>
    <row r="120" ht="14.25" customHeight="1">
      <c r="A120" s="79"/>
      <c r="B120" s="61"/>
      <c r="C120" s="57"/>
      <c r="D120" s="62"/>
      <c r="E120" s="80"/>
    </row>
    <row r="121" ht="14.25" customHeight="1">
      <c r="A121" s="79"/>
      <c r="B121" s="61"/>
      <c r="C121" s="57"/>
      <c r="D121" s="62"/>
      <c r="E121" s="80"/>
    </row>
    <row r="122" ht="14.25" customHeight="1">
      <c r="A122" s="79"/>
      <c r="B122" s="61"/>
      <c r="C122" s="57"/>
      <c r="D122" s="62"/>
      <c r="E122" s="80"/>
    </row>
    <row r="123" ht="14.25" customHeight="1">
      <c r="A123" s="79"/>
      <c r="B123" s="61"/>
      <c r="C123" s="57"/>
      <c r="D123" s="62"/>
      <c r="E123" s="80"/>
    </row>
    <row r="124" ht="14.25" customHeight="1">
      <c r="A124" s="79"/>
      <c r="B124" s="61"/>
      <c r="C124" s="57"/>
      <c r="D124" s="62"/>
      <c r="E124" s="80"/>
    </row>
    <row r="125" ht="14.25" customHeight="1">
      <c r="A125" s="79"/>
      <c r="B125" s="61"/>
      <c r="C125" s="57"/>
      <c r="D125" s="62"/>
      <c r="E125" s="80"/>
    </row>
    <row r="126" ht="14.25" customHeight="1">
      <c r="A126" s="79"/>
      <c r="B126" s="61"/>
      <c r="C126" s="57"/>
      <c r="D126" s="62"/>
      <c r="E126" s="80"/>
    </row>
    <row r="127" ht="14.25" customHeight="1">
      <c r="A127" s="79"/>
      <c r="B127" s="61"/>
      <c r="C127" s="57"/>
      <c r="D127" s="62"/>
      <c r="E127" s="80"/>
    </row>
    <row r="128" ht="14.25" customHeight="1">
      <c r="A128" s="79"/>
      <c r="B128" s="61"/>
      <c r="C128" s="57"/>
      <c r="D128" s="62"/>
      <c r="E128" s="80"/>
    </row>
    <row r="129" ht="14.25" customHeight="1">
      <c r="A129" s="79"/>
      <c r="B129" s="61"/>
      <c r="C129" s="57"/>
      <c r="D129" s="62"/>
      <c r="E129" s="80"/>
    </row>
    <row r="130" ht="14.25" customHeight="1">
      <c r="A130" s="79"/>
      <c r="B130" s="61"/>
      <c r="C130" s="57"/>
      <c r="D130" s="62"/>
      <c r="E130" s="80"/>
    </row>
    <row r="131" ht="14.25" customHeight="1">
      <c r="A131" s="79"/>
      <c r="B131" s="61"/>
      <c r="C131" s="57"/>
      <c r="D131" s="62"/>
      <c r="E131" s="80"/>
    </row>
    <row r="132" ht="14.25" customHeight="1">
      <c r="A132" s="79"/>
      <c r="B132" s="61"/>
      <c r="C132" s="57"/>
      <c r="D132" s="62"/>
      <c r="E132" s="80"/>
    </row>
    <row r="133" ht="14.25" customHeight="1">
      <c r="A133" s="79"/>
      <c r="B133" s="61"/>
      <c r="C133" s="57"/>
      <c r="D133" s="62"/>
      <c r="E133" s="80"/>
    </row>
    <row r="134" ht="14.25" customHeight="1">
      <c r="A134" s="79"/>
      <c r="B134" s="61"/>
      <c r="C134" s="57"/>
      <c r="D134" s="62"/>
      <c r="E134" s="80"/>
    </row>
    <row r="135" ht="14.25" customHeight="1">
      <c r="A135" s="79"/>
      <c r="B135" s="61"/>
      <c r="C135" s="57"/>
      <c r="D135" s="62"/>
      <c r="E135" s="80"/>
    </row>
    <row r="136" ht="14.25" customHeight="1">
      <c r="A136" s="79"/>
      <c r="B136" s="61"/>
      <c r="C136" s="57"/>
      <c r="D136" s="62"/>
      <c r="E136" s="80"/>
    </row>
    <row r="137" ht="14.25" customHeight="1">
      <c r="A137" s="79"/>
      <c r="B137" s="61"/>
      <c r="C137" s="57"/>
      <c r="D137" s="62"/>
      <c r="E137" s="80"/>
    </row>
    <row r="138" ht="14.25" customHeight="1">
      <c r="A138" s="79"/>
      <c r="B138" s="61"/>
      <c r="C138" s="57"/>
      <c r="D138" s="62"/>
      <c r="E138" s="80"/>
    </row>
    <row r="139" ht="14.25" customHeight="1">
      <c r="A139" s="79"/>
      <c r="B139" s="61"/>
      <c r="C139" s="57"/>
      <c r="D139" s="62"/>
      <c r="E139" s="80"/>
    </row>
    <row r="140" ht="14.25" customHeight="1">
      <c r="A140" s="79"/>
      <c r="B140" s="61"/>
      <c r="C140" s="57"/>
      <c r="D140" s="62"/>
      <c r="E140" s="80"/>
    </row>
    <row r="141" ht="14.25" customHeight="1">
      <c r="A141" s="79"/>
      <c r="B141" s="61"/>
      <c r="C141" s="57"/>
      <c r="D141" s="62"/>
      <c r="E141" s="80"/>
    </row>
    <row r="142" ht="14.25" customHeight="1">
      <c r="A142" s="79"/>
      <c r="B142" s="61"/>
      <c r="C142" s="57"/>
      <c r="D142" s="62"/>
      <c r="E142" s="80"/>
    </row>
    <row r="143" ht="14.25" customHeight="1">
      <c r="A143" s="79"/>
      <c r="B143" s="61"/>
      <c r="C143" s="57"/>
      <c r="D143" s="62"/>
      <c r="E143" s="80"/>
    </row>
    <row r="144" ht="14.25" customHeight="1">
      <c r="A144" s="79"/>
      <c r="B144" s="61"/>
      <c r="C144" s="57"/>
      <c r="D144" s="62"/>
      <c r="E144" s="80"/>
    </row>
    <row r="145" ht="14.25" customHeight="1">
      <c r="A145" s="79"/>
      <c r="B145" s="61"/>
      <c r="C145" s="57"/>
      <c r="D145" s="62"/>
      <c r="E145" s="80"/>
    </row>
    <row r="146" ht="14.25" customHeight="1">
      <c r="A146" s="79"/>
      <c r="B146" s="61"/>
      <c r="C146" s="57"/>
      <c r="D146" s="62"/>
      <c r="E146" s="80"/>
    </row>
    <row r="147" ht="14.25" customHeight="1">
      <c r="A147" s="79"/>
      <c r="B147" s="61"/>
      <c r="C147" s="57"/>
      <c r="D147" s="62"/>
      <c r="E147" s="80"/>
    </row>
    <row r="148" ht="14.25" customHeight="1">
      <c r="A148" s="79"/>
      <c r="B148" s="61"/>
      <c r="C148" s="57"/>
      <c r="D148" s="62"/>
      <c r="E148" s="80"/>
    </row>
    <row r="149" ht="14.25" customHeight="1">
      <c r="A149" s="79"/>
      <c r="B149" s="61"/>
      <c r="C149" s="57"/>
      <c r="D149" s="62"/>
      <c r="E149" s="80"/>
    </row>
    <row r="150" ht="14.25" customHeight="1">
      <c r="A150" s="79"/>
      <c r="B150" s="61"/>
      <c r="C150" s="57"/>
      <c r="D150" s="62"/>
      <c r="E150" s="80"/>
    </row>
    <row r="151" ht="14.25" customHeight="1">
      <c r="A151" s="79"/>
      <c r="B151" s="61"/>
      <c r="C151" s="57"/>
      <c r="D151" s="62"/>
      <c r="E151" s="80"/>
    </row>
    <row r="152" ht="14.25" customHeight="1">
      <c r="A152" s="79"/>
      <c r="B152" s="61"/>
      <c r="C152" s="57"/>
      <c r="D152" s="62"/>
      <c r="E152" s="80"/>
    </row>
    <row r="153" ht="14.25" customHeight="1">
      <c r="A153" s="79"/>
      <c r="B153" s="61"/>
      <c r="C153" s="57"/>
      <c r="D153" s="62"/>
      <c r="E153" s="80"/>
    </row>
    <row r="154" ht="14.25" customHeight="1">
      <c r="A154" s="79"/>
      <c r="B154" s="61"/>
      <c r="C154" s="57"/>
      <c r="D154" s="62"/>
      <c r="E154" s="80"/>
    </row>
    <row r="155" ht="14.25" customHeight="1">
      <c r="A155" s="79"/>
      <c r="B155" s="61"/>
      <c r="C155" s="57"/>
      <c r="D155" s="62"/>
      <c r="E155" s="80"/>
    </row>
    <row r="156" ht="14.25" customHeight="1">
      <c r="A156" s="79"/>
      <c r="B156" s="61"/>
      <c r="C156" s="57"/>
      <c r="D156" s="62"/>
      <c r="E156" s="80"/>
    </row>
    <row r="157" ht="14.25" customHeight="1">
      <c r="A157" s="79"/>
      <c r="B157" s="61"/>
      <c r="C157" s="57"/>
      <c r="D157" s="62"/>
      <c r="E157" s="80"/>
    </row>
    <row r="158" ht="14.25" customHeight="1">
      <c r="A158" s="79"/>
      <c r="B158" s="61"/>
      <c r="C158" s="57"/>
      <c r="D158" s="62"/>
      <c r="E158" s="80"/>
    </row>
    <row r="159" ht="14.25" customHeight="1">
      <c r="A159" s="79"/>
      <c r="B159" s="61"/>
      <c r="C159" s="57"/>
      <c r="D159" s="62"/>
      <c r="E159" s="80"/>
    </row>
    <row r="160" ht="14.25" customHeight="1">
      <c r="A160" s="79"/>
      <c r="B160" s="61"/>
      <c r="C160" s="57"/>
      <c r="D160" s="62"/>
      <c r="E160" s="80"/>
    </row>
    <row r="161" ht="14.25" customHeight="1">
      <c r="A161" s="79"/>
      <c r="B161" s="61"/>
      <c r="C161" s="57"/>
      <c r="D161" s="62"/>
      <c r="E161" s="80"/>
    </row>
    <row r="162" ht="14.25" customHeight="1">
      <c r="A162" s="79"/>
      <c r="B162" s="61"/>
      <c r="C162" s="57"/>
      <c r="D162" s="62"/>
      <c r="E162" s="80"/>
    </row>
    <row r="163" ht="14.25" customHeight="1">
      <c r="A163" s="79"/>
      <c r="B163" s="61"/>
      <c r="C163" s="57"/>
      <c r="D163" s="62"/>
      <c r="E163" s="80"/>
    </row>
    <row r="164" ht="14.25" customHeight="1">
      <c r="A164" s="79"/>
      <c r="B164" s="61"/>
      <c r="C164" s="57"/>
      <c r="D164" s="62"/>
      <c r="E164" s="80"/>
    </row>
    <row r="165" ht="14.25" customHeight="1">
      <c r="A165" s="79"/>
      <c r="B165" s="61"/>
      <c r="C165" s="57"/>
      <c r="D165" s="62"/>
      <c r="E165" s="80"/>
    </row>
    <row r="166" ht="14.25" customHeight="1">
      <c r="A166" s="79"/>
      <c r="B166" s="61"/>
      <c r="C166" s="57"/>
      <c r="D166" s="62"/>
      <c r="E166" s="80"/>
    </row>
    <row r="167" ht="14.25" customHeight="1">
      <c r="A167" s="79"/>
      <c r="B167" s="61"/>
      <c r="C167" s="57"/>
      <c r="D167" s="62"/>
      <c r="E167" s="80"/>
    </row>
    <row r="168" ht="14.25" customHeight="1">
      <c r="A168" s="79"/>
      <c r="B168" s="61"/>
      <c r="C168" s="57"/>
      <c r="D168" s="62"/>
      <c r="E168" s="80"/>
    </row>
    <row r="169" ht="14.25" customHeight="1">
      <c r="A169" s="79"/>
      <c r="B169" s="61"/>
      <c r="C169" s="57"/>
      <c r="D169" s="62"/>
      <c r="E169" s="80"/>
    </row>
    <row r="170" ht="14.25" customHeight="1">
      <c r="A170" s="79"/>
      <c r="B170" s="61"/>
      <c r="C170" s="57"/>
      <c r="D170" s="62"/>
      <c r="E170" s="80"/>
    </row>
    <row r="171" ht="14.25" customHeight="1">
      <c r="A171" s="79"/>
      <c r="B171" s="61"/>
      <c r="C171" s="57"/>
      <c r="D171" s="62"/>
      <c r="E171" s="80"/>
    </row>
    <row r="172" ht="14.25" customHeight="1">
      <c r="A172" s="79"/>
      <c r="B172" s="61"/>
      <c r="C172" s="57"/>
      <c r="D172" s="62"/>
      <c r="E172" s="80"/>
    </row>
    <row r="173" ht="14.25" customHeight="1">
      <c r="A173" s="79"/>
      <c r="B173" s="61"/>
      <c r="C173" s="57"/>
      <c r="D173" s="62"/>
      <c r="E173" s="80"/>
    </row>
    <row r="174" ht="14.25" customHeight="1">
      <c r="A174" s="79"/>
      <c r="B174" s="61"/>
      <c r="C174" s="57"/>
      <c r="D174" s="62"/>
      <c r="E174" s="80"/>
    </row>
    <row r="175" ht="14.25" customHeight="1">
      <c r="A175" s="79"/>
      <c r="B175" s="61"/>
      <c r="C175" s="57"/>
      <c r="D175" s="62"/>
      <c r="E175" s="80"/>
    </row>
    <row r="176" ht="14.25" customHeight="1">
      <c r="A176" s="79"/>
      <c r="B176" s="61"/>
      <c r="C176" s="57"/>
      <c r="D176" s="62"/>
      <c r="E176" s="80"/>
    </row>
    <row r="177" ht="14.25" customHeight="1">
      <c r="A177" s="79"/>
      <c r="B177" s="61"/>
      <c r="C177" s="57"/>
      <c r="D177" s="62"/>
      <c r="E177" s="80"/>
    </row>
    <row r="178" ht="14.25" customHeight="1">
      <c r="A178" s="79"/>
      <c r="B178" s="61"/>
      <c r="C178" s="57"/>
      <c r="D178" s="62"/>
      <c r="E178" s="80"/>
    </row>
    <row r="179" ht="14.25" customHeight="1">
      <c r="A179" s="79"/>
      <c r="B179" s="61"/>
      <c r="C179" s="57"/>
      <c r="D179" s="62"/>
      <c r="E179" s="80"/>
    </row>
    <row r="180" ht="14.25" customHeight="1">
      <c r="A180" s="79"/>
      <c r="B180" s="61"/>
      <c r="C180" s="57"/>
      <c r="D180" s="62"/>
      <c r="E180" s="80"/>
    </row>
    <row r="181" ht="14.25" customHeight="1">
      <c r="A181" s="79"/>
      <c r="B181" s="61"/>
      <c r="C181" s="57"/>
      <c r="D181" s="62"/>
      <c r="E181" s="80"/>
    </row>
    <row r="182" ht="14.25" customHeight="1">
      <c r="A182" s="79"/>
      <c r="B182" s="61"/>
      <c r="C182" s="57"/>
      <c r="D182" s="62"/>
      <c r="E182" s="80"/>
    </row>
    <row r="183" ht="14.25" customHeight="1">
      <c r="A183" s="79"/>
      <c r="B183" s="61"/>
      <c r="C183" s="57"/>
      <c r="D183" s="62"/>
      <c r="E183" s="80"/>
    </row>
    <row r="184" ht="14.25" customHeight="1">
      <c r="A184" s="79"/>
      <c r="B184" s="61"/>
      <c r="C184" s="57"/>
      <c r="D184" s="62"/>
      <c r="E184" s="80"/>
    </row>
    <row r="185" ht="14.25" customHeight="1">
      <c r="A185" s="79"/>
      <c r="B185" s="61"/>
      <c r="C185" s="57"/>
      <c r="D185" s="62"/>
      <c r="E185" s="80"/>
    </row>
    <row r="186" ht="14.25" customHeight="1">
      <c r="A186" s="79"/>
      <c r="B186" s="61"/>
      <c r="C186" s="57"/>
      <c r="D186" s="62"/>
      <c r="E186" s="80"/>
    </row>
    <row r="187" ht="14.25" customHeight="1">
      <c r="A187" s="79"/>
      <c r="B187" s="61"/>
      <c r="C187" s="57"/>
      <c r="D187" s="62"/>
      <c r="E187" s="80"/>
    </row>
    <row r="188" ht="14.25" customHeight="1">
      <c r="A188" s="79"/>
      <c r="B188" s="61"/>
      <c r="C188" s="57"/>
      <c r="D188" s="62"/>
      <c r="E188" s="80"/>
    </row>
    <row r="189" ht="14.25" customHeight="1">
      <c r="A189" s="79"/>
      <c r="B189" s="61"/>
      <c r="C189" s="57"/>
      <c r="D189" s="62"/>
      <c r="E189" s="80"/>
    </row>
    <row r="190" ht="14.25" customHeight="1">
      <c r="A190" s="79"/>
      <c r="B190" s="61"/>
      <c r="C190" s="57"/>
      <c r="D190" s="62"/>
      <c r="E190" s="80"/>
    </row>
    <row r="191" ht="14.25" customHeight="1">
      <c r="A191" s="79"/>
      <c r="B191" s="61"/>
      <c r="C191" s="57"/>
      <c r="D191" s="62"/>
      <c r="E191" s="80"/>
    </row>
    <row r="192" ht="14.25" customHeight="1">
      <c r="A192" s="79"/>
      <c r="B192" s="61"/>
      <c r="C192" s="57"/>
      <c r="D192" s="62"/>
      <c r="E192" s="80"/>
    </row>
    <row r="193" ht="14.25" customHeight="1">
      <c r="A193" s="79"/>
      <c r="B193" s="61"/>
      <c r="C193" s="57"/>
      <c r="D193" s="62"/>
      <c r="E193" s="80"/>
    </row>
    <row r="194" ht="14.25" customHeight="1">
      <c r="A194" s="79"/>
      <c r="B194" s="61"/>
      <c r="C194" s="57"/>
      <c r="D194" s="62"/>
      <c r="E194" s="80"/>
    </row>
    <row r="195" ht="14.25" customHeight="1">
      <c r="A195" s="79"/>
      <c r="B195" s="61"/>
      <c r="C195" s="57"/>
      <c r="D195" s="62"/>
      <c r="E195" s="80"/>
    </row>
    <row r="196" ht="14.25" customHeight="1">
      <c r="A196" s="79"/>
      <c r="B196" s="61"/>
      <c r="C196" s="57"/>
      <c r="D196" s="62"/>
      <c r="E196" s="80"/>
    </row>
    <row r="197" ht="14.25" customHeight="1">
      <c r="A197" s="79"/>
      <c r="B197" s="61"/>
      <c r="C197" s="57"/>
      <c r="D197" s="62"/>
      <c r="E197" s="80"/>
    </row>
    <row r="198" ht="14.25" customHeight="1">
      <c r="A198" s="79"/>
      <c r="B198" s="61"/>
      <c r="C198" s="57"/>
      <c r="D198" s="62"/>
      <c r="E198" s="80"/>
    </row>
    <row r="199" ht="14.25" customHeight="1">
      <c r="A199" s="79"/>
      <c r="B199" s="61"/>
      <c r="C199" s="57"/>
      <c r="D199" s="62"/>
      <c r="E199" s="80"/>
    </row>
    <row r="200" ht="14.25" customHeight="1">
      <c r="A200" s="79"/>
      <c r="B200" s="61"/>
      <c r="C200" s="57"/>
      <c r="D200" s="62"/>
      <c r="E200" s="80"/>
    </row>
    <row r="201" ht="14.25" customHeight="1">
      <c r="A201" s="79"/>
      <c r="B201" s="61"/>
      <c r="C201" s="57"/>
      <c r="D201" s="62"/>
      <c r="E201" s="80"/>
    </row>
    <row r="202" ht="14.25" customHeight="1">
      <c r="A202" s="79"/>
      <c r="B202" s="61"/>
      <c r="C202" s="57"/>
      <c r="D202" s="62"/>
      <c r="E202" s="80"/>
    </row>
    <row r="203" ht="14.25" customHeight="1">
      <c r="A203" s="79"/>
      <c r="B203" s="61"/>
      <c r="C203" s="57"/>
      <c r="D203" s="62"/>
      <c r="E203" s="80"/>
    </row>
    <row r="204" ht="14.25" customHeight="1">
      <c r="A204" s="79"/>
      <c r="B204" s="61"/>
      <c r="C204" s="57"/>
      <c r="D204" s="62"/>
      <c r="E204" s="80"/>
    </row>
    <row r="205" ht="14.25" customHeight="1">
      <c r="A205" s="79"/>
      <c r="B205" s="61"/>
      <c r="C205" s="57"/>
      <c r="D205" s="62"/>
      <c r="E205" s="80"/>
    </row>
    <row r="206" ht="14.25" customHeight="1">
      <c r="A206" s="79"/>
      <c r="B206" s="61"/>
      <c r="C206" s="57"/>
      <c r="D206" s="62"/>
      <c r="E206" s="80"/>
    </row>
    <row r="207" ht="14.25" customHeight="1">
      <c r="A207" s="79"/>
      <c r="B207" s="61"/>
      <c r="C207" s="57"/>
      <c r="D207" s="62"/>
      <c r="E207" s="80"/>
    </row>
    <row r="208" ht="14.25" customHeight="1">
      <c r="A208" s="79"/>
      <c r="B208" s="61"/>
      <c r="C208" s="57"/>
      <c r="D208" s="62"/>
      <c r="E208" s="80"/>
    </row>
    <row r="209" ht="14.25" customHeight="1">
      <c r="A209" s="79"/>
      <c r="B209" s="61"/>
      <c r="C209" s="57"/>
      <c r="D209" s="62"/>
      <c r="E209" s="80"/>
    </row>
    <row r="210" ht="14.25" customHeight="1">
      <c r="B210" s="61"/>
      <c r="D210" s="32"/>
      <c r="E210" s="81"/>
    </row>
    <row r="211" ht="14.25" customHeight="1">
      <c r="B211" s="61"/>
      <c r="D211" s="32"/>
      <c r="E211" s="81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  <row r="971" ht="15.75" customHeight="1">
      <c r="D971" s="32"/>
      <c r="E971" s="68"/>
    </row>
  </sheetData>
  <autoFilter ref="$A$1:$E$17">
    <sortState ref="A1:E17">
      <sortCondition ref="C1:C17"/>
      <sortCondition ref="B1:B17"/>
      <sortCondition ref="A1:A17"/>
      <sortCondition ref="E1:E17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2" t="s">
        <v>20</v>
      </c>
      <c r="B1" s="82" t="s">
        <v>124</v>
      </c>
      <c r="C1" s="82" t="s">
        <v>125</v>
      </c>
      <c r="D1" s="82" t="s">
        <v>126</v>
      </c>
      <c r="E1" s="82" t="s">
        <v>127</v>
      </c>
      <c r="F1" s="82" t="s">
        <v>128</v>
      </c>
      <c r="G1" s="82" t="s">
        <v>129</v>
      </c>
      <c r="H1" s="82" t="s">
        <v>130</v>
      </c>
      <c r="I1" s="82" t="s">
        <v>131</v>
      </c>
      <c r="J1" s="82" t="s">
        <v>132</v>
      </c>
      <c r="K1" s="82" t="s">
        <v>133</v>
      </c>
      <c r="L1" s="82" t="s">
        <v>134</v>
      </c>
      <c r="M1" s="82" t="s">
        <v>135</v>
      </c>
      <c r="N1" s="82" t="s">
        <v>136</v>
      </c>
      <c r="O1" s="82" t="s">
        <v>137</v>
      </c>
      <c r="P1" s="82" t="s">
        <v>138</v>
      </c>
      <c r="Q1" s="82" t="s">
        <v>139</v>
      </c>
      <c r="R1" s="82" t="s">
        <v>140</v>
      </c>
      <c r="S1" s="82" t="s">
        <v>141</v>
      </c>
      <c r="T1" s="82" t="s">
        <v>142</v>
      </c>
      <c r="U1" s="82" t="s">
        <v>143</v>
      </c>
      <c r="V1" s="82" t="s">
        <v>144</v>
      </c>
      <c r="W1" s="82" t="s">
        <v>145</v>
      </c>
      <c r="X1" s="82" t="s">
        <v>146</v>
      </c>
      <c r="Y1" s="82" t="s">
        <v>147</v>
      </c>
      <c r="Z1" s="82" t="s">
        <v>148</v>
      </c>
      <c r="AA1" s="82" t="s">
        <v>149</v>
      </c>
      <c r="AB1" s="82" t="s">
        <v>150</v>
      </c>
      <c r="AC1" s="82" t="s">
        <v>151</v>
      </c>
      <c r="AD1" s="82" t="s">
        <v>152</v>
      </c>
      <c r="AE1" s="82" t="s">
        <v>153</v>
      </c>
      <c r="AF1" s="82" t="s">
        <v>154</v>
      </c>
      <c r="AG1" s="82" t="s">
        <v>155</v>
      </c>
      <c r="AH1" s="83" t="s">
        <v>156</v>
      </c>
      <c r="AI1" s="83" t="s">
        <v>157</v>
      </c>
      <c r="AJ1" s="83" t="s">
        <v>158</v>
      </c>
      <c r="AK1" s="82" t="s">
        <v>159</v>
      </c>
      <c r="AL1" s="83" t="s">
        <v>160</v>
      </c>
      <c r="AM1" s="84" t="s">
        <v>161</v>
      </c>
      <c r="AN1" s="84" t="s">
        <v>162</v>
      </c>
      <c r="AO1" s="84" t="s">
        <v>163</v>
      </c>
      <c r="AP1" s="84" t="s">
        <v>164</v>
      </c>
      <c r="AQ1" s="84" t="s">
        <v>165</v>
      </c>
      <c r="AR1" s="84" t="s">
        <v>166</v>
      </c>
      <c r="AS1" s="84" t="s">
        <v>167</v>
      </c>
      <c r="AT1" s="84" t="s">
        <v>168</v>
      </c>
      <c r="AU1" s="83" t="s">
        <v>169</v>
      </c>
      <c r="AV1" s="84" t="s">
        <v>170</v>
      </c>
      <c r="AW1" s="83" t="s">
        <v>171</v>
      </c>
      <c r="AX1" s="83" t="s">
        <v>172</v>
      </c>
      <c r="AY1" s="82" t="s">
        <v>173</v>
      </c>
    </row>
    <row r="2">
      <c r="A2" s="78" t="s">
        <v>174</v>
      </c>
      <c r="B2" s="85">
        <v>266.87</v>
      </c>
      <c r="C2" s="85">
        <v>0.0</v>
      </c>
      <c r="D2" s="85">
        <v>0.0</v>
      </c>
      <c r="E2" s="85">
        <v>1.0</v>
      </c>
      <c r="F2" s="85">
        <v>17.0</v>
      </c>
      <c r="G2" s="78" t="s">
        <v>175</v>
      </c>
      <c r="H2" s="85" t="s">
        <v>176</v>
      </c>
      <c r="I2" s="86"/>
      <c r="J2" s="78" t="s">
        <v>177</v>
      </c>
      <c r="K2" s="78" t="s">
        <v>178</v>
      </c>
      <c r="L2" s="87"/>
      <c r="M2" s="87"/>
      <c r="N2" s="86"/>
      <c r="O2" s="86"/>
      <c r="P2" s="78" t="s">
        <v>175</v>
      </c>
      <c r="Q2" s="78" t="s">
        <v>179</v>
      </c>
      <c r="R2" s="78" t="s">
        <v>175</v>
      </c>
      <c r="S2" s="78" t="s">
        <v>180</v>
      </c>
      <c r="T2" s="78" t="s">
        <v>181</v>
      </c>
      <c r="U2" s="88"/>
      <c r="V2" s="78" t="s">
        <v>182</v>
      </c>
      <c r="W2" s="88"/>
      <c r="X2" s="89" t="s">
        <v>183</v>
      </c>
      <c r="Y2" s="90" t="s">
        <v>184</v>
      </c>
      <c r="Z2" s="89" t="s">
        <v>185</v>
      </c>
      <c r="AA2" s="91" t="s">
        <v>177</v>
      </c>
      <c r="AB2" s="91" t="s">
        <v>186</v>
      </c>
      <c r="AC2" s="85">
        <v>25.0</v>
      </c>
      <c r="AD2" s="85">
        <v>100.0</v>
      </c>
      <c r="AE2" s="85">
        <v>35.0</v>
      </c>
      <c r="AF2" s="85">
        <v>60.0</v>
      </c>
      <c r="AG2" s="85">
        <v>45.0</v>
      </c>
      <c r="AH2" s="85">
        <v>18.0</v>
      </c>
      <c r="AI2" s="85">
        <v>43.7</v>
      </c>
      <c r="AJ2" s="85">
        <v>40.0</v>
      </c>
      <c r="AK2" s="85">
        <v>85.0</v>
      </c>
      <c r="AL2" s="92">
        <v>51.1</v>
      </c>
      <c r="AM2" s="93">
        <v>37.0</v>
      </c>
      <c r="AN2" s="93">
        <v>65.0</v>
      </c>
      <c r="AO2" s="92">
        <v>181.0</v>
      </c>
      <c r="AP2" s="91" t="s">
        <v>187</v>
      </c>
      <c r="AQ2" s="91" t="s">
        <v>188</v>
      </c>
      <c r="AR2" s="92">
        <v>0.0</v>
      </c>
      <c r="AS2" s="93">
        <v>0.0</v>
      </c>
      <c r="AT2" s="92">
        <v>0.0</v>
      </c>
      <c r="AU2" s="92">
        <v>51.1</v>
      </c>
      <c r="AV2" s="93">
        <v>12.0</v>
      </c>
      <c r="AW2" s="93">
        <v>33.0</v>
      </c>
      <c r="AX2" s="93" t="s">
        <v>189</v>
      </c>
      <c r="AY2" s="78" t="s">
        <v>190</v>
      </c>
    </row>
    <row r="3">
      <c r="A3" s="78" t="s">
        <v>191</v>
      </c>
      <c r="B3" s="85">
        <v>267.89</v>
      </c>
      <c r="C3" s="85">
        <v>0.0</v>
      </c>
      <c r="D3" s="85">
        <v>0.0</v>
      </c>
      <c r="E3" s="85">
        <v>1.0</v>
      </c>
      <c r="F3" s="85">
        <v>6.0</v>
      </c>
      <c r="G3" s="78" t="s">
        <v>175</v>
      </c>
      <c r="H3" s="85" t="s">
        <v>176</v>
      </c>
      <c r="I3" s="86"/>
      <c r="J3" s="78" t="s">
        <v>177</v>
      </c>
      <c r="K3" s="78" t="s">
        <v>178</v>
      </c>
      <c r="L3" s="87"/>
      <c r="M3" s="87"/>
      <c r="N3" s="86"/>
      <c r="O3" s="86"/>
      <c r="P3" s="78" t="s">
        <v>175</v>
      </c>
      <c r="Q3" s="78" t="s">
        <v>179</v>
      </c>
      <c r="R3" s="78" t="s">
        <v>175</v>
      </c>
      <c r="S3" s="78" t="s">
        <v>192</v>
      </c>
      <c r="T3" s="78" t="s">
        <v>193</v>
      </c>
      <c r="U3" s="88"/>
      <c r="V3" s="78" t="s">
        <v>182</v>
      </c>
      <c r="W3" s="88"/>
      <c r="X3" s="94" t="s">
        <v>194</v>
      </c>
      <c r="Y3" s="90" t="s">
        <v>184</v>
      </c>
      <c r="Z3" s="94" t="s">
        <v>185</v>
      </c>
      <c r="AA3" s="91" t="s">
        <v>177</v>
      </c>
      <c r="AB3" s="91" t="s">
        <v>186</v>
      </c>
      <c r="AC3" s="85">
        <v>25.0</v>
      </c>
      <c r="AD3" s="85">
        <v>100.0</v>
      </c>
      <c r="AE3" s="85">
        <v>35.0</v>
      </c>
      <c r="AF3" s="85">
        <v>60.0</v>
      </c>
      <c r="AG3" s="85">
        <v>45.0</v>
      </c>
      <c r="AH3" s="85">
        <v>18.0</v>
      </c>
      <c r="AI3" s="85">
        <v>43.7</v>
      </c>
      <c r="AJ3" s="85">
        <v>40.0</v>
      </c>
      <c r="AK3" s="85">
        <v>85.0</v>
      </c>
      <c r="AL3" s="92">
        <v>51.1</v>
      </c>
      <c r="AM3" s="93">
        <v>38.0</v>
      </c>
      <c r="AN3" s="93">
        <v>66.0</v>
      </c>
      <c r="AO3" s="92">
        <v>181.0</v>
      </c>
      <c r="AP3" s="91" t="s">
        <v>187</v>
      </c>
      <c r="AQ3" s="91" t="s">
        <v>188</v>
      </c>
      <c r="AR3" s="92">
        <v>0.0</v>
      </c>
      <c r="AS3" s="93">
        <v>0.0</v>
      </c>
      <c r="AT3" s="92">
        <v>0.0</v>
      </c>
      <c r="AU3" s="92">
        <v>51.1</v>
      </c>
      <c r="AV3" s="93">
        <v>13.0</v>
      </c>
      <c r="AW3" s="93">
        <v>34.0</v>
      </c>
      <c r="AX3" s="93" t="s">
        <v>189</v>
      </c>
      <c r="AY3" s="78" t="s">
        <v>190</v>
      </c>
    </row>
    <row r="4">
      <c r="A4" s="78" t="s">
        <v>195</v>
      </c>
      <c r="B4" s="85">
        <v>338.42</v>
      </c>
      <c r="C4" s="85">
        <v>0.0</v>
      </c>
      <c r="D4" s="85">
        <v>0.0</v>
      </c>
      <c r="E4" s="85">
        <v>1.0</v>
      </c>
      <c r="F4" s="85">
        <v>6.0</v>
      </c>
      <c r="G4" s="78" t="s">
        <v>175</v>
      </c>
      <c r="H4" s="85" t="s">
        <v>176</v>
      </c>
      <c r="I4" s="86"/>
      <c r="J4" s="78" t="s">
        <v>177</v>
      </c>
      <c r="K4" s="78" t="s">
        <v>178</v>
      </c>
      <c r="L4" s="87"/>
      <c r="M4" s="87"/>
      <c r="N4" s="86"/>
      <c r="O4" s="86"/>
      <c r="P4" s="78" t="s">
        <v>175</v>
      </c>
      <c r="Q4" s="78" t="s">
        <v>179</v>
      </c>
      <c r="R4" s="78" t="s">
        <v>175</v>
      </c>
      <c r="S4" s="78" t="s">
        <v>196</v>
      </c>
      <c r="T4" s="78" t="s">
        <v>193</v>
      </c>
      <c r="U4" s="88"/>
      <c r="V4" s="78" t="s">
        <v>182</v>
      </c>
      <c r="W4" s="88"/>
      <c r="X4" s="94" t="s">
        <v>194</v>
      </c>
      <c r="Y4" s="90" t="s">
        <v>184</v>
      </c>
      <c r="Z4" s="94" t="s">
        <v>185</v>
      </c>
      <c r="AA4" s="91" t="s">
        <v>177</v>
      </c>
      <c r="AB4" s="91" t="s">
        <v>186</v>
      </c>
      <c r="AC4" s="85">
        <v>25.0</v>
      </c>
      <c r="AD4" s="85">
        <v>100.0</v>
      </c>
      <c r="AE4" s="85">
        <v>35.0</v>
      </c>
      <c r="AF4" s="85">
        <v>60.0</v>
      </c>
      <c r="AG4" s="85">
        <v>45.0</v>
      </c>
      <c r="AH4" s="85">
        <v>18.0</v>
      </c>
      <c r="AI4" s="85">
        <v>43.7</v>
      </c>
      <c r="AJ4" s="85">
        <v>40.0</v>
      </c>
      <c r="AK4" s="85">
        <v>85.0</v>
      </c>
      <c r="AL4" s="92">
        <v>51.1</v>
      </c>
      <c r="AM4" s="93">
        <v>39.0</v>
      </c>
      <c r="AN4" s="93">
        <v>67.0</v>
      </c>
      <c r="AO4" s="92">
        <v>181.0</v>
      </c>
      <c r="AP4" s="91" t="s">
        <v>187</v>
      </c>
      <c r="AQ4" s="91" t="s">
        <v>188</v>
      </c>
      <c r="AR4" s="92">
        <v>0.0</v>
      </c>
      <c r="AS4" s="93">
        <v>0.0</v>
      </c>
      <c r="AT4" s="92">
        <v>0.0</v>
      </c>
      <c r="AU4" s="92">
        <v>51.1</v>
      </c>
      <c r="AV4" s="93">
        <v>14.0</v>
      </c>
      <c r="AW4" s="93">
        <v>35.0</v>
      </c>
      <c r="AX4" s="93" t="s">
        <v>189</v>
      </c>
      <c r="AY4" s="78" t="s">
        <v>190</v>
      </c>
    </row>
    <row r="5">
      <c r="A5" s="78" t="s">
        <v>197</v>
      </c>
      <c r="B5" s="85">
        <v>441.89</v>
      </c>
      <c r="C5" s="85">
        <v>0.0</v>
      </c>
      <c r="D5" s="85">
        <v>0.0</v>
      </c>
      <c r="E5" s="85">
        <v>1.0</v>
      </c>
      <c r="F5" s="85">
        <v>6.0</v>
      </c>
      <c r="G5" s="78" t="s">
        <v>175</v>
      </c>
      <c r="H5" s="85" t="s">
        <v>176</v>
      </c>
      <c r="I5" s="86"/>
      <c r="J5" s="78" t="s">
        <v>177</v>
      </c>
      <c r="K5" s="78" t="s">
        <v>178</v>
      </c>
      <c r="L5" s="87"/>
      <c r="M5" s="87"/>
      <c r="N5" s="86"/>
      <c r="O5" s="86"/>
      <c r="P5" s="78" t="s">
        <v>175</v>
      </c>
      <c r="Q5" s="78" t="s">
        <v>179</v>
      </c>
      <c r="R5" s="78" t="s">
        <v>175</v>
      </c>
      <c r="S5" s="78" t="s">
        <v>198</v>
      </c>
      <c r="T5" s="78" t="s">
        <v>193</v>
      </c>
      <c r="U5" s="88"/>
      <c r="V5" s="78" t="s">
        <v>182</v>
      </c>
      <c r="W5" s="88"/>
      <c r="X5" s="94" t="s">
        <v>194</v>
      </c>
      <c r="Y5" s="90" t="s">
        <v>184</v>
      </c>
      <c r="Z5" s="94" t="s">
        <v>185</v>
      </c>
      <c r="AA5" s="91" t="s">
        <v>177</v>
      </c>
      <c r="AB5" s="91" t="s">
        <v>186</v>
      </c>
      <c r="AC5" s="85">
        <v>25.0</v>
      </c>
      <c r="AD5" s="85">
        <v>100.0</v>
      </c>
      <c r="AE5" s="85">
        <v>35.0</v>
      </c>
      <c r="AF5" s="85">
        <v>60.0</v>
      </c>
      <c r="AG5" s="85">
        <v>45.0</v>
      </c>
      <c r="AH5" s="85">
        <v>18.0</v>
      </c>
      <c r="AI5" s="85">
        <v>43.7</v>
      </c>
      <c r="AJ5" s="85">
        <v>40.0</v>
      </c>
      <c r="AK5" s="85">
        <v>85.0</v>
      </c>
      <c r="AL5" s="92">
        <v>51.1</v>
      </c>
      <c r="AM5" s="93">
        <v>40.0</v>
      </c>
      <c r="AN5" s="93">
        <v>68.0</v>
      </c>
      <c r="AO5" s="92">
        <v>181.0</v>
      </c>
      <c r="AP5" s="91" t="s">
        <v>187</v>
      </c>
      <c r="AQ5" s="91" t="s">
        <v>188</v>
      </c>
      <c r="AR5" s="92">
        <v>0.0</v>
      </c>
      <c r="AS5" s="93">
        <v>0.0</v>
      </c>
      <c r="AT5" s="92">
        <v>0.0</v>
      </c>
      <c r="AU5" s="92">
        <v>51.1</v>
      </c>
      <c r="AV5" s="93">
        <v>15.0</v>
      </c>
      <c r="AW5" s="93">
        <v>36.0</v>
      </c>
      <c r="AX5" s="93" t="s">
        <v>189</v>
      </c>
      <c r="AY5" s="78" t="s">
        <v>190</v>
      </c>
    </row>
    <row r="6">
      <c r="A6" s="78" t="s">
        <v>199</v>
      </c>
      <c r="B6" s="85">
        <v>80.0</v>
      </c>
      <c r="C6" s="85">
        <v>0.0</v>
      </c>
      <c r="D6" s="85">
        <v>0.0</v>
      </c>
      <c r="E6" s="85">
        <v>2.0</v>
      </c>
      <c r="F6" s="85">
        <v>2.0</v>
      </c>
      <c r="G6" s="78" t="s">
        <v>175</v>
      </c>
      <c r="H6" s="85" t="s">
        <v>200</v>
      </c>
      <c r="I6" s="86"/>
      <c r="J6" s="78" t="s">
        <v>177</v>
      </c>
      <c r="K6" s="78" t="s">
        <v>201</v>
      </c>
      <c r="L6" s="87"/>
      <c r="M6" s="87"/>
      <c r="N6" s="86"/>
      <c r="O6" s="86"/>
      <c r="P6" s="78" t="s">
        <v>175</v>
      </c>
      <c r="Q6" s="78" t="s">
        <v>202</v>
      </c>
      <c r="R6" s="78" t="s">
        <v>175</v>
      </c>
      <c r="S6" s="78" t="s">
        <v>203</v>
      </c>
      <c r="T6" s="78" t="s">
        <v>204</v>
      </c>
      <c r="U6" s="88"/>
      <c r="V6" s="78" t="s">
        <v>205</v>
      </c>
      <c r="W6" s="88"/>
      <c r="X6" s="89" t="s">
        <v>183</v>
      </c>
      <c r="Y6" s="90" t="s">
        <v>184</v>
      </c>
      <c r="Z6" s="89" t="s">
        <v>185</v>
      </c>
      <c r="AA6" s="91" t="s">
        <v>177</v>
      </c>
      <c r="AB6" s="91" t="s">
        <v>206</v>
      </c>
      <c r="AC6" s="85">
        <v>100.0</v>
      </c>
      <c r="AD6" s="85">
        <v>0.0</v>
      </c>
      <c r="AE6" s="85">
        <v>70.0</v>
      </c>
      <c r="AF6" s="85">
        <v>100.0</v>
      </c>
      <c r="AG6" s="85">
        <v>82.0</v>
      </c>
      <c r="AH6" s="85">
        <v>11.2</v>
      </c>
      <c r="AI6" s="85">
        <v>0.0</v>
      </c>
      <c r="AJ6" s="85">
        <v>85.0</v>
      </c>
      <c r="AK6" s="85">
        <v>85.0</v>
      </c>
      <c r="AL6" s="92">
        <v>54.2</v>
      </c>
      <c r="AM6" s="93">
        <v>13.0</v>
      </c>
      <c r="AN6" s="93">
        <v>55.0</v>
      </c>
      <c r="AO6" s="92">
        <v>2.0</v>
      </c>
      <c r="AP6" s="91" t="s">
        <v>207</v>
      </c>
      <c r="AQ6" s="91" t="s">
        <v>208</v>
      </c>
      <c r="AR6" s="92">
        <v>4.0</v>
      </c>
      <c r="AS6" s="93">
        <v>7.0</v>
      </c>
      <c r="AT6" s="92">
        <v>18.0</v>
      </c>
      <c r="AU6" s="92">
        <v>36.2</v>
      </c>
      <c r="AV6" s="93">
        <v>13.0</v>
      </c>
      <c r="AW6" s="93">
        <v>65.0</v>
      </c>
      <c r="AX6" s="93" t="s">
        <v>209</v>
      </c>
      <c r="AY6" s="78" t="s">
        <v>210</v>
      </c>
    </row>
    <row r="7">
      <c r="A7" s="78" t="s">
        <v>211</v>
      </c>
      <c r="B7" s="85">
        <v>100.0</v>
      </c>
      <c r="C7" s="85">
        <v>0.0</v>
      </c>
      <c r="D7" s="85">
        <v>0.0</v>
      </c>
      <c r="E7" s="85">
        <v>1.0</v>
      </c>
      <c r="F7" s="85">
        <v>0.0</v>
      </c>
      <c r="G7" s="78" t="s">
        <v>175</v>
      </c>
      <c r="H7" s="85" t="s">
        <v>212</v>
      </c>
      <c r="I7" s="86"/>
      <c r="J7" s="78" t="s">
        <v>177</v>
      </c>
      <c r="K7" s="78" t="s">
        <v>213</v>
      </c>
      <c r="L7" s="87"/>
      <c r="M7" s="87"/>
      <c r="N7" s="86"/>
      <c r="O7" s="86"/>
      <c r="P7" s="78" t="s">
        <v>175</v>
      </c>
      <c r="Q7" s="78" t="s">
        <v>202</v>
      </c>
      <c r="R7" s="78" t="s">
        <v>175</v>
      </c>
      <c r="S7" s="78" t="s">
        <v>214</v>
      </c>
      <c r="T7" s="78" t="s">
        <v>215</v>
      </c>
      <c r="U7" s="88"/>
      <c r="V7" s="78" t="s">
        <v>216</v>
      </c>
      <c r="W7" s="88"/>
      <c r="X7" s="89" t="s">
        <v>183</v>
      </c>
      <c r="Y7" s="90" t="s">
        <v>184</v>
      </c>
      <c r="Z7" s="89" t="s">
        <v>185</v>
      </c>
      <c r="AA7" s="91" t="s">
        <v>177</v>
      </c>
      <c r="AB7" s="91" t="s">
        <v>186</v>
      </c>
      <c r="AC7" s="85">
        <v>25.0</v>
      </c>
      <c r="AD7" s="85">
        <v>80.0</v>
      </c>
      <c r="AE7" s="85">
        <v>70.0</v>
      </c>
      <c r="AF7" s="85">
        <v>95.0</v>
      </c>
      <c r="AG7" s="85">
        <v>80.0</v>
      </c>
      <c r="AH7" s="85">
        <v>14.0</v>
      </c>
      <c r="AI7" s="85">
        <v>17.5</v>
      </c>
      <c r="AJ7" s="85">
        <v>60.0</v>
      </c>
      <c r="AK7" s="85">
        <v>85.0</v>
      </c>
      <c r="AL7" s="92">
        <v>50.8</v>
      </c>
      <c r="AM7" s="93">
        <v>43.0</v>
      </c>
      <c r="AN7" s="93">
        <v>71.0</v>
      </c>
      <c r="AO7" s="92">
        <v>181.0</v>
      </c>
      <c r="AP7" s="91" t="s">
        <v>187</v>
      </c>
      <c r="AQ7" s="91" t="s">
        <v>188</v>
      </c>
      <c r="AR7" s="92">
        <v>1.0</v>
      </c>
      <c r="AS7" s="93">
        <v>1.0</v>
      </c>
      <c r="AT7" s="92">
        <v>7.0</v>
      </c>
      <c r="AU7" s="92">
        <v>43.8</v>
      </c>
      <c r="AV7" s="93">
        <v>26.0</v>
      </c>
      <c r="AW7" s="93">
        <v>51.0</v>
      </c>
      <c r="AX7" s="93" t="s">
        <v>209</v>
      </c>
      <c r="AY7" s="78" t="s">
        <v>190</v>
      </c>
    </row>
    <row r="8">
      <c r="A8" s="78" t="s">
        <v>217</v>
      </c>
      <c r="B8" s="85">
        <v>10.84</v>
      </c>
      <c r="C8" s="85">
        <v>0.0</v>
      </c>
      <c r="D8" s="85">
        <v>0.0</v>
      </c>
      <c r="E8" s="85">
        <v>1825.0</v>
      </c>
      <c r="F8" s="85">
        <v>1825.0</v>
      </c>
      <c r="G8" s="78" t="s">
        <v>177</v>
      </c>
      <c r="H8" s="85" t="s">
        <v>212</v>
      </c>
      <c r="I8" s="86"/>
      <c r="J8" s="78" t="s">
        <v>177</v>
      </c>
      <c r="K8" s="78" t="s">
        <v>218</v>
      </c>
      <c r="L8" s="87"/>
      <c r="M8" s="87"/>
      <c r="N8" s="86"/>
      <c r="O8" s="86"/>
      <c r="P8" s="78" t="s">
        <v>175</v>
      </c>
      <c r="Q8" s="78" t="s">
        <v>219</v>
      </c>
      <c r="R8" s="78" t="s">
        <v>177</v>
      </c>
      <c r="S8" s="78" t="s">
        <v>220</v>
      </c>
      <c r="T8" s="78" t="s">
        <v>221</v>
      </c>
      <c r="U8" s="88"/>
      <c r="V8" s="78" t="s">
        <v>216</v>
      </c>
      <c r="W8" s="88"/>
      <c r="X8" s="89" t="s">
        <v>183</v>
      </c>
      <c r="Y8" s="90" t="s">
        <v>184</v>
      </c>
      <c r="Z8" s="89" t="s">
        <v>185</v>
      </c>
      <c r="AA8" s="91" t="s">
        <v>177</v>
      </c>
      <c r="AB8" s="91" t="s">
        <v>186</v>
      </c>
      <c r="AC8" s="85">
        <v>10.0</v>
      </c>
      <c r="AD8" s="85">
        <v>80.0</v>
      </c>
      <c r="AE8" s="85">
        <v>90.0</v>
      </c>
      <c r="AF8" s="85">
        <v>95.0</v>
      </c>
      <c r="AG8" s="85">
        <v>92.0</v>
      </c>
      <c r="AH8" s="85">
        <v>10.84</v>
      </c>
      <c r="AI8" s="85">
        <v>0.0</v>
      </c>
      <c r="AJ8" s="85">
        <v>100.0</v>
      </c>
      <c r="AK8" s="85">
        <v>85.0</v>
      </c>
      <c r="AL8" s="92">
        <v>49.5</v>
      </c>
      <c r="AM8" s="93">
        <v>48.0</v>
      </c>
      <c r="AN8" s="93">
        <v>76.0</v>
      </c>
      <c r="AO8" s="92">
        <v>1825.0</v>
      </c>
      <c r="AP8" s="91" t="s">
        <v>207</v>
      </c>
      <c r="AQ8" s="91" t="s">
        <v>208</v>
      </c>
      <c r="AR8" s="92">
        <v>4.0</v>
      </c>
      <c r="AS8" s="93">
        <v>4.0</v>
      </c>
      <c r="AT8" s="92">
        <v>18.0</v>
      </c>
      <c r="AU8" s="92">
        <v>31.5</v>
      </c>
      <c r="AV8" s="93">
        <v>48.0</v>
      </c>
      <c r="AW8" s="93">
        <v>76.0</v>
      </c>
      <c r="AX8" s="93" t="s">
        <v>209</v>
      </c>
      <c r="AY8" s="78" t="s">
        <v>222</v>
      </c>
    </row>
    <row r="9">
      <c r="A9" s="78" t="s">
        <v>223</v>
      </c>
      <c r="B9" s="85">
        <v>88.0</v>
      </c>
      <c r="C9" s="85">
        <v>0.0</v>
      </c>
      <c r="D9" s="85">
        <v>0.0</v>
      </c>
      <c r="E9" s="85">
        <v>1080.0</v>
      </c>
      <c r="F9" s="85">
        <v>90.0</v>
      </c>
      <c r="G9" s="78" t="s">
        <v>177</v>
      </c>
      <c r="H9" s="85" t="s">
        <v>176</v>
      </c>
      <c r="I9" s="86"/>
      <c r="J9" s="78" t="s">
        <v>177</v>
      </c>
      <c r="K9" s="78" t="s">
        <v>218</v>
      </c>
      <c r="L9" s="87"/>
      <c r="M9" s="87"/>
      <c r="N9" s="86"/>
      <c r="O9" s="86"/>
      <c r="P9" s="78" t="s">
        <v>175</v>
      </c>
      <c r="Q9" s="78" t="s">
        <v>202</v>
      </c>
      <c r="R9" s="78" t="s">
        <v>177</v>
      </c>
      <c r="S9" s="78" t="s">
        <v>224</v>
      </c>
      <c r="T9" s="78" t="s">
        <v>225</v>
      </c>
      <c r="U9" s="88"/>
      <c r="V9" s="78" t="s">
        <v>216</v>
      </c>
      <c r="W9" s="88"/>
      <c r="X9" s="89" t="s">
        <v>183</v>
      </c>
      <c r="Y9" s="90" t="s">
        <v>184</v>
      </c>
      <c r="Z9" s="89" t="s">
        <v>226</v>
      </c>
      <c r="AA9" s="91" t="s">
        <v>177</v>
      </c>
      <c r="AB9" s="91" t="s">
        <v>227</v>
      </c>
      <c r="AC9" s="85">
        <v>45.0</v>
      </c>
      <c r="AD9" s="85">
        <v>100.0</v>
      </c>
      <c r="AE9" s="85">
        <v>90.0</v>
      </c>
      <c r="AF9" s="85">
        <v>95.0</v>
      </c>
      <c r="AG9" s="85">
        <v>92.0</v>
      </c>
      <c r="AH9" s="85">
        <v>12.32</v>
      </c>
      <c r="AI9" s="85">
        <v>6.5</v>
      </c>
      <c r="AJ9" s="85">
        <v>100.0</v>
      </c>
      <c r="AK9" s="85">
        <v>85.0</v>
      </c>
      <c r="AL9" s="92">
        <v>63.3</v>
      </c>
      <c r="AM9" s="93">
        <v>6.0</v>
      </c>
      <c r="AN9" s="93">
        <v>19.0</v>
      </c>
      <c r="AO9" s="92">
        <v>90.0</v>
      </c>
      <c r="AP9" s="91" t="s">
        <v>207</v>
      </c>
      <c r="AQ9" s="91" t="s">
        <v>208</v>
      </c>
      <c r="AR9" s="92">
        <v>0.0</v>
      </c>
      <c r="AS9" s="93">
        <v>0.0</v>
      </c>
      <c r="AT9" s="92">
        <v>0.0</v>
      </c>
      <c r="AU9" s="92">
        <v>63.3</v>
      </c>
      <c r="AV9" s="93">
        <v>3.0</v>
      </c>
      <c r="AW9" s="93">
        <v>11.0</v>
      </c>
      <c r="AX9" s="93" t="s">
        <v>209</v>
      </c>
      <c r="AY9" s="78" t="s">
        <v>210</v>
      </c>
    </row>
    <row r="10">
      <c r="A10" s="78" t="s">
        <v>228</v>
      </c>
      <c r="B10" s="85">
        <v>5.5</v>
      </c>
      <c r="C10" s="85">
        <v>0.0</v>
      </c>
      <c r="D10" s="85">
        <v>0.0</v>
      </c>
      <c r="E10" s="85">
        <v>1080.0</v>
      </c>
      <c r="F10" s="85">
        <v>1080.0</v>
      </c>
      <c r="G10" s="78" t="s">
        <v>177</v>
      </c>
      <c r="H10" s="85" t="s">
        <v>212</v>
      </c>
      <c r="I10" s="86"/>
      <c r="J10" s="78" t="s">
        <v>177</v>
      </c>
      <c r="K10" s="78" t="s">
        <v>218</v>
      </c>
      <c r="L10" s="87"/>
      <c r="M10" s="87"/>
      <c r="N10" s="86"/>
      <c r="O10" s="86"/>
      <c r="P10" s="78" t="s">
        <v>175</v>
      </c>
      <c r="Q10" s="78" t="s">
        <v>229</v>
      </c>
      <c r="R10" s="78" t="s">
        <v>177</v>
      </c>
      <c r="S10" s="78" t="s">
        <v>230</v>
      </c>
      <c r="T10" s="91" t="s">
        <v>221</v>
      </c>
      <c r="U10" s="88"/>
      <c r="V10" s="78" t="s">
        <v>182</v>
      </c>
      <c r="W10" s="88"/>
      <c r="X10" s="89" t="s">
        <v>183</v>
      </c>
      <c r="Y10" s="95" t="s">
        <v>184</v>
      </c>
      <c r="Z10" s="89" t="s">
        <v>185</v>
      </c>
      <c r="AA10" s="91" t="s">
        <v>177</v>
      </c>
      <c r="AB10" s="91" t="s">
        <v>186</v>
      </c>
      <c r="AC10" s="85">
        <v>10.0</v>
      </c>
      <c r="AD10" s="85">
        <v>80.0</v>
      </c>
      <c r="AE10" s="85">
        <v>90.0</v>
      </c>
      <c r="AF10" s="85">
        <v>60.0</v>
      </c>
      <c r="AG10" s="85">
        <v>78.0</v>
      </c>
      <c r="AH10" s="85">
        <v>10.0</v>
      </c>
      <c r="AI10" s="85">
        <v>0.0</v>
      </c>
      <c r="AJ10" s="85">
        <v>100.0</v>
      </c>
      <c r="AK10" s="85">
        <v>85.0</v>
      </c>
      <c r="AL10" s="92">
        <v>46.8</v>
      </c>
      <c r="AM10" s="93">
        <v>49.0</v>
      </c>
      <c r="AN10" s="93">
        <v>77.0</v>
      </c>
      <c r="AO10" s="92">
        <v>1080.0</v>
      </c>
      <c r="AP10" s="91" t="s">
        <v>207</v>
      </c>
      <c r="AQ10" s="91" t="s">
        <v>208</v>
      </c>
      <c r="AR10" s="92">
        <v>7.0</v>
      </c>
      <c r="AS10" s="93">
        <v>6.0</v>
      </c>
      <c r="AT10" s="92">
        <v>18.0</v>
      </c>
      <c r="AU10" s="92">
        <v>28.8</v>
      </c>
      <c r="AV10" s="93">
        <v>49.0</v>
      </c>
      <c r="AW10" s="93">
        <v>77.0</v>
      </c>
      <c r="AX10" s="93" t="s">
        <v>209</v>
      </c>
      <c r="AY10" s="78" t="s">
        <v>231</v>
      </c>
    </row>
    <row r="11">
      <c r="A11" s="78" t="s">
        <v>232</v>
      </c>
      <c r="B11" s="85">
        <v>93.5</v>
      </c>
      <c r="C11" s="85">
        <v>0.0</v>
      </c>
      <c r="D11" s="85">
        <v>0.0</v>
      </c>
      <c r="E11" s="85">
        <v>730.0</v>
      </c>
      <c r="F11" s="85">
        <v>730.0</v>
      </c>
      <c r="G11" s="78" t="s">
        <v>177</v>
      </c>
      <c r="H11" s="85" t="s">
        <v>212</v>
      </c>
      <c r="I11" s="86"/>
      <c r="J11" s="78" t="s">
        <v>177</v>
      </c>
      <c r="K11" s="78" t="s">
        <v>218</v>
      </c>
      <c r="L11" s="87"/>
      <c r="M11" s="87"/>
      <c r="N11" s="86"/>
      <c r="O11" s="86"/>
      <c r="P11" s="78" t="s">
        <v>175</v>
      </c>
      <c r="Q11" s="78" t="s">
        <v>202</v>
      </c>
      <c r="R11" s="78" t="s">
        <v>177</v>
      </c>
      <c r="S11" s="78" t="s">
        <v>233</v>
      </c>
      <c r="T11" s="78" t="s">
        <v>234</v>
      </c>
      <c r="U11" s="88"/>
      <c r="V11" s="78" t="s">
        <v>216</v>
      </c>
      <c r="W11" s="88"/>
      <c r="X11" s="96" t="s">
        <v>235</v>
      </c>
      <c r="Y11" s="90" t="s">
        <v>184</v>
      </c>
      <c r="Z11" s="96" t="s">
        <v>185</v>
      </c>
      <c r="AA11" s="91" t="s">
        <v>177</v>
      </c>
      <c r="AB11" s="91" t="s">
        <v>186</v>
      </c>
      <c r="AC11" s="85">
        <v>10.0</v>
      </c>
      <c r="AD11" s="85">
        <v>80.0</v>
      </c>
      <c r="AE11" s="85">
        <v>90.0</v>
      </c>
      <c r="AF11" s="85">
        <v>95.0</v>
      </c>
      <c r="AG11" s="85">
        <v>92.0</v>
      </c>
      <c r="AH11" s="85">
        <v>13.09</v>
      </c>
      <c r="AI11" s="85">
        <v>11.5</v>
      </c>
      <c r="AJ11" s="85">
        <v>100.0</v>
      </c>
      <c r="AK11" s="85">
        <v>85.0</v>
      </c>
      <c r="AL11" s="92">
        <v>52.1</v>
      </c>
      <c r="AM11" s="93">
        <v>36.0</v>
      </c>
      <c r="AN11" s="93">
        <v>64.0</v>
      </c>
      <c r="AO11" s="92">
        <v>730.0</v>
      </c>
      <c r="AP11" s="91" t="s">
        <v>207</v>
      </c>
      <c r="AQ11" s="91" t="s">
        <v>208</v>
      </c>
      <c r="AR11" s="92">
        <v>0.0</v>
      </c>
      <c r="AS11" s="93">
        <v>0.0</v>
      </c>
      <c r="AT11" s="92">
        <v>0.0</v>
      </c>
      <c r="AU11" s="92">
        <v>52.1</v>
      </c>
      <c r="AV11" s="93">
        <v>11.0</v>
      </c>
      <c r="AW11" s="93">
        <v>31.0</v>
      </c>
      <c r="AX11" s="93" t="s">
        <v>209</v>
      </c>
      <c r="AY11" s="78" t="s">
        <v>210</v>
      </c>
    </row>
    <row r="12">
      <c r="A12" s="78" t="s">
        <v>236</v>
      </c>
      <c r="B12" s="85">
        <v>12.05</v>
      </c>
      <c r="C12" s="85">
        <v>0.0</v>
      </c>
      <c r="D12" s="85">
        <v>0.0</v>
      </c>
      <c r="E12" s="85">
        <v>365.0</v>
      </c>
      <c r="F12" s="85">
        <v>365.0</v>
      </c>
      <c r="G12" s="78" t="s">
        <v>177</v>
      </c>
      <c r="H12" s="85" t="s">
        <v>212</v>
      </c>
      <c r="I12" s="86"/>
      <c r="J12" s="78" t="s">
        <v>177</v>
      </c>
      <c r="K12" s="78" t="s">
        <v>218</v>
      </c>
      <c r="L12" s="87"/>
      <c r="M12" s="87"/>
      <c r="N12" s="86"/>
      <c r="O12" s="86"/>
      <c r="P12" s="78" t="s">
        <v>175</v>
      </c>
      <c r="Q12" s="78" t="s">
        <v>219</v>
      </c>
      <c r="R12" s="78" t="s">
        <v>177</v>
      </c>
      <c r="S12" s="78" t="s">
        <v>237</v>
      </c>
      <c r="T12" s="78" t="s">
        <v>234</v>
      </c>
      <c r="U12" s="88"/>
      <c r="V12" s="78" t="s">
        <v>216</v>
      </c>
      <c r="W12" s="88"/>
      <c r="X12" s="89" t="s">
        <v>183</v>
      </c>
      <c r="Y12" s="90" t="s">
        <v>184</v>
      </c>
      <c r="Z12" s="97"/>
      <c r="AA12" s="91" t="s">
        <v>177</v>
      </c>
      <c r="AB12" s="91" t="s">
        <v>186</v>
      </c>
      <c r="AC12" s="85">
        <v>25.0</v>
      </c>
      <c r="AD12" s="85">
        <v>80.0</v>
      </c>
      <c r="AE12" s="85">
        <v>90.0</v>
      </c>
      <c r="AF12" s="85">
        <v>95.0</v>
      </c>
      <c r="AG12" s="85">
        <v>92.0</v>
      </c>
      <c r="AH12" s="85">
        <v>12.05</v>
      </c>
      <c r="AI12" s="85">
        <v>4.7</v>
      </c>
      <c r="AJ12" s="85">
        <v>100.0</v>
      </c>
      <c r="AK12" s="85">
        <v>85.0</v>
      </c>
      <c r="AL12" s="92">
        <v>54.3</v>
      </c>
      <c r="AM12" s="93">
        <v>27.0</v>
      </c>
      <c r="AN12" s="93">
        <v>54.0</v>
      </c>
      <c r="AO12" s="92">
        <v>365.0</v>
      </c>
      <c r="AP12" s="91" t="s">
        <v>207</v>
      </c>
      <c r="AQ12" s="91" t="s">
        <v>208</v>
      </c>
      <c r="AR12" s="92">
        <v>0.0</v>
      </c>
      <c r="AS12" s="93">
        <v>0.0</v>
      </c>
      <c r="AT12" s="92">
        <v>0.0</v>
      </c>
      <c r="AU12" s="92">
        <v>54.3</v>
      </c>
      <c r="AV12" s="93">
        <v>8.0</v>
      </c>
      <c r="AW12" s="93">
        <v>26.0</v>
      </c>
      <c r="AX12" s="93" t="s">
        <v>209</v>
      </c>
      <c r="AY12" s="78" t="s">
        <v>222</v>
      </c>
    </row>
    <row r="13">
      <c r="A13" s="78" t="s">
        <v>238</v>
      </c>
      <c r="B13" s="85">
        <v>11.86</v>
      </c>
      <c r="C13" s="85">
        <v>0.0</v>
      </c>
      <c r="D13" s="85">
        <v>0.0</v>
      </c>
      <c r="E13" s="85">
        <v>730.0</v>
      </c>
      <c r="F13" s="85">
        <v>730.0</v>
      </c>
      <c r="G13" s="78" t="s">
        <v>177</v>
      </c>
      <c r="H13" s="85" t="s">
        <v>212</v>
      </c>
      <c r="I13" s="86"/>
      <c r="J13" s="78" t="s">
        <v>177</v>
      </c>
      <c r="K13" s="78" t="s">
        <v>218</v>
      </c>
      <c r="L13" s="87"/>
      <c r="M13" s="87"/>
      <c r="N13" s="86"/>
      <c r="O13" s="86"/>
      <c r="P13" s="78" t="s">
        <v>175</v>
      </c>
      <c r="Q13" s="78" t="s">
        <v>219</v>
      </c>
      <c r="R13" s="78" t="s">
        <v>177</v>
      </c>
      <c r="S13" s="78" t="s">
        <v>239</v>
      </c>
      <c r="T13" s="78" t="s">
        <v>234</v>
      </c>
      <c r="U13" s="88"/>
      <c r="V13" s="78" t="s">
        <v>216</v>
      </c>
      <c r="W13" s="88"/>
      <c r="X13" s="89" t="s">
        <v>183</v>
      </c>
      <c r="Y13" s="90" t="s">
        <v>184</v>
      </c>
      <c r="Z13" s="89" t="s">
        <v>185</v>
      </c>
      <c r="AA13" s="91" t="s">
        <v>177</v>
      </c>
      <c r="AB13" s="91" t="s">
        <v>186</v>
      </c>
      <c r="AC13" s="85">
        <v>10.0</v>
      </c>
      <c r="AD13" s="85">
        <v>80.0</v>
      </c>
      <c r="AE13" s="85">
        <v>90.0</v>
      </c>
      <c r="AF13" s="85">
        <v>95.0</v>
      </c>
      <c r="AG13" s="85">
        <v>92.0</v>
      </c>
      <c r="AH13" s="85">
        <v>11.86</v>
      </c>
      <c r="AI13" s="85">
        <v>3.5</v>
      </c>
      <c r="AJ13" s="85">
        <v>100.0</v>
      </c>
      <c r="AK13" s="85">
        <v>85.0</v>
      </c>
      <c r="AL13" s="92">
        <v>50.3</v>
      </c>
      <c r="AM13" s="93">
        <v>44.0</v>
      </c>
      <c r="AN13" s="93">
        <v>72.0</v>
      </c>
      <c r="AO13" s="92">
        <v>730.0</v>
      </c>
      <c r="AP13" s="91" t="s">
        <v>207</v>
      </c>
      <c r="AQ13" s="91" t="s">
        <v>208</v>
      </c>
      <c r="AR13" s="92">
        <v>1.0</v>
      </c>
      <c r="AS13" s="93">
        <v>1.0</v>
      </c>
      <c r="AT13" s="92">
        <v>7.0</v>
      </c>
      <c r="AU13" s="92">
        <v>43.3</v>
      </c>
      <c r="AV13" s="93">
        <v>27.0</v>
      </c>
      <c r="AW13" s="93">
        <v>52.0</v>
      </c>
      <c r="AX13" s="93" t="s">
        <v>209</v>
      </c>
      <c r="AY13" s="78" t="s">
        <v>222</v>
      </c>
    </row>
    <row r="14">
      <c r="A14" s="78" t="s">
        <v>240</v>
      </c>
      <c r="B14" s="85">
        <v>11.8</v>
      </c>
      <c r="C14" s="85">
        <v>0.0</v>
      </c>
      <c r="D14" s="85">
        <v>0.0</v>
      </c>
      <c r="E14" s="85">
        <v>1095.0</v>
      </c>
      <c r="F14" s="85">
        <v>1095.0</v>
      </c>
      <c r="G14" s="78" t="s">
        <v>177</v>
      </c>
      <c r="H14" s="85" t="s">
        <v>212</v>
      </c>
      <c r="I14" s="86"/>
      <c r="J14" s="78" t="s">
        <v>177</v>
      </c>
      <c r="K14" s="78" t="s">
        <v>218</v>
      </c>
      <c r="L14" s="87"/>
      <c r="M14" s="87"/>
      <c r="N14" s="86"/>
      <c r="O14" s="86"/>
      <c r="P14" s="78" t="s">
        <v>175</v>
      </c>
      <c r="Q14" s="78" t="s">
        <v>219</v>
      </c>
      <c r="R14" s="78" t="s">
        <v>177</v>
      </c>
      <c r="S14" s="78" t="s">
        <v>241</v>
      </c>
      <c r="T14" s="78" t="s">
        <v>234</v>
      </c>
      <c r="U14" s="88"/>
      <c r="V14" s="78" t="s">
        <v>216</v>
      </c>
      <c r="W14" s="88"/>
      <c r="X14" s="89" t="s">
        <v>183</v>
      </c>
      <c r="Y14" s="90" t="s">
        <v>184</v>
      </c>
      <c r="Z14" s="89" t="s">
        <v>185</v>
      </c>
      <c r="AA14" s="91" t="s">
        <v>177</v>
      </c>
      <c r="AB14" s="91" t="s">
        <v>186</v>
      </c>
      <c r="AC14" s="85">
        <v>10.0</v>
      </c>
      <c r="AD14" s="85">
        <v>80.0</v>
      </c>
      <c r="AE14" s="85">
        <v>90.0</v>
      </c>
      <c r="AF14" s="85">
        <v>95.0</v>
      </c>
      <c r="AG14" s="85">
        <v>92.0</v>
      </c>
      <c r="AH14" s="85">
        <v>11.8</v>
      </c>
      <c r="AI14" s="85">
        <v>3.1</v>
      </c>
      <c r="AJ14" s="85">
        <v>100.0</v>
      </c>
      <c r="AK14" s="85">
        <v>85.0</v>
      </c>
      <c r="AL14" s="92">
        <v>50.2</v>
      </c>
      <c r="AM14" s="93">
        <v>45.0</v>
      </c>
      <c r="AN14" s="93">
        <v>73.0</v>
      </c>
      <c r="AO14" s="92">
        <v>1095.0</v>
      </c>
      <c r="AP14" s="91" t="s">
        <v>207</v>
      </c>
      <c r="AQ14" s="91" t="s">
        <v>208</v>
      </c>
      <c r="AR14" s="92">
        <v>1.0</v>
      </c>
      <c r="AS14" s="93">
        <v>1.0</v>
      </c>
      <c r="AT14" s="92">
        <v>7.0</v>
      </c>
      <c r="AU14" s="92">
        <v>43.2</v>
      </c>
      <c r="AV14" s="93">
        <v>28.0</v>
      </c>
      <c r="AW14" s="93">
        <v>53.0</v>
      </c>
      <c r="AX14" s="93" t="s">
        <v>209</v>
      </c>
      <c r="AY14" s="78" t="s">
        <v>222</v>
      </c>
    </row>
    <row r="15">
      <c r="A15" s="78" t="s">
        <v>242</v>
      </c>
      <c r="B15" s="85">
        <v>92.0</v>
      </c>
      <c r="C15" s="85">
        <v>0.0</v>
      </c>
      <c r="D15" s="85">
        <v>0.0</v>
      </c>
      <c r="E15" s="85">
        <v>180.0</v>
      </c>
      <c r="F15" s="85">
        <v>180.0</v>
      </c>
      <c r="G15" s="78" t="s">
        <v>177</v>
      </c>
      <c r="H15" s="85" t="s">
        <v>212</v>
      </c>
      <c r="I15" s="86"/>
      <c r="J15" s="78" t="s">
        <v>177</v>
      </c>
      <c r="K15" s="78" t="s">
        <v>243</v>
      </c>
      <c r="L15" s="87"/>
      <c r="M15" s="87"/>
      <c r="N15" s="86"/>
      <c r="O15" s="86"/>
      <c r="P15" s="78" t="s">
        <v>175</v>
      </c>
      <c r="Q15" s="78" t="s">
        <v>202</v>
      </c>
      <c r="R15" s="78" t="s">
        <v>177</v>
      </c>
      <c r="S15" s="78" t="s">
        <v>244</v>
      </c>
      <c r="T15" s="78" t="s">
        <v>245</v>
      </c>
      <c r="U15" s="88"/>
      <c r="V15" s="78" t="s">
        <v>216</v>
      </c>
      <c r="W15" s="88"/>
      <c r="X15" s="98" t="s">
        <v>246</v>
      </c>
      <c r="Y15" s="95" t="s">
        <v>184</v>
      </c>
      <c r="Z15" s="98" t="s">
        <v>226</v>
      </c>
      <c r="AA15" s="91" t="s">
        <v>177</v>
      </c>
      <c r="AB15" s="91" t="s">
        <v>227</v>
      </c>
      <c r="AC15" s="85">
        <v>45.0</v>
      </c>
      <c r="AD15" s="85">
        <v>80.0</v>
      </c>
      <c r="AE15" s="85">
        <v>90.0</v>
      </c>
      <c r="AF15" s="85">
        <v>95.0</v>
      </c>
      <c r="AG15" s="85">
        <v>92.0</v>
      </c>
      <c r="AH15" s="85">
        <v>12.88</v>
      </c>
      <c r="AI15" s="85">
        <v>10.2</v>
      </c>
      <c r="AJ15" s="85">
        <v>100.0</v>
      </c>
      <c r="AK15" s="85">
        <v>85.0</v>
      </c>
      <c r="AL15" s="92">
        <v>60.5</v>
      </c>
      <c r="AM15" s="93">
        <v>9.0</v>
      </c>
      <c r="AN15" s="93">
        <v>25.0</v>
      </c>
      <c r="AO15" s="92">
        <v>180.0</v>
      </c>
      <c r="AP15" s="91" t="s">
        <v>207</v>
      </c>
      <c r="AQ15" s="91" t="s">
        <v>208</v>
      </c>
      <c r="AR15" s="92">
        <v>0.0</v>
      </c>
      <c r="AS15" s="93">
        <v>0.0</v>
      </c>
      <c r="AT15" s="92">
        <v>0.0</v>
      </c>
      <c r="AU15" s="92">
        <v>60.5</v>
      </c>
      <c r="AV15" s="93">
        <v>6.0</v>
      </c>
      <c r="AW15" s="93">
        <v>16.0</v>
      </c>
      <c r="AX15" s="93" t="s">
        <v>209</v>
      </c>
      <c r="AY15" s="78" t="s">
        <v>210</v>
      </c>
    </row>
    <row r="16">
      <c r="A16" s="78" t="s">
        <v>247</v>
      </c>
      <c r="B16" s="85">
        <v>100.0</v>
      </c>
      <c r="C16" s="85">
        <v>0.0</v>
      </c>
      <c r="D16" s="85">
        <v>0.0</v>
      </c>
      <c r="E16" s="85">
        <v>360.0</v>
      </c>
      <c r="F16" s="85">
        <v>360.0</v>
      </c>
      <c r="G16" s="78" t="s">
        <v>177</v>
      </c>
      <c r="H16" s="85" t="s">
        <v>212</v>
      </c>
      <c r="I16" s="86"/>
      <c r="J16" s="78" t="s">
        <v>177</v>
      </c>
      <c r="K16" s="78" t="s">
        <v>243</v>
      </c>
      <c r="L16" s="87"/>
      <c r="M16" s="87"/>
      <c r="N16" s="86"/>
      <c r="O16" s="86"/>
      <c r="P16" s="78" t="s">
        <v>175</v>
      </c>
      <c r="Q16" s="78" t="s">
        <v>202</v>
      </c>
      <c r="R16" s="78" t="s">
        <v>177</v>
      </c>
      <c r="S16" s="78" t="s">
        <v>248</v>
      </c>
      <c r="T16" s="91" t="s">
        <v>249</v>
      </c>
      <c r="U16" s="88"/>
      <c r="V16" s="78" t="s">
        <v>182</v>
      </c>
      <c r="W16" s="88"/>
      <c r="X16" s="98" t="s">
        <v>246</v>
      </c>
      <c r="Y16" s="95" t="s">
        <v>184</v>
      </c>
      <c r="Z16" s="98" t="s">
        <v>226</v>
      </c>
      <c r="AA16" s="91" t="s">
        <v>177</v>
      </c>
      <c r="AB16" s="91" t="s">
        <v>186</v>
      </c>
      <c r="AC16" s="85">
        <v>25.0</v>
      </c>
      <c r="AD16" s="85">
        <v>80.0</v>
      </c>
      <c r="AE16" s="85">
        <v>90.0</v>
      </c>
      <c r="AF16" s="85">
        <v>60.0</v>
      </c>
      <c r="AG16" s="85">
        <v>78.0</v>
      </c>
      <c r="AH16" s="85">
        <v>14.0</v>
      </c>
      <c r="AI16" s="85">
        <v>17.5</v>
      </c>
      <c r="AJ16" s="85">
        <v>100.0</v>
      </c>
      <c r="AK16" s="85">
        <v>85.0</v>
      </c>
      <c r="AL16" s="92">
        <v>54.4</v>
      </c>
      <c r="AM16" s="93">
        <v>26.0</v>
      </c>
      <c r="AN16" s="93">
        <v>53.0</v>
      </c>
      <c r="AO16" s="92">
        <v>360.0</v>
      </c>
      <c r="AP16" s="91" t="s">
        <v>207</v>
      </c>
      <c r="AQ16" s="91" t="s">
        <v>208</v>
      </c>
      <c r="AR16" s="92">
        <v>0.0</v>
      </c>
      <c r="AS16" s="93">
        <v>0.0</v>
      </c>
      <c r="AT16" s="92">
        <v>0.0</v>
      </c>
      <c r="AU16" s="92">
        <v>54.4</v>
      </c>
      <c r="AV16" s="93">
        <v>7.0</v>
      </c>
      <c r="AW16" s="93">
        <v>25.0</v>
      </c>
      <c r="AX16" s="93" t="s">
        <v>209</v>
      </c>
      <c r="AY16" s="78" t="s">
        <v>210</v>
      </c>
    </row>
    <row r="17">
      <c r="A17" s="78" t="s">
        <v>250</v>
      </c>
      <c r="B17" s="85">
        <v>115.0</v>
      </c>
      <c r="C17" s="85">
        <v>0.0</v>
      </c>
      <c r="D17" s="85">
        <v>0.0</v>
      </c>
      <c r="E17" s="85">
        <v>0.0</v>
      </c>
      <c r="F17" s="85">
        <v>0.0</v>
      </c>
      <c r="G17" s="78" t="s">
        <v>175</v>
      </c>
      <c r="H17" s="85" t="s">
        <v>251</v>
      </c>
      <c r="I17" s="85">
        <v>5000.0</v>
      </c>
      <c r="J17" s="78" t="s">
        <v>177</v>
      </c>
      <c r="K17" s="78" t="s">
        <v>252</v>
      </c>
      <c r="L17" s="87"/>
      <c r="M17" s="87"/>
      <c r="N17" s="86"/>
      <c r="O17" s="86"/>
      <c r="P17" s="78" t="s">
        <v>175</v>
      </c>
      <c r="Q17" s="78" t="s">
        <v>202</v>
      </c>
      <c r="R17" s="78" t="s">
        <v>175</v>
      </c>
      <c r="S17" s="78" t="s">
        <v>253</v>
      </c>
      <c r="T17" s="78" t="s">
        <v>254</v>
      </c>
      <c r="U17" s="88"/>
      <c r="V17" s="78" t="s">
        <v>216</v>
      </c>
      <c r="W17" s="88"/>
      <c r="X17" s="94" t="s">
        <v>194</v>
      </c>
      <c r="Y17" s="90" t="s">
        <v>255</v>
      </c>
      <c r="Z17" s="94" t="s">
        <v>226</v>
      </c>
      <c r="AA17" s="91" t="s">
        <v>177</v>
      </c>
      <c r="AB17" s="91" t="s">
        <v>206</v>
      </c>
      <c r="AC17" s="85">
        <v>100.0</v>
      </c>
      <c r="AD17" s="85">
        <v>100.0</v>
      </c>
      <c r="AE17" s="85">
        <v>70.0</v>
      </c>
      <c r="AF17" s="85">
        <v>95.0</v>
      </c>
      <c r="AG17" s="85">
        <v>80.0</v>
      </c>
      <c r="AH17" s="85">
        <v>16.1</v>
      </c>
      <c r="AI17" s="85">
        <v>31.2</v>
      </c>
      <c r="AJ17" s="85">
        <v>85.0</v>
      </c>
      <c r="AK17" s="85">
        <v>85.0</v>
      </c>
      <c r="AL17" s="92">
        <v>78.6</v>
      </c>
      <c r="AM17" s="93">
        <v>2.0</v>
      </c>
      <c r="AN17" s="93">
        <v>3.0</v>
      </c>
      <c r="AO17" s="92">
        <v>0.0</v>
      </c>
      <c r="AP17" s="91" t="s">
        <v>207</v>
      </c>
      <c r="AQ17" s="91" t="s">
        <v>208</v>
      </c>
      <c r="AR17" s="92">
        <v>1.0</v>
      </c>
      <c r="AS17" s="93">
        <v>0.0</v>
      </c>
      <c r="AT17" s="92">
        <v>7.0</v>
      </c>
      <c r="AU17" s="92">
        <v>71.6</v>
      </c>
      <c r="AV17" s="93">
        <v>2.0</v>
      </c>
      <c r="AW17" s="93">
        <v>5.0</v>
      </c>
      <c r="AX17" s="93" t="s">
        <v>209</v>
      </c>
      <c r="AY17" s="78" t="s">
        <v>210</v>
      </c>
    </row>
    <row r="18">
      <c r="A18" s="78" t="s">
        <v>109</v>
      </c>
      <c r="B18" s="85">
        <v>120.0</v>
      </c>
      <c r="C18" s="85">
        <v>0.0</v>
      </c>
      <c r="D18" s="85">
        <v>0.0</v>
      </c>
      <c r="E18" s="85">
        <v>0.0</v>
      </c>
      <c r="F18" s="85">
        <v>0.0</v>
      </c>
      <c r="G18" s="78" t="s">
        <v>175</v>
      </c>
      <c r="H18" s="85" t="s">
        <v>251</v>
      </c>
      <c r="I18" s="85">
        <v>10000.0</v>
      </c>
      <c r="J18" s="78" t="s">
        <v>177</v>
      </c>
      <c r="K18" s="78" t="s">
        <v>252</v>
      </c>
      <c r="L18" s="87"/>
      <c r="M18" s="87"/>
      <c r="N18" s="86"/>
      <c r="O18" s="86"/>
      <c r="P18" s="78" t="s">
        <v>175</v>
      </c>
      <c r="Q18" s="78" t="s">
        <v>202</v>
      </c>
      <c r="R18" s="78" t="s">
        <v>175</v>
      </c>
      <c r="S18" s="78" t="s">
        <v>256</v>
      </c>
      <c r="T18" s="78" t="s">
        <v>254</v>
      </c>
      <c r="U18" s="88"/>
      <c r="V18" s="78" t="s">
        <v>216</v>
      </c>
      <c r="W18" s="88"/>
      <c r="X18" s="94" t="s">
        <v>194</v>
      </c>
      <c r="Y18" s="90" t="s">
        <v>255</v>
      </c>
      <c r="Z18" s="94" t="s">
        <v>226</v>
      </c>
      <c r="AA18" s="91" t="s">
        <v>177</v>
      </c>
      <c r="AB18" s="91" t="s">
        <v>206</v>
      </c>
      <c r="AC18" s="85">
        <v>100.0</v>
      </c>
      <c r="AD18" s="85">
        <v>100.0</v>
      </c>
      <c r="AE18" s="85">
        <v>70.0</v>
      </c>
      <c r="AF18" s="85">
        <v>95.0</v>
      </c>
      <c r="AG18" s="85">
        <v>80.0</v>
      </c>
      <c r="AH18" s="85">
        <v>16.8</v>
      </c>
      <c r="AI18" s="85">
        <v>35.8</v>
      </c>
      <c r="AJ18" s="85">
        <v>85.0</v>
      </c>
      <c r="AK18" s="85">
        <v>85.0</v>
      </c>
      <c r="AL18" s="92">
        <v>79.6</v>
      </c>
      <c r="AM18" s="93">
        <v>1.0</v>
      </c>
      <c r="AN18" s="93">
        <v>2.0</v>
      </c>
      <c r="AO18" s="92">
        <v>0.0</v>
      </c>
      <c r="AP18" s="91" t="s">
        <v>207</v>
      </c>
      <c r="AQ18" s="91" t="s">
        <v>208</v>
      </c>
      <c r="AR18" s="92">
        <v>0.0</v>
      </c>
      <c r="AS18" s="93">
        <v>0.0</v>
      </c>
      <c r="AT18" s="92">
        <v>0.0</v>
      </c>
      <c r="AU18" s="92">
        <v>79.6</v>
      </c>
      <c r="AV18" s="93">
        <v>1.0</v>
      </c>
      <c r="AW18" s="93">
        <v>2.0</v>
      </c>
      <c r="AX18" s="93" t="s">
        <v>209</v>
      </c>
      <c r="AY18" s="78" t="s">
        <v>210</v>
      </c>
    </row>
    <row r="19">
      <c r="A19" s="78" t="s">
        <v>257</v>
      </c>
      <c r="B19" s="85">
        <v>110.37</v>
      </c>
      <c r="C19" s="85">
        <v>0.0</v>
      </c>
      <c r="D19" s="85">
        <v>0.0</v>
      </c>
      <c r="E19" s="85">
        <v>1.0</v>
      </c>
      <c r="F19" s="85">
        <v>0.0</v>
      </c>
      <c r="G19" s="78" t="s">
        <v>175</v>
      </c>
      <c r="H19" s="85" t="s">
        <v>176</v>
      </c>
      <c r="I19" s="86"/>
      <c r="J19" s="78" t="s">
        <v>177</v>
      </c>
      <c r="K19" s="78" t="s">
        <v>213</v>
      </c>
      <c r="L19" s="87"/>
      <c r="M19" s="87"/>
      <c r="N19" s="86"/>
      <c r="O19" s="86"/>
      <c r="P19" s="78" t="s">
        <v>175</v>
      </c>
      <c r="Q19" s="78" t="s">
        <v>202</v>
      </c>
      <c r="R19" s="78" t="s">
        <v>175</v>
      </c>
      <c r="S19" s="78" t="s">
        <v>258</v>
      </c>
      <c r="T19" s="78" t="s">
        <v>259</v>
      </c>
      <c r="U19" s="88"/>
      <c r="V19" s="78" t="s">
        <v>216</v>
      </c>
      <c r="W19" s="88"/>
      <c r="X19" s="94" t="s">
        <v>194</v>
      </c>
      <c r="Y19" s="90" t="s">
        <v>184</v>
      </c>
      <c r="Z19" s="94" t="s">
        <v>226</v>
      </c>
      <c r="AA19" s="91" t="s">
        <v>177</v>
      </c>
      <c r="AB19" s="91" t="s">
        <v>186</v>
      </c>
      <c r="AC19" s="85">
        <v>25.0</v>
      </c>
      <c r="AD19" s="85">
        <v>100.0</v>
      </c>
      <c r="AE19" s="85">
        <v>70.0</v>
      </c>
      <c r="AF19" s="85">
        <v>95.0</v>
      </c>
      <c r="AG19" s="85">
        <v>80.0</v>
      </c>
      <c r="AH19" s="85">
        <v>15.45</v>
      </c>
      <c r="AI19" s="85">
        <v>27.0</v>
      </c>
      <c r="AJ19" s="85">
        <v>60.0</v>
      </c>
      <c r="AK19" s="85">
        <v>85.0</v>
      </c>
      <c r="AL19" s="92">
        <v>56.4</v>
      </c>
      <c r="AM19" s="93">
        <v>17.0</v>
      </c>
      <c r="AN19" s="93">
        <v>43.0</v>
      </c>
      <c r="AO19" s="92">
        <v>181.0</v>
      </c>
      <c r="AP19" s="91" t="s">
        <v>187</v>
      </c>
      <c r="AQ19" s="91" t="s">
        <v>188</v>
      </c>
      <c r="AR19" s="92">
        <v>0.0</v>
      </c>
      <c r="AS19" s="93">
        <v>0.0</v>
      </c>
      <c r="AT19" s="92">
        <v>0.0</v>
      </c>
      <c r="AU19" s="92">
        <v>56.4</v>
      </c>
      <c r="AV19" s="93">
        <v>5.0</v>
      </c>
      <c r="AW19" s="93">
        <v>22.0</v>
      </c>
      <c r="AX19" s="93" t="s">
        <v>209</v>
      </c>
      <c r="AY19" s="78" t="s">
        <v>190</v>
      </c>
    </row>
    <row r="20">
      <c r="A20" s="78" t="s">
        <v>260</v>
      </c>
      <c r="B20" s="85">
        <v>100.0</v>
      </c>
      <c r="C20" s="85">
        <v>0.0</v>
      </c>
      <c r="D20" s="85">
        <v>0.0</v>
      </c>
      <c r="E20" s="85">
        <v>90.0</v>
      </c>
      <c r="F20" s="85">
        <v>90.0</v>
      </c>
      <c r="G20" s="78" t="s">
        <v>175</v>
      </c>
      <c r="H20" s="85" t="s">
        <v>261</v>
      </c>
      <c r="I20" s="86"/>
      <c r="J20" s="78" t="s">
        <v>175</v>
      </c>
      <c r="K20" s="78" t="s">
        <v>262</v>
      </c>
      <c r="L20" s="88"/>
      <c r="M20" s="88"/>
      <c r="N20" s="86"/>
      <c r="O20" s="86"/>
      <c r="P20" s="78" t="s">
        <v>177</v>
      </c>
      <c r="Q20" s="78" t="s">
        <v>202</v>
      </c>
      <c r="R20" s="78" t="s">
        <v>177</v>
      </c>
      <c r="S20" s="78" t="s">
        <v>263</v>
      </c>
      <c r="T20" s="91" t="s">
        <v>264</v>
      </c>
      <c r="U20" s="88"/>
      <c r="V20" s="78" t="s">
        <v>182</v>
      </c>
      <c r="W20" s="88"/>
      <c r="X20" s="89" t="s">
        <v>183</v>
      </c>
      <c r="Y20" s="95" t="s">
        <v>265</v>
      </c>
      <c r="Z20" s="89" t="s">
        <v>185</v>
      </c>
      <c r="AA20" s="91" t="s">
        <v>175</v>
      </c>
      <c r="AB20" s="91" t="s">
        <v>227</v>
      </c>
      <c r="AC20" s="85">
        <v>45.0</v>
      </c>
      <c r="AD20" s="85">
        <v>90.0</v>
      </c>
      <c r="AE20" s="85">
        <v>90.0</v>
      </c>
      <c r="AF20" s="85">
        <v>60.0</v>
      </c>
      <c r="AG20" s="85">
        <v>78.0</v>
      </c>
      <c r="AH20" s="85">
        <v>14.0</v>
      </c>
      <c r="AI20" s="85">
        <v>17.5</v>
      </c>
      <c r="AJ20" s="85">
        <v>75.0</v>
      </c>
      <c r="AK20" s="85">
        <v>85.0</v>
      </c>
      <c r="AL20" s="92">
        <v>58.6</v>
      </c>
      <c r="AM20" s="99"/>
      <c r="AN20" s="99"/>
      <c r="AO20" s="92">
        <v>90.0</v>
      </c>
      <c r="AP20" s="91" t="s">
        <v>207</v>
      </c>
      <c r="AQ20" s="91" t="s">
        <v>208</v>
      </c>
      <c r="AR20" s="100"/>
      <c r="AS20" s="99"/>
      <c r="AT20" s="100"/>
      <c r="AU20" s="100"/>
      <c r="AV20" s="99"/>
      <c r="AW20" s="99"/>
      <c r="AX20" s="93" t="s">
        <v>266</v>
      </c>
      <c r="AY20" s="78" t="s">
        <v>210</v>
      </c>
    </row>
    <row r="21">
      <c r="A21" s="78" t="s">
        <v>267</v>
      </c>
      <c r="B21" s="85">
        <v>100.0</v>
      </c>
      <c r="C21" s="85">
        <v>0.0</v>
      </c>
      <c r="D21" s="85">
        <v>0.0</v>
      </c>
      <c r="E21" s="85">
        <v>180.0</v>
      </c>
      <c r="F21" s="85">
        <v>180.0</v>
      </c>
      <c r="G21" s="78" t="s">
        <v>175</v>
      </c>
      <c r="H21" s="85" t="s">
        <v>261</v>
      </c>
      <c r="I21" s="86"/>
      <c r="J21" s="78" t="s">
        <v>175</v>
      </c>
      <c r="K21" s="78" t="s">
        <v>262</v>
      </c>
      <c r="L21" s="88"/>
      <c r="M21" s="88"/>
      <c r="N21" s="86"/>
      <c r="O21" s="86"/>
      <c r="P21" s="78" t="s">
        <v>177</v>
      </c>
      <c r="Q21" s="78" t="s">
        <v>202</v>
      </c>
      <c r="R21" s="78" t="s">
        <v>177</v>
      </c>
      <c r="S21" s="78" t="s">
        <v>263</v>
      </c>
      <c r="T21" s="91" t="s">
        <v>264</v>
      </c>
      <c r="U21" s="88"/>
      <c r="V21" s="78" t="s">
        <v>182</v>
      </c>
      <c r="W21" s="88"/>
      <c r="X21" s="89" t="s">
        <v>183</v>
      </c>
      <c r="Y21" s="95" t="s">
        <v>265</v>
      </c>
      <c r="Z21" s="89" t="s">
        <v>185</v>
      </c>
      <c r="AA21" s="91" t="s">
        <v>175</v>
      </c>
      <c r="AB21" s="91" t="s">
        <v>227</v>
      </c>
      <c r="AC21" s="85">
        <v>45.0</v>
      </c>
      <c r="AD21" s="85">
        <v>90.0</v>
      </c>
      <c r="AE21" s="85">
        <v>90.0</v>
      </c>
      <c r="AF21" s="85">
        <v>60.0</v>
      </c>
      <c r="AG21" s="85">
        <v>78.0</v>
      </c>
      <c r="AH21" s="85">
        <v>14.0</v>
      </c>
      <c r="AI21" s="85">
        <v>17.5</v>
      </c>
      <c r="AJ21" s="85">
        <v>75.0</v>
      </c>
      <c r="AK21" s="85">
        <v>85.0</v>
      </c>
      <c r="AL21" s="92">
        <v>58.6</v>
      </c>
      <c r="AM21" s="99"/>
      <c r="AN21" s="99"/>
      <c r="AO21" s="92">
        <v>180.0</v>
      </c>
      <c r="AP21" s="91" t="s">
        <v>207</v>
      </c>
      <c r="AQ21" s="91" t="s">
        <v>208</v>
      </c>
      <c r="AR21" s="100"/>
      <c r="AS21" s="99"/>
      <c r="AT21" s="100"/>
      <c r="AU21" s="100"/>
      <c r="AV21" s="99"/>
      <c r="AW21" s="99"/>
      <c r="AX21" s="93" t="s">
        <v>266</v>
      </c>
      <c r="AY21" s="78" t="s">
        <v>210</v>
      </c>
    </row>
    <row r="22">
      <c r="A22" s="78" t="s">
        <v>268</v>
      </c>
      <c r="B22" s="85">
        <v>109.0</v>
      </c>
      <c r="C22" s="85">
        <v>0.0</v>
      </c>
      <c r="D22" s="85">
        <v>0.0</v>
      </c>
      <c r="E22" s="85">
        <v>365.0</v>
      </c>
      <c r="F22" s="85">
        <v>365.0</v>
      </c>
      <c r="G22" s="78" t="s">
        <v>175</v>
      </c>
      <c r="H22" s="85" t="s">
        <v>176</v>
      </c>
      <c r="I22" s="86"/>
      <c r="J22" s="78" t="s">
        <v>177</v>
      </c>
      <c r="K22" s="78" t="s">
        <v>262</v>
      </c>
      <c r="L22" s="87"/>
      <c r="M22" s="87"/>
      <c r="N22" s="86"/>
      <c r="O22" s="86"/>
      <c r="P22" s="78" t="s">
        <v>175</v>
      </c>
      <c r="Q22" s="78" t="s">
        <v>202</v>
      </c>
      <c r="R22" s="78" t="s">
        <v>177</v>
      </c>
      <c r="S22" s="78" t="s">
        <v>269</v>
      </c>
      <c r="T22" s="78" t="s">
        <v>270</v>
      </c>
      <c r="U22" s="88"/>
      <c r="V22" s="78" t="s">
        <v>216</v>
      </c>
      <c r="W22" s="88"/>
      <c r="X22" s="89" t="s">
        <v>183</v>
      </c>
      <c r="Y22" s="90" t="s">
        <v>184</v>
      </c>
      <c r="Z22" s="89" t="s">
        <v>185</v>
      </c>
      <c r="AA22" s="91" t="s">
        <v>177</v>
      </c>
      <c r="AB22" s="91" t="s">
        <v>186</v>
      </c>
      <c r="AC22" s="85">
        <v>25.0</v>
      </c>
      <c r="AD22" s="85">
        <v>100.0</v>
      </c>
      <c r="AE22" s="85">
        <v>90.0</v>
      </c>
      <c r="AF22" s="85">
        <v>95.0</v>
      </c>
      <c r="AG22" s="85">
        <v>92.0</v>
      </c>
      <c r="AH22" s="85">
        <v>15.26</v>
      </c>
      <c r="AI22" s="85">
        <v>25.7</v>
      </c>
      <c r="AJ22" s="85">
        <v>75.0</v>
      </c>
      <c r="AK22" s="85">
        <v>85.0</v>
      </c>
      <c r="AL22" s="92">
        <v>60.1</v>
      </c>
      <c r="AM22" s="93">
        <v>3.0</v>
      </c>
      <c r="AN22" s="93">
        <v>26.0</v>
      </c>
      <c r="AO22" s="92">
        <v>365.0</v>
      </c>
      <c r="AP22" s="91" t="s">
        <v>207</v>
      </c>
      <c r="AQ22" s="91" t="s">
        <v>208</v>
      </c>
      <c r="AR22" s="92">
        <v>2.0</v>
      </c>
      <c r="AS22" s="93">
        <v>2.0</v>
      </c>
      <c r="AT22" s="92">
        <v>14.0</v>
      </c>
      <c r="AU22" s="92">
        <v>46.1</v>
      </c>
      <c r="AV22" s="93">
        <v>25.0</v>
      </c>
      <c r="AW22" s="93">
        <v>49.0</v>
      </c>
      <c r="AX22" s="93" t="s">
        <v>266</v>
      </c>
      <c r="AY22" s="78" t="s">
        <v>210</v>
      </c>
    </row>
    <row r="23">
      <c r="A23" s="78" t="s">
        <v>271</v>
      </c>
      <c r="B23" s="85">
        <v>110.0</v>
      </c>
      <c r="C23" s="85">
        <v>0.0</v>
      </c>
      <c r="D23" s="85">
        <v>0.0</v>
      </c>
      <c r="E23" s="85">
        <v>2190.0</v>
      </c>
      <c r="F23" s="85">
        <v>2190.0</v>
      </c>
      <c r="G23" s="78" t="s">
        <v>175</v>
      </c>
      <c r="H23" s="85" t="s">
        <v>176</v>
      </c>
      <c r="I23" s="86"/>
      <c r="J23" s="78" t="s">
        <v>177</v>
      </c>
      <c r="K23" s="78" t="s">
        <v>262</v>
      </c>
      <c r="L23" s="87"/>
      <c r="M23" s="87"/>
      <c r="N23" s="86"/>
      <c r="O23" s="86"/>
      <c r="P23" s="78" t="s">
        <v>175</v>
      </c>
      <c r="Q23" s="78" t="s">
        <v>202</v>
      </c>
      <c r="R23" s="78" t="s">
        <v>177</v>
      </c>
      <c r="S23" s="78" t="s">
        <v>272</v>
      </c>
      <c r="T23" s="78" t="s">
        <v>270</v>
      </c>
      <c r="U23" s="88"/>
      <c r="V23" s="78" t="s">
        <v>273</v>
      </c>
      <c r="W23" s="88"/>
      <c r="X23" s="89" t="s">
        <v>183</v>
      </c>
      <c r="Y23" s="90" t="s">
        <v>184</v>
      </c>
      <c r="Z23" s="89" t="s">
        <v>185</v>
      </c>
      <c r="AA23" s="91" t="s">
        <v>177</v>
      </c>
      <c r="AB23" s="91" t="s">
        <v>186</v>
      </c>
      <c r="AC23" s="85">
        <v>10.0</v>
      </c>
      <c r="AD23" s="85">
        <v>100.0</v>
      </c>
      <c r="AE23" s="85">
        <v>90.0</v>
      </c>
      <c r="AF23" s="85">
        <v>50.0</v>
      </c>
      <c r="AG23" s="85">
        <v>74.0</v>
      </c>
      <c r="AH23" s="85">
        <v>15.4</v>
      </c>
      <c r="AI23" s="85">
        <v>26.7</v>
      </c>
      <c r="AJ23" s="85">
        <v>75.0</v>
      </c>
      <c r="AK23" s="85">
        <v>85.0</v>
      </c>
      <c r="AL23" s="92">
        <v>52.9</v>
      </c>
      <c r="AM23" s="93">
        <v>33.0</v>
      </c>
      <c r="AN23" s="93">
        <v>61.0</v>
      </c>
      <c r="AO23" s="92">
        <v>2190.0</v>
      </c>
      <c r="AP23" s="91" t="s">
        <v>207</v>
      </c>
      <c r="AQ23" s="91" t="s">
        <v>208</v>
      </c>
      <c r="AR23" s="92">
        <v>5.0</v>
      </c>
      <c r="AS23" s="93">
        <v>3.0</v>
      </c>
      <c r="AT23" s="92">
        <v>18.0</v>
      </c>
      <c r="AU23" s="92">
        <v>34.9</v>
      </c>
      <c r="AV23" s="93">
        <v>41.0</v>
      </c>
      <c r="AW23" s="93">
        <v>69.0</v>
      </c>
      <c r="AX23" s="93" t="s">
        <v>266</v>
      </c>
      <c r="AY23" s="78" t="s">
        <v>210</v>
      </c>
    </row>
    <row r="24">
      <c r="A24" s="78" t="s">
        <v>274</v>
      </c>
      <c r="B24" s="85">
        <v>111.0</v>
      </c>
      <c r="C24" s="85">
        <v>0.0</v>
      </c>
      <c r="D24" s="85">
        <v>0.0</v>
      </c>
      <c r="E24" s="85">
        <v>730.0</v>
      </c>
      <c r="F24" s="85">
        <v>730.0</v>
      </c>
      <c r="G24" s="78" t="s">
        <v>175</v>
      </c>
      <c r="H24" s="85" t="s">
        <v>176</v>
      </c>
      <c r="I24" s="86"/>
      <c r="J24" s="78" t="s">
        <v>177</v>
      </c>
      <c r="K24" s="78" t="s">
        <v>262</v>
      </c>
      <c r="L24" s="87"/>
      <c r="M24" s="87"/>
      <c r="N24" s="86"/>
      <c r="O24" s="86"/>
      <c r="P24" s="78" t="s">
        <v>175</v>
      </c>
      <c r="Q24" s="78" t="s">
        <v>202</v>
      </c>
      <c r="R24" s="78" t="s">
        <v>177</v>
      </c>
      <c r="S24" s="78" t="s">
        <v>275</v>
      </c>
      <c r="T24" s="78" t="s">
        <v>270</v>
      </c>
      <c r="U24" s="88"/>
      <c r="V24" s="78" t="s">
        <v>216</v>
      </c>
      <c r="W24" s="88"/>
      <c r="X24" s="89" t="s">
        <v>183</v>
      </c>
      <c r="Y24" s="90" t="s">
        <v>184</v>
      </c>
      <c r="Z24" s="89" t="s">
        <v>185</v>
      </c>
      <c r="AA24" s="91" t="s">
        <v>177</v>
      </c>
      <c r="AB24" s="91" t="s">
        <v>186</v>
      </c>
      <c r="AC24" s="85">
        <v>10.0</v>
      </c>
      <c r="AD24" s="85">
        <v>100.0</v>
      </c>
      <c r="AE24" s="85">
        <v>90.0</v>
      </c>
      <c r="AF24" s="85">
        <v>95.0</v>
      </c>
      <c r="AG24" s="85">
        <v>92.0</v>
      </c>
      <c r="AH24" s="85">
        <v>15.54</v>
      </c>
      <c r="AI24" s="85">
        <v>27.6</v>
      </c>
      <c r="AJ24" s="85">
        <v>75.0</v>
      </c>
      <c r="AK24" s="85">
        <v>85.0</v>
      </c>
      <c r="AL24" s="92">
        <v>56.7</v>
      </c>
      <c r="AM24" s="93">
        <v>10.0</v>
      </c>
      <c r="AN24" s="93">
        <v>36.0</v>
      </c>
      <c r="AO24" s="92">
        <v>730.0</v>
      </c>
      <c r="AP24" s="91" t="s">
        <v>207</v>
      </c>
      <c r="AQ24" s="91" t="s">
        <v>208</v>
      </c>
      <c r="AR24" s="92">
        <v>3.0</v>
      </c>
      <c r="AS24" s="93">
        <v>2.0</v>
      </c>
      <c r="AT24" s="92">
        <v>18.0</v>
      </c>
      <c r="AU24" s="92">
        <v>38.7</v>
      </c>
      <c r="AV24" s="93">
        <v>32.0</v>
      </c>
      <c r="AW24" s="93">
        <v>59.0</v>
      </c>
      <c r="AX24" s="93" t="s">
        <v>266</v>
      </c>
      <c r="AY24" s="78" t="s">
        <v>210</v>
      </c>
    </row>
    <row r="25">
      <c r="A25" s="78" t="s">
        <v>276</v>
      </c>
      <c r="B25" s="85">
        <v>112.0</v>
      </c>
      <c r="C25" s="85">
        <v>0.0</v>
      </c>
      <c r="D25" s="85">
        <v>0.0</v>
      </c>
      <c r="E25" s="85">
        <v>1095.0</v>
      </c>
      <c r="F25" s="85">
        <v>1095.0</v>
      </c>
      <c r="G25" s="78" t="s">
        <v>175</v>
      </c>
      <c r="H25" s="85" t="s">
        <v>176</v>
      </c>
      <c r="I25" s="86"/>
      <c r="J25" s="78" t="s">
        <v>177</v>
      </c>
      <c r="K25" s="78" t="s">
        <v>262</v>
      </c>
      <c r="L25" s="87"/>
      <c r="M25" s="87"/>
      <c r="N25" s="86"/>
      <c r="O25" s="86"/>
      <c r="P25" s="78" t="s">
        <v>175</v>
      </c>
      <c r="Q25" s="78" t="s">
        <v>202</v>
      </c>
      <c r="R25" s="78" t="s">
        <v>177</v>
      </c>
      <c r="S25" s="78" t="s">
        <v>275</v>
      </c>
      <c r="T25" s="78" t="s">
        <v>270</v>
      </c>
      <c r="U25" s="88"/>
      <c r="V25" s="78" t="s">
        <v>216</v>
      </c>
      <c r="W25" s="88"/>
      <c r="X25" s="89" t="s">
        <v>183</v>
      </c>
      <c r="Y25" s="90" t="s">
        <v>184</v>
      </c>
      <c r="Z25" s="89" t="s">
        <v>185</v>
      </c>
      <c r="AA25" s="91" t="s">
        <v>177</v>
      </c>
      <c r="AB25" s="91" t="s">
        <v>186</v>
      </c>
      <c r="AC25" s="85">
        <v>10.0</v>
      </c>
      <c r="AD25" s="85">
        <v>100.0</v>
      </c>
      <c r="AE25" s="85">
        <v>90.0</v>
      </c>
      <c r="AF25" s="85">
        <v>95.0</v>
      </c>
      <c r="AG25" s="85">
        <v>92.0</v>
      </c>
      <c r="AH25" s="85">
        <v>15.68</v>
      </c>
      <c r="AI25" s="85">
        <v>28.5</v>
      </c>
      <c r="AJ25" s="85">
        <v>75.0</v>
      </c>
      <c r="AK25" s="85">
        <v>85.0</v>
      </c>
      <c r="AL25" s="92">
        <v>56.9</v>
      </c>
      <c r="AM25" s="93">
        <v>8.0</v>
      </c>
      <c r="AN25" s="93">
        <v>34.0</v>
      </c>
      <c r="AO25" s="92">
        <v>1095.0</v>
      </c>
      <c r="AP25" s="91" t="s">
        <v>207</v>
      </c>
      <c r="AQ25" s="91" t="s">
        <v>208</v>
      </c>
      <c r="AR25" s="92">
        <v>3.0</v>
      </c>
      <c r="AS25" s="93">
        <v>2.0</v>
      </c>
      <c r="AT25" s="92">
        <v>18.0</v>
      </c>
      <c r="AU25" s="92">
        <v>38.9</v>
      </c>
      <c r="AV25" s="93">
        <v>31.0</v>
      </c>
      <c r="AW25" s="93">
        <v>58.0</v>
      </c>
      <c r="AX25" s="93" t="s">
        <v>266</v>
      </c>
      <c r="AY25" s="78" t="s">
        <v>210</v>
      </c>
    </row>
    <row r="26">
      <c r="A26" s="78" t="s">
        <v>277</v>
      </c>
      <c r="B26" s="85">
        <v>113.0</v>
      </c>
      <c r="C26" s="85">
        <v>0.0</v>
      </c>
      <c r="D26" s="85">
        <v>0.0</v>
      </c>
      <c r="E26" s="85">
        <v>1460.0</v>
      </c>
      <c r="F26" s="85">
        <v>1460.0</v>
      </c>
      <c r="G26" s="78" t="s">
        <v>175</v>
      </c>
      <c r="H26" s="85" t="s">
        <v>176</v>
      </c>
      <c r="I26" s="86"/>
      <c r="J26" s="78" t="s">
        <v>177</v>
      </c>
      <c r="K26" s="78" t="s">
        <v>262</v>
      </c>
      <c r="L26" s="87"/>
      <c r="M26" s="87"/>
      <c r="N26" s="86"/>
      <c r="O26" s="86"/>
      <c r="P26" s="78" t="s">
        <v>175</v>
      </c>
      <c r="Q26" s="78" t="s">
        <v>202</v>
      </c>
      <c r="R26" s="78" t="s">
        <v>177</v>
      </c>
      <c r="S26" s="78" t="s">
        <v>272</v>
      </c>
      <c r="T26" s="78" t="s">
        <v>270</v>
      </c>
      <c r="U26" s="88"/>
      <c r="V26" s="78" t="s">
        <v>273</v>
      </c>
      <c r="W26" s="88"/>
      <c r="X26" s="89" t="s">
        <v>183</v>
      </c>
      <c r="Y26" s="90" t="s">
        <v>184</v>
      </c>
      <c r="Z26" s="89" t="s">
        <v>185</v>
      </c>
      <c r="AA26" s="91" t="s">
        <v>177</v>
      </c>
      <c r="AB26" s="91" t="s">
        <v>186</v>
      </c>
      <c r="AC26" s="85">
        <v>10.0</v>
      </c>
      <c r="AD26" s="85">
        <v>100.0</v>
      </c>
      <c r="AE26" s="85">
        <v>90.0</v>
      </c>
      <c r="AF26" s="85">
        <v>50.0</v>
      </c>
      <c r="AG26" s="85">
        <v>74.0</v>
      </c>
      <c r="AH26" s="85">
        <v>15.82</v>
      </c>
      <c r="AI26" s="85">
        <v>29.4</v>
      </c>
      <c r="AJ26" s="85">
        <v>75.0</v>
      </c>
      <c r="AK26" s="85">
        <v>85.0</v>
      </c>
      <c r="AL26" s="92">
        <v>53.5</v>
      </c>
      <c r="AM26" s="93">
        <v>30.0</v>
      </c>
      <c r="AN26" s="93">
        <v>58.0</v>
      </c>
      <c r="AO26" s="92">
        <v>1460.0</v>
      </c>
      <c r="AP26" s="91" t="s">
        <v>207</v>
      </c>
      <c r="AQ26" s="91" t="s">
        <v>208</v>
      </c>
      <c r="AR26" s="92">
        <v>3.0</v>
      </c>
      <c r="AS26" s="93">
        <v>2.0</v>
      </c>
      <c r="AT26" s="92">
        <v>18.0</v>
      </c>
      <c r="AU26" s="92">
        <v>35.5</v>
      </c>
      <c r="AV26" s="93">
        <v>39.0</v>
      </c>
      <c r="AW26" s="93">
        <v>67.0</v>
      </c>
      <c r="AX26" s="93" t="s">
        <v>266</v>
      </c>
      <c r="AY26" s="78" t="s">
        <v>210</v>
      </c>
    </row>
    <row r="27">
      <c r="A27" s="78" t="s">
        <v>278</v>
      </c>
      <c r="B27" s="85">
        <v>114.0</v>
      </c>
      <c r="C27" s="85">
        <v>0.0</v>
      </c>
      <c r="D27" s="85">
        <v>0.0</v>
      </c>
      <c r="E27" s="85">
        <v>1825.0</v>
      </c>
      <c r="F27" s="85">
        <v>1825.0</v>
      </c>
      <c r="G27" s="78" t="s">
        <v>175</v>
      </c>
      <c r="H27" s="85" t="s">
        <v>176</v>
      </c>
      <c r="I27" s="86"/>
      <c r="J27" s="78" t="s">
        <v>177</v>
      </c>
      <c r="K27" s="78" t="s">
        <v>262</v>
      </c>
      <c r="L27" s="87"/>
      <c r="M27" s="87"/>
      <c r="N27" s="86"/>
      <c r="O27" s="86"/>
      <c r="P27" s="78" t="s">
        <v>175</v>
      </c>
      <c r="Q27" s="78" t="s">
        <v>202</v>
      </c>
      <c r="R27" s="78" t="s">
        <v>177</v>
      </c>
      <c r="S27" s="78" t="s">
        <v>272</v>
      </c>
      <c r="T27" s="78" t="s">
        <v>270</v>
      </c>
      <c r="U27" s="88"/>
      <c r="V27" s="78" t="s">
        <v>273</v>
      </c>
      <c r="W27" s="88"/>
      <c r="X27" s="89" t="s">
        <v>183</v>
      </c>
      <c r="Y27" s="90" t="s">
        <v>184</v>
      </c>
      <c r="Z27" s="89" t="s">
        <v>185</v>
      </c>
      <c r="AA27" s="91" t="s">
        <v>177</v>
      </c>
      <c r="AB27" s="91" t="s">
        <v>186</v>
      </c>
      <c r="AC27" s="85">
        <v>10.0</v>
      </c>
      <c r="AD27" s="85">
        <v>100.0</v>
      </c>
      <c r="AE27" s="85">
        <v>90.0</v>
      </c>
      <c r="AF27" s="85">
        <v>50.0</v>
      </c>
      <c r="AG27" s="85">
        <v>74.0</v>
      </c>
      <c r="AH27" s="85">
        <v>15.96</v>
      </c>
      <c r="AI27" s="85">
        <v>30.3</v>
      </c>
      <c r="AJ27" s="85">
        <v>75.0</v>
      </c>
      <c r="AK27" s="85">
        <v>85.0</v>
      </c>
      <c r="AL27" s="92">
        <v>53.7</v>
      </c>
      <c r="AM27" s="93">
        <v>29.0</v>
      </c>
      <c r="AN27" s="93">
        <v>57.0</v>
      </c>
      <c r="AO27" s="92">
        <v>1825.0</v>
      </c>
      <c r="AP27" s="91" t="s">
        <v>207</v>
      </c>
      <c r="AQ27" s="91" t="s">
        <v>208</v>
      </c>
      <c r="AR27" s="92">
        <v>2.0</v>
      </c>
      <c r="AS27" s="93">
        <v>1.0</v>
      </c>
      <c r="AT27" s="92">
        <v>14.0</v>
      </c>
      <c r="AU27" s="92">
        <v>39.7</v>
      </c>
      <c r="AV27" s="93">
        <v>30.0</v>
      </c>
      <c r="AW27" s="93">
        <v>57.0</v>
      </c>
      <c r="AX27" s="93" t="s">
        <v>266</v>
      </c>
      <c r="AY27" s="78" t="s">
        <v>210</v>
      </c>
    </row>
    <row r="28">
      <c r="A28" s="78" t="s">
        <v>279</v>
      </c>
      <c r="B28" s="85">
        <v>108.0</v>
      </c>
      <c r="C28" s="85">
        <v>0.0</v>
      </c>
      <c r="D28" s="85">
        <v>0.0</v>
      </c>
      <c r="E28" s="85">
        <v>1095.0</v>
      </c>
      <c r="F28" s="85">
        <v>1095.0</v>
      </c>
      <c r="G28" s="78" t="s">
        <v>175</v>
      </c>
      <c r="H28" s="85" t="s">
        <v>280</v>
      </c>
      <c r="I28" s="86"/>
      <c r="J28" s="78" t="s">
        <v>177</v>
      </c>
      <c r="K28" s="78" t="s">
        <v>262</v>
      </c>
      <c r="L28" s="87"/>
      <c r="M28" s="87"/>
      <c r="N28" s="86"/>
      <c r="O28" s="86"/>
      <c r="P28" s="78" t="s">
        <v>175</v>
      </c>
      <c r="Q28" s="78" t="s">
        <v>202</v>
      </c>
      <c r="R28" s="78" t="s">
        <v>177</v>
      </c>
      <c r="S28" s="78" t="s">
        <v>281</v>
      </c>
      <c r="T28" s="78" t="s">
        <v>270</v>
      </c>
      <c r="U28" s="88"/>
      <c r="V28" s="78" t="s">
        <v>216</v>
      </c>
      <c r="W28" s="88"/>
      <c r="X28" s="89" t="s">
        <v>183</v>
      </c>
      <c r="Y28" s="90" t="s">
        <v>184</v>
      </c>
      <c r="Z28" s="89" t="s">
        <v>185</v>
      </c>
      <c r="AA28" s="91" t="s">
        <v>177</v>
      </c>
      <c r="AB28" s="91" t="s">
        <v>186</v>
      </c>
      <c r="AC28" s="85">
        <v>10.0</v>
      </c>
      <c r="AD28" s="85">
        <v>0.0</v>
      </c>
      <c r="AE28" s="85">
        <v>90.0</v>
      </c>
      <c r="AF28" s="85">
        <v>95.0</v>
      </c>
      <c r="AG28" s="85">
        <v>92.0</v>
      </c>
      <c r="AH28" s="85">
        <v>15.12</v>
      </c>
      <c r="AI28" s="85">
        <v>24.8</v>
      </c>
      <c r="AJ28" s="85">
        <v>75.0</v>
      </c>
      <c r="AK28" s="85">
        <v>85.0</v>
      </c>
      <c r="AL28" s="92">
        <v>38.1</v>
      </c>
      <c r="AM28" s="93">
        <v>50.0</v>
      </c>
      <c r="AN28" s="93">
        <v>78.0</v>
      </c>
      <c r="AO28" s="92">
        <v>1095.0</v>
      </c>
      <c r="AP28" s="91" t="s">
        <v>207</v>
      </c>
      <c r="AQ28" s="91" t="s">
        <v>208</v>
      </c>
      <c r="AR28" s="92">
        <v>5.0</v>
      </c>
      <c r="AS28" s="93">
        <v>3.0</v>
      </c>
      <c r="AT28" s="92">
        <v>18.0</v>
      </c>
      <c r="AU28" s="92">
        <v>20.1</v>
      </c>
      <c r="AV28" s="93">
        <v>50.0</v>
      </c>
      <c r="AW28" s="93">
        <v>78.0</v>
      </c>
      <c r="AX28" s="93" t="s">
        <v>266</v>
      </c>
      <c r="AY28" s="78" t="s">
        <v>210</v>
      </c>
    </row>
    <row r="29">
      <c r="A29" s="78" t="s">
        <v>282</v>
      </c>
      <c r="B29" s="85">
        <v>100.0</v>
      </c>
      <c r="C29" s="85">
        <v>13.16</v>
      </c>
      <c r="D29" s="85">
        <v>0.0</v>
      </c>
      <c r="E29" s="85">
        <v>730.0</v>
      </c>
      <c r="F29" s="85">
        <v>730.0</v>
      </c>
      <c r="G29" s="78" t="s">
        <v>175</v>
      </c>
      <c r="H29" s="85" t="s">
        <v>212</v>
      </c>
      <c r="I29" s="86"/>
      <c r="J29" s="78" t="s">
        <v>177</v>
      </c>
      <c r="K29" s="78" t="s">
        <v>262</v>
      </c>
      <c r="L29" s="87"/>
      <c r="M29" s="87"/>
      <c r="N29" s="86"/>
      <c r="O29" s="86"/>
      <c r="P29" s="78" t="s">
        <v>175</v>
      </c>
      <c r="Q29" s="78" t="s">
        <v>283</v>
      </c>
      <c r="R29" s="78" t="s">
        <v>177</v>
      </c>
      <c r="S29" s="78" t="s">
        <v>284</v>
      </c>
      <c r="T29" s="78" t="s">
        <v>270</v>
      </c>
      <c r="U29" s="88"/>
      <c r="V29" s="78" t="s">
        <v>216</v>
      </c>
      <c r="W29" s="88"/>
      <c r="X29" s="89" t="s">
        <v>183</v>
      </c>
      <c r="Y29" s="90" t="s">
        <v>184</v>
      </c>
      <c r="Z29" s="89" t="s">
        <v>185</v>
      </c>
      <c r="AA29" s="91" t="s">
        <v>177</v>
      </c>
      <c r="AB29" s="91" t="s">
        <v>186</v>
      </c>
      <c r="AC29" s="85">
        <v>10.0</v>
      </c>
      <c r="AD29" s="85">
        <v>80.0</v>
      </c>
      <c r="AE29" s="85">
        <v>90.0</v>
      </c>
      <c r="AF29" s="85">
        <v>95.0</v>
      </c>
      <c r="AG29" s="85">
        <v>92.0</v>
      </c>
      <c r="AH29" s="85">
        <v>14.0</v>
      </c>
      <c r="AI29" s="85">
        <v>17.5</v>
      </c>
      <c r="AJ29" s="85">
        <v>75.0</v>
      </c>
      <c r="AK29" s="85">
        <v>85.0</v>
      </c>
      <c r="AL29" s="92">
        <v>50.9</v>
      </c>
      <c r="AM29" s="93">
        <v>41.0</v>
      </c>
      <c r="AN29" s="93">
        <v>69.0</v>
      </c>
      <c r="AO29" s="92">
        <v>730.0</v>
      </c>
      <c r="AP29" s="91" t="s">
        <v>207</v>
      </c>
      <c r="AQ29" s="91" t="s">
        <v>208</v>
      </c>
      <c r="AR29" s="92">
        <v>11.0</v>
      </c>
      <c r="AS29" s="93">
        <v>11.0</v>
      </c>
      <c r="AT29" s="92">
        <v>18.0</v>
      </c>
      <c r="AU29" s="92">
        <v>32.9</v>
      </c>
      <c r="AV29" s="93">
        <v>44.0</v>
      </c>
      <c r="AW29" s="93">
        <v>72.0</v>
      </c>
      <c r="AX29" s="93" t="s">
        <v>266</v>
      </c>
      <c r="AY29" s="78" t="s">
        <v>285</v>
      </c>
    </row>
    <row r="30">
      <c r="A30" s="78" t="s">
        <v>286</v>
      </c>
      <c r="B30" s="85">
        <v>100.0</v>
      </c>
      <c r="C30" s="85">
        <v>13.12</v>
      </c>
      <c r="D30" s="85">
        <v>0.0</v>
      </c>
      <c r="E30" s="85">
        <v>1095.0</v>
      </c>
      <c r="F30" s="85">
        <v>1095.0</v>
      </c>
      <c r="G30" s="78" t="s">
        <v>175</v>
      </c>
      <c r="H30" s="85" t="s">
        <v>212</v>
      </c>
      <c r="I30" s="86"/>
      <c r="J30" s="78" t="s">
        <v>177</v>
      </c>
      <c r="K30" s="78" t="s">
        <v>262</v>
      </c>
      <c r="L30" s="87"/>
      <c r="M30" s="87"/>
      <c r="N30" s="86"/>
      <c r="O30" s="86"/>
      <c r="P30" s="78" t="s">
        <v>175</v>
      </c>
      <c r="Q30" s="78" t="s">
        <v>283</v>
      </c>
      <c r="R30" s="78" t="s">
        <v>177</v>
      </c>
      <c r="S30" s="78" t="s">
        <v>287</v>
      </c>
      <c r="T30" s="78" t="s">
        <v>270</v>
      </c>
      <c r="U30" s="88"/>
      <c r="V30" s="78" t="s">
        <v>216</v>
      </c>
      <c r="W30" s="88"/>
      <c r="X30" s="89" t="s">
        <v>183</v>
      </c>
      <c r="Y30" s="90" t="s">
        <v>184</v>
      </c>
      <c r="Z30" s="89" t="s">
        <v>185</v>
      </c>
      <c r="AA30" s="91" t="s">
        <v>177</v>
      </c>
      <c r="AB30" s="91" t="s">
        <v>186</v>
      </c>
      <c r="AC30" s="85">
        <v>10.0</v>
      </c>
      <c r="AD30" s="85">
        <v>80.0</v>
      </c>
      <c r="AE30" s="85">
        <v>90.0</v>
      </c>
      <c r="AF30" s="85">
        <v>95.0</v>
      </c>
      <c r="AG30" s="85">
        <v>92.0</v>
      </c>
      <c r="AH30" s="85">
        <v>14.0</v>
      </c>
      <c r="AI30" s="85">
        <v>17.5</v>
      </c>
      <c r="AJ30" s="85">
        <v>75.0</v>
      </c>
      <c r="AK30" s="85">
        <v>85.0</v>
      </c>
      <c r="AL30" s="92">
        <v>50.9</v>
      </c>
      <c r="AM30" s="93">
        <v>42.0</v>
      </c>
      <c r="AN30" s="93">
        <v>70.0</v>
      </c>
      <c r="AO30" s="92">
        <v>1095.0</v>
      </c>
      <c r="AP30" s="91" t="s">
        <v>207</v>
      </c>
      <c r="AQ30" s="91" t="s">
        <v>208</v>
      </c>
      <c r="AR30" s="92">
        <v>11.0</v>
      </c>
      <c r="AS30" s="93">
        <v>11.0</v>
      </c>
      <c r="AT30" s="92">
        <v>18.0</v>
      </c>
      <c r="AU30" s="92">
        <v>32.9</v>
      </c>
      <c r="AV30" s="93">
        <v>45.0</v>
      </c>
      <c r="AW30" s="93">
        <v>73.0</v>
      </c>
      <c r="AX30" s="93" t="s">
        <v>266</v>
      </c>
      <c r="AY30" s="78" t="s">
        <v>285</v>
      </c>
    </row>
    <row r="31">
      <c r="A31" s="78" t="s">
        <v>288</v>
      </c>
      <c r="B31" s="85">
        <v>105.0</v>
      </c>
      <c r="C31" s="85">
        <v>109.0</v>
      </c>
      <c r="D31" s="85">
        <v>0.0</v>
      </c>
      <c r="E31" s="85">
        <v>1825.0</v>
      </c>
      <c r="F31" s="85">
        <v>0.0</v>
      </c>
      <c r="G31" s="78" t="s">
        <v>175</v>
      </c>
      <c r="H31" s="85" t="s">
        <v>289</v>
      </c>
      <c r="I31" s="86"/>
      <c r="J31" s="78" t="s">
        <v>177</v>
      </c>
      <c r="K31" s="78" t="s">
        <v>262</v>
      </c>
      <c r="L31" s="87"/>
      <c r="M31" s="87"/>
      <c r="N31" s="86"/>
      <c r="O31" s="86"/>
      <c r="P31" s="78" t="s">
        <v>175</v>
      </c>
      <c r="Q31" s="78" t="s">
        <v>290</v>
      </c>
      <c r="R31" s="78" t="s">
        <v>177</v>
      </c>
      <c r="S31" s="78" t="s">
        <v>291</v>
      </c>
      <c r="T31" s="78" t="s">
        <v>270</v>
      </c>
      <c r="U31" s="88"/>
      <c r="V31" s="78" t="s">
        <v>216</v>
      </c>
      <c r="W31" s="88"/>
      <c r="X31" s="98" t="s">
        <v>246</v>
      </c>
      <c r="Y31" s="90" t="s">
        <v>184</v>
      </c>
      <c r="Z31" s="98" t="s">
        <v>226</v>
      </c>
      <c r="AA31" s="91" t="s">
        <v>177</v>
      </c>
      <c r="AB31" s="91" t="s">
        <v>206</v>
      </c>
      <c r="AC31" s="85">
        <v>100.0</v>
      </c>
      <c r="AD31" s="85">
        <v>100.0</v>
      </c>
      <c r="AE31" s="85">
        <v>90.0</v>
      </c>
      <c r="AF31" s="85">
        <v>95.0</v>
      </c>
      <c r="AG31" s="85">
        <v>92.0</v>
      </c>
      <c r="AH31" s="85">
        <v>0.59</v>
      </c>
      <c r="AI31" s="85">
        <v>0.0</v>
      </c>
      <c r="AJ31" s="85">
        <v>51.0</v>
      </c>
      <c r="AK31" s="85">
        <v>85.0</v>
      </c>
      <c r="AL31" s="92">
        <v>70.8</v>
      </c>
      <c r="AM31" s="93">
        <v>3.0</v>
      </c>
      <c r="AN31" s="93">
        <v>6.0</v>
      </c>
      <c r="AO31" s="92">
        <v>0.0</v>
      </c>
      <c r="AP31" s="91" t="s">
        <v>207</v>
      </c>
      <c r="AQ31" s="91" t="s">
        <v>208</v>
      </c>
      <c r="AR31" s="92">
        <v>0.0</v>
      </c>
      <c r="AS31" s="93">
        <v>0.0</v>
      </c>
      <c r="AT31" s="92">
        <v>0.0</v>
      </c>
      <c r="AU31" s="92">
        <v>70.8</v>
      </c>
      <c r="AV31" s="93">
        <v>3.0</v>
      </c>
      <c r="AW31" s="93">
        <v>6.0</v>
      </c>
      <c r="AX31" s="93" t="s">
        <v>266</v>
      </c>
      <c r="AY31" s="78" t="s">
        <v>292</v>
      </c>
    </row>
    <row r="32">
      <c r="A32" s="78" t="s">
        <v>293</v>
      </c>
      <c r="B32" s="85">
        <v>8.65</v>
      </c>
      <c r="C32" s="85">
        <v>0.0</v>
      </c>
      <c r="D32" s="85">
        <v>0.0</v>
      </c>
      <c r="E32" s="85">
        <v>1825.0</v>
      </c>
      <c r="F32" s="85">
        <v>1825.0</v>
      </c>
      <c r="G32" s="78" t="s">
        <v>175</v>
      </c>
      <c r="H32" s="85" t="s">
        <v>289</v>
      </c>
      <c r="I32" s="86"/>
      <c r="J32" s="78" t="s">
        <v>177</v>
      </c>
      <c r="K32" s="78" t="s">
        <v>262</v>
      </c>
      <c r="L32" s="87"/>
      <c r="M32" s="87"/>
      <c r="N32" s="86"/>
      <c r="O32" s="86"/>
      <c r="P32" s="78" t="s">
        <v>175</v>
      </c>
      <c r="Q32" s="78" t="s">
        <v>294</v>
      </c>
      <c r="R32" s="78" t="s">
        <v>177</v>
      </c>
      <c r="S32" s="78" t="s">
        <v>272</v>
      </c>
      <c r="T32" s="78" t="s">
        <v>270</v>
      </c>
      <c r="U32" s="88"/>
      <c r="V32" s="78" t="s">
        <v>273</v>
      </c>
      <c r="W32" s="88"/>
      <c r="X32" s="89" t="s">
        <v>183</v>
      </c>
      <c r="Y32" s="90" t="s">
        <v>184</v>
      </c>
      <c r="Z32" s="89" t="s">
        <v>185</v>
      </c>
      <c r="AA32" s="91" t="s">
        <v>177</v>
      </c>
      <c r="AB32" s="91" t="s">
        <v>186</v>
      </c>
      <c r="AC32" s="85">
        <v>10.0</v>
      </c>
      <c r="AD32" s="85">
        <v>100.0</v>
      </c>
      <c r="AE32" s="85">
        <v>90.0</v>
      </c>
      <c r="AF32" s="85">
        <v>50.0</v>
      </c>
      <c r="AG32" s="85">
        <v>74.0</v>
      </c>
      <c r="AH32" s="85">
        <v>13.15</v>
      </c>
      <c r="AI32" s="85">
        <v>11.9</v>
      </c>
      <c r="AJ32" s="85">
        <v>75.0</v>
      </c>
      <c r="AK32" s="85">
        <v>85.0</v>
      </c>
      <c r="AL32" s="92">
        <v>49.7</v>
      </c>
      <c r="AM32" s="93">
        <v>46.0</v>
      </c>
      <c r="AN32" s="93">
        <v>74.0</v>
      </c>
      <c r="AO32" s="92">
        <v>1825.0</v>
      </c>
      <c r="AP32" s="91" t="s">
        <v>207</v>
      </c>
      <c r="AQ32" s="91" t="s">
        <v>208</v>
      </c>
      <c r="AR32" s="92">
        <v>15.0</v>
      </c>
      <c r="AS32" s="93">
        <v>15.0</v>
      </c>
      <c r="AT32" s="92">
        <v>18.0</v>
      </c>
      <c r="AU32" s="92">
        <v>31.7</v>
      </c>
      <c r="AV32" s="93">
        <v>46.0</v>
      </c>
      <c r="AW32" s="93">
        <v>74.0</v>
      </c>
      <c r="AX32" s="93" t="s">
        <v>266</v>
      </c>
      <c r="AY32" s="78" t="s">
        <v>231</v>
      </c>
    </row>
    <row r="33">
      <c r="A33" s="78" t="s">
        <v>295</v>
      </c>
      <c r="B33" s="85">
        <v>8.68</v>
      </c>
      <c r="C33" s="85">
        <v>0.0</v>
      </c>
      <c r="D33" s="85">
        <v>0.0</v>
      </c>
      <c r="E33" s="85">
        <v>1095.0</v>
      </c>
      <c r="F33" s="85">
        <v>1095.0</v>
      </c>
      <c r="G33" s="78" t="s">
        <v>175</v>
      </c>
      <c r="H33" s="85" t="s">
        <v>289</v>
      </c>
      <c r="I33" s="86"/>
      <c r="J33" s="78" t="s">
        <v>177</v>
      </c>
      <c r="K33" s="78" t="s">
        <v>262</v>
      </c>
      <c r="L33" s="87"/>
      <c r="M33" s="87"/>
      <c r="N33" s="86"/>
      <c r="O33" s="86"/>
      <c r="P33" s="78" t="s">
        <v>175</v>
      </c>
      <c r="Q33" s="78" t="s">
        <v>294</v>
      </c>
      <c r="R33" s="78" t="s">
        <v>177</v>
      </c>
      <c r="S33" s="78" t="s">
        <v>275</v>
      </c>
      <c r="T33" s="78" t="s">
        <v>270</v>
      </c>
      <c r="U33" s="88"/>
      <c r="V33" s="78" t="s">
        <v>216</v>
      </c>
      <c r="W33" s="88"/>
      <c r="X33" s="89" t="s">
        <v>183</v>
      </c>
      <c r="Y33" s="90" t="s">
        <v>184</v>
      </c>
      <c r="Z33" s="89" t="s">
        <v>185</v>
      </c>
      <c r="AA33" s="91" t="s">
        <v>177</v>
      </c>
      <c r="AB33" s="91" t="s">
        <v>186</v>
      </c>
      <c r="AC33" s="85">
        <v>10.0</v>
      </c>
      <c r="AD33" s="85">
        <v>100.0</v>
      </c>
      <c r="AE33" s="85">
        <v>90.0</v>
      </c>
      <c r="AF33" s="85">
        <v>95.0</v>
      </c>
      <c r="AG33" s="85">
        <v>92.0</v>
      </c>
      <c r="AH33" s="85">
        <v>13.18</v>
      </c>
      <c r="AI33" s="85">
        <v>12.1</v>
      </c>
      <c r="AJ33" s="85">
        <v>75.0</v>
      </c>
      <c r="AK33" s="85">
        <v>85.0</v>
      </c>
      <c r="AL33" s="92">
        <v>53.3</v>
      </c>
      <c r="AM33" s="93">
        <v>31.0</v>
      </c>
      <c r="AN33" s="93">
        <v>59.0</v>
      </c>
      <c r="AO33" s="92">
        <v>1095.0</v>
      </c>
      <c r="AP33" s="91" t="s">
        <v>207</v>
      </c>
      <c r="AQ33" s="91" t="s">
        <v>208</v>
      </c>
      <c r="AR33" s="92">
        <v>10.0</v>
      </c>
      <c r="AS33" s="93">
        <v>10.0</v>
      </c>
      <c r="AT33" s="92">
        <v>18.0</v>
      </c>
      <c r="AU33" s="92">
        <v>35.3</v>
      </c>
      <c r="AV33" s="93">
        <v>40.0</v>
      </c>
      <c r="AW33" s="93">
        <v>68.0</v>
      </c>
      <c r="AX33" s="93" t="s">
        <v>266</v>
      </c>
      <c r="AY33" s="78" t="s">
        <v>231</v>
      </c>
    </row>
    <row r="34">
      <c r="A34" s="78" t="s">
        <v>296</v>
      </c>
      <c r="B34" s="85">
        <v>8.69</v>
      </c>
      <c r="C34" s="85">
        <v>0.0</v>
      </c>
      <c r="D34" s="85">
        <v>0.0</v>
      </c>
      <c r="E34" s="85">
        <v>1460.0</v>
      </c>
      <c r="F34" s="85">
        <v>1460.0</v>
      </c>
      <c r="G34" s="78" t="s">
        <v>175</v>
      </c>
      <c r="H34" s="85" t="s">
        <v>289</v>
      </c>
      <c r="I34" s="86"/>
      <c r="J34" s="78" t="s">
        <v>177</v>
      </c>
      <c r="K34" s="78" t="s">
        <v>262</v>
      </c>
      <c r="L34" s="87"/>
      <c r="M34" s="87"/>
      <c r="N34" s="86"/>
      <c r="O34" s="86"/>
      <c r="P34" s="78" t="s">
        <v>175</v>
      </c>
      <c r="Q34" s="78" t="s">
        <v>294</v>
      </c>
      <c r="R34" s="78" t="s">
        <v>177</v>
      </c>
      <c r="S34" s="78" t="s">
        <v>272</v>
      </c>
      <c r="T34" s="78" t="s">
        <v>270</v>
      </c>
      <c r="U34" s="88"/>
      <c r="V34" s="78" t="s">
        <v>273</v>
      </c>
      <c r="W34" s="88"/>
      <c r="X34" s="89" t="s">
        <v>183</v>
      </c>
      <c r="Y34" s="90" t="s">
        <v>184</v>
      </c>
      <c r="Z34" s="89" t="s">
        <v>185</v>
      </c>
      <c r="AA34" s="91" t="s">
        <v>177</v>
      </c>
      <c r="AB34" s="91" t="s">
        <v>186</v>
      </c>
      <c r="AC34" s="85">
        <v>10.0</v>
      </c>
      <c r="AD34" s="85">
        <v>100.0</v>
      </c>
      <c r="AE34" s="85">
        <v>90.0</v>
      </c>
      <c r="AF34" s="85">
        <v>50.0</v>
      </c>
      <c r="AG34" s="85">
        <v>74.0</v>
      </c>
      <c r="AH34" s="85">
        <v>13.19</v>
      </c>
      <c r="AI34" s="85">
        <v>12.2</v>
      </c>
      <c r="AJ34" s="85">
        <v>75.0</v>
      </c>
      <c r="AK34" s="85">
        <v>85.0</v>
      </c>
      <c r="AL34" s="92">
        <v>49.7</v>
      </c>
      <c r="AM34" s="93">
        <v>47.0</v>
      </c>
      <c r="AN34" s="93">
        <v>75.0</v>
      </c>
      <c r="AO34" s="92">
        <v>1460.0</v>
      </c>
      <c r="AP34" s="91" t="s">
        <v>207</v>
      </c>
      <c r="AQ34" s="91" t="s">
        <v>208</v>
      </c>
      <c r="AR34" s="92">
        <v>15.0</v>
      </c>
      <c r="AS34" s="93">
        <v>15.0</v>
      </c>
      <c r="AT34" s="92">
        <v>18.0</v>
      </c>
      <c r="AU34" s="92">
        <v>31.7</v>
      </c>
      <c r="AV34" s="93">
        <v>47.0</v>
      </c>
      <c r="AW34" s="93">
        <v>75.0</v>
      </c>
      <c r="AX34" s="93" t="s">
        <v>266</v>
      </c>
      <c r="AY34" s="78" t="s">
        <v>231</v>
      </c>
    </row>
    <row r="35">
      <c r="A35" s="78" t="s">
        <v>297</v>
      </c>
      <c r="B35" s="85">
        <v>9.01</v>
      </c>
      <c r="C35" s="85">
        <v>0.0</v>
      </c>
      <c r="D35" s="85">
        <v>0.0</v>
      </c>
      <c r="E35" s="85">
        <v>730.0</v>
      </c>
      <c r="F35" s="85">
        <v>730.0</v>
      </c>
      <c r="G35" s="78" t="s">
        <v>175</v>
      </c>
      <c r="H35" s="85" t="s">
        <v>289</v>
      </c>
      <c r="I35" s="86"/>
      <c r="J35" s="78" t="s">
        <v>177</v>
      </c>
      <c r="K35" s="78" t="s">
        <v>262</v>
      </c>
      <c r="L35" s="87"/>
      <c r="M35" s="87"/>
      <c r="N35" s="86"/>
      <c r="O35" s="86"/>
      <c r="P35" s="78" t="s">
        <v>175</v>
      </c>
      <c r="Q35" s="78" t="s">
        <v>294</v>
      </c>
      <c r="R35" s="78" t="s">
        <v>177</v>
      </c>
      <c r="S35" s="78" t="s">
        <v>275</v>
      </c>
      <c r="T35" s="78" t="s">
        <v>270</v>
      </c>
      <c r="U35" s="88"/>
      <c r="V35" s="78" t="s">
        <v>216</v>
      </c>
      <c r="W35" s="88"/>
      <c r="X35" s="98" t="s">
        <v>246</v>
      </c>
      <c r="Y35" s="90" t="s">
        <v>184</v>
      </c>
      <c r="Z35" s="98" t="s">
        <v>185</v>
      </c>
      <c r="AA35" s="91" t="s">
        <v>177</v>
      </c>
      <c r="AB35" s="91" t="s">
        <v>186</v>
      </c>
      <c r="AC35" s="85">
        <v>10.0</v>
      </c>
      <c r="AD35" s="85">
        <v>100.0</v>
      </c>
      <c r="AE35" s="85">
        <v>90.0</v>
      </c>
      <c r="AF35" s="85">
        <v>95.0</v>
      </c>
      <c r="AG35" s="85">
        <v>92.0</v>
      </c>
      <c r="AH35" s="85">
        <v>13.51</v>
      </c>
      <c r="AI35" s="85">
        <v>14.3</v>
      </c>
      <c r="AJ35" s="85">
        <v>75.0</v>
      </c>
      <c r="AK35" s="85">
        <v>85.0</v>
      </c>
      <c r="AL35" s="92">
        <v>53.8</v>
      </c>
      <c r="AM35" s="93">
        <v>28.0</v>
      </c>
      <c r="AN35" s="93">
        <v>56.0</v>
      </c>
      <c r="AO35" s="92">
        <v>730.0</v>
      </c>
      <c r="AP35" s="91" t="s">
        <v>207</v>
      </c>
      <c r="AQ35" s="91" t="s">
        <v>208</v>
      </c>
      <c r="AR35" s="92">
        <v>9.0</v>
      </c>
      <c r="AS35" s="93">
        <v>10.0</v>
      </c>
      <c r="AT35" s="92">
        <v>18.0</v>
      </c>
      <c r="AU35" s="92">
        <v>35.8</v>
      </c>
      <c r="AV35" s="93">
        <v>38.0</v>
      </c>
      <c r="AW35" s="93">
        <v>66.0</v>
      </c>
      <c r="AX35" s="93" t="s">
        <v>266</v>
      </c>
      <c r="AY35" s="78" t="s">
        <v>231</v>
      </c>
    </row>
    <row r="36">
      <c r="A36" s="78" t="s">
        <v>298</v>
      </c>
      <c r="B36" s="85">
        <v>14.84</v>
      </c>
      <c r="C36" s="85">
        <v>0.0</v>
      </c>
      <c r="D36" s="85">
        <v>0.0</v>
      </c>
      <c r="E36" s="85">
        <v>1095.0</v>
      </c>
      <c r="F36" s="85">
        <v>1095.0</v>
      </c>
      <c r="G36" s="78" t="s">
        <v>175</v>
      </c>
      <c r="H36" s="85" t="s">
        <v>289</v>
      </c>
      <c r="I36" s="86"/>
      <c r="J36" s="78" t="s">
        <v>177</v>
      </c>
      <c r="K36" s="78" t="s">
        <v>262</v>
      </c>
      <c r="L36" s="87"/>
      <c r="M36" s="87"/>
      <c r="N36" s="86"/>
      <c r="O36" s="86"/>
      <c r="P36" s="78" t="s">
        <v>175</v>
      </c>
      <c r="Q36" s="78" t="s">
        <v>299</v>
      </c>
      <c r="R36" s="78" t="s">
        <v>177</v>
      </c>
      <c r="S36" s="78" t="s">
        <v>275</v>
      </c>
      <c r="T36" s="78" t="s">
        <v>270</v>
      </c>
      <c r="U36" s="88"/>
      <c r="V36" s="78" t="s">
        <v>216</v>
      </c>
      <c r="W36" s="88"/>
      <c r="X36" s="89" t="s">
        <v>183</v>
      </c>
      <c r="Y36" s="90" t="s">
        <v>184</v>
      </c>
      <c r="Z36" s="89" t="s">
        <v>185</v>
      </c>
      <c r="AA36" s="91" t="s">
        <v>177</v>
      </c>
      <c r="AB36" s="91" t="s">
        <v>186</v>
      </c>
      <c r="AC36" s="85">
        <v>10.0</v>
      </c>
      <c r="AD36" s="85">
        <v>100.0</v>
      </c>
      <c r="AE36" s="85">
        <v>90.0</v>
      </c>
      <c r="AF36" s="85">
        <v>95.0</v>
      </c>
      <c r="AG36" s="85">
        <v>92.0</v>
      </c>
      <c r="AH36" s="85">
        <v>14.84</v>
      </c>
      <c r="AI36" s="85">
        <v>23.0</v>
      </c>
      <c r="AJ36" s="85">
        <v>75.0</v>
      </c>
      <c r="AK36" s="85">
        <v>85.0</v>
      </c>
      <c r="AL36" s="92">
        <v>55.7</v>
      </c>
      <c r="AM36" s="93">
        <v>24.0</v>
      </c>
      <c r="AN36" s="93">
        <v>50.0</v>
      </c>
      <c r="AO36" s="92">
        <v>1095.0</v>
      </c>
      <c r="AP36" s="91" t="s">
        <v>207</v>
      </c>
      <c r="AQ36" s="91" t="s">
        <v>208</v>
      </c>
      <c r="AR36" s="92">
        <v>6.0</v>
      </c>
      <c r="AS36" s="93">
        <v>4.0</v>
      </c>
      <c r="AT36" s="92">
        <v>18.0</v>
      </c>
      <c r="AU36" s="92">
        <v>37.7</v>
      </c>
      <c r="AV36" s="93">
        <v>36.0</v>
      </c>
      <c r="AW36" s="93">
        <v>63.0</v>
      </c>
      <c r="AX36" s="93" t="s">
        <v>266</v>
      </c>
      <c r="AY36" s="78" t="s">
        <v>222</v>
      </c>
    </row>
    <row r="37">
      <c r="A37" s="78" t="s">
        <v>300</v>
      </c>
      <c r="B37" s="85">
        <v>14.88</v>
      </c>
      <c r="C37" s="85">
        <v>0.0</v>
      </c>
      <c r="D37" s="85">
        <v>0.0</v>
      </c>
      <c r="E37" s="85">
        <v>730.0</v>
      </c>
      <c r="F37" s="85">
        <v>730.0</v>
      </c>
      <c r="G37" s="78" t="s">
        <v>175</v>
      </c>
      <c r="H37" s="85" t="s">
        <v>289</v>
      </c>
      <c r="I37" s="86"/>
      <c r="J37" s="78" t="s">
        <v>177</v>
      </c>
      <c r="K37" s="78" t="s">
        <v>262</v>
      </c>
      <c r="L37" s="87"/>
      <c r="M37" s="87"/>
      <c r="N37" s="86"/>
      <c r="O37" s="86"/>
      <c r="P37" s="78" t="s">
        <v>175</v>
      </c>
      <c r="Q37" s="78" t="s">
        <v>299</v>
      </c>
      <c r="R37" s="78" t="s">
        <v>177</v>
      </c>
      <c r="S37" s="78" t="s">
        <v>275</v>
      </c>
      <c r="T37" s="78" t="s">
        <v>270</v>
      </c>
      <c r="U37" s="88"/>
      <c r="V37" s="78" t="s">
        <v>216</v>
      </c>
      <c r="W37" s="88"/>
      <c r="X37" s="89" t="s">
        <v>183</v>
      </c>
      <c r="Y37" s="90" t="s">
        <v>184</v>
      </c>
      <c r="Z37" s="89" t="s">
        <v>185</v>
      </c>
      <c r="AA37" s="91" t="s">
        <v>177</v>
      </c>
      <c r="AB37" s="91" t="s">
        <v>186</v>
      </c>
      <c r="AC37" s="85">
        <v>10.0</v>
      </c>
      <c r="AD37" s="85">
        <v>100.0</v>
      </c>
      <c r="AE37" s="85">
        <v>90.0</v>
      </c>
      <c r="AF37" s="85">
        <v>95.0</v>
      </c>
      <c r="AG37" s="85">
        <v>92.0</v>
      </c>
      <c r="AH37" s="85">
        <v>14.88</v>
      </c>
      <c r="AI37" s="85">
        <v>23.2</v>
      </c>
      <c r="AJ37" s="85">
        <v>75.0</v>
      </c>
      <c r="AK37" s="85">
        <v>85.0</v>
      </c>
      <c r="AL37" s="92">
        <v>55.8</v>
      </c>
      <c r="AM37" s="93">
        <v>23.0</v>
      </c>
      <c r="AN37" s="93">
        <v>49.0</v>
      </c>
      <c r="AO37" s="92">
        <v>730.0</v>
      </c>
      <c r="AP37" s="91" t="s">
        <v>207</v>
      </c>
      <c r="AQ37" s="91" t="s">
        <v>208</v>
      </c>
      <c r="AR37" s="92">
        <v>6.0</v>
      </c>
      <c r="AS37" s="93">
        <v>3.0</v>
      </c>
      <c r="AT37" s="92">
        <v>18.0</v>
      </c>
      <c r="AU37" s="92">
        <v>37.8</v>
      </c>
      <c r="AV37" s="93">
        <v>35.0</v>
      </c>
      <c r="AW37" s="93">
        <v>62.0</v>
      </c>
      <c r="AX37" s="93" t="s">
        <v>266</v>
      </c>
      <c r="AY37" s="78" t="s">
        <v>222</v>
      </c>
    </row>
    <row r="38">
      <c r="A38" s="78" t="s">
        <v>301</v>
      </c>
      <c r="B38" s="85">
        <v>14.9</v>
      </c>
      <c r="C38" s="85">
        <v>0.0</v>
      </c>
      <c r="D38" s="85">
        <v>0.0</v>
      </c>
      <c r="E38" s="85">
        <v>1460.0</v>
      </c>
      <c r="F38" s="85">
        <v>1460.0</v>
      </c>
      <c r="G38" s="78" t="s">
        <v>175</v>
      </c>
      <c r="H38" s="85" t="s">
        <v>289</v>
      </c>
      <c r="I38" s="86"/>
      <c r="J38" s="78" t="s">
        <v>177</v>
      </c>
      <c r="K38" s="78" t="s">
        <v>262</v>
      </c>
      <c r="L38" s="87"/>
      <c r="M38" s="87"/>
      <c r="N38" s="86"/>
      <c r="O38" s="86"/>
      <c r="P38" s="78" t="s">
        <v>175</v>
      </c>
      <c r="Q38" s="78" t="s">
        <v>299</v>
      </c>
      <c r="R38" s="78" t="s">
        <v>177</v>
      </c>
      <c r="S38" s="78" t="s">
        <v>272</v>
      </c>
      <c r="T38" s="78" t="s">
        <v>270</v>
      </c>
      <c r="U38" s="88"/>
      <c r="V38" s="78" t="s">
        <v>273</v>
      </c>
      <c r="W38" s="88"/>
      <c r="X38" s="89" t="s">
        <v>183</v>
      </c>
      <c r="Y38" s="90" t="s">
        <v>184</v>
      </c>
      <c r="Z38" s="89" t="s">
        <v>185</v>
      </c>
      <c r="AA38" s="91" t="s">
        <v>177</v>
      </c>
      <c r="AB38" s="91" t="s">
        <v>186</v>
      </c>
      <c r="AC38" s="85">
        <v>10.0</v>
      </c>
      <c r="AD38" s="85">
        <v>100.0</v>
      </c>
      <c r="AE38" s="85">
        <v>90.0</v>
      </c>
      <c r="AF38" s="85">
        <v>50.0</v>
      </c>
      <c r="AG38" s="85">
        <v>74.0</v>
      </c>
      <c r="AH38" s="85">
        <v>14.9</v>
      </c>
      <c r="AI38" s="85">
        <v>23.4</v>
      </c>
      <c r="AJ38" s="85">
        <v>75.0</v>
      </c>
      <c r="AK38" s="85">
        <v>85.0</v>
      </c>
      <c r="AL38" s="92">
        <v>52.2</v>
      </c>
      <c r="AM38" s="93">
        <v>35.0</v>
      </c>
      <c r="AN38" s="93">
        <v>63.0</v>
      </c>
      <c r="AO38" s="92">
        <v>1460.0</v>
      </c>
      <c r="AP38" s="91" t="s">
        <v>207</v>
      </c>
      <c r="AQ38" s="91" t="s">
        <v>208</v>
      </c>
      <c r="AR38" s="92">
        <v>9.0</v>
      </c>
      <c r="AS38" s="93">
        <v>5.0</v>
      </c>
      <c r="AT38" s="92">
        <v>18.0</v>
      </c>
      <c r="AU38" s="92">
        <v>34.2</v>
      </c>
      <c r="AV38" s="93">
        <v>43.0</v>
      </c>
      <c r="AW38" s="93">
        <v>71.0</v>
      </c>
      <c r="AX38" s="93" t="s">
        <v>266</v>
      </c>
      <c r="AY38" s="78" t="s">
        <v>222</v>
      </c>
    </row>
    <row r="39">
      <c r="A39" s="78" t="s">
        <v>302</v>
      </c>
      <c r="B39" s="85">
        <v>14.96</v>
      </c>
      <c r="C39" s="85">
        <v>0.0</v>
      </c>
      <c r="D39" s="85">
        <v>0.0</v>
      </c>
      <c r="E39" s="85">
        <v>1825.0</v>
      </c>
      <c r="F39" s="85">
        <v>1825.0</v>
      </c>
      <c r="G39" s="78" t="s">
        <v>175</v>
      </c>
      <c r="H39" s="85" t="s">
        <v>289</v>
      </c>
      <c r="I39" s="86"/>
      <c r="J39" s="78" t="s">
        <v>177</v>
      </c>
      <c r="K39" s="78" t="s">
        <v>262</v>
      </c>
      <c r="L39" s="87"/>
      <c r="M39" s="87"/>
      <c r="N39" s="86"/>
      <c r="O39" s="86"/>
      <c r="P39" s="78" t="s">
        <v>175</v>
      </c>
      <c r="Q39" s="78" t="s">
        <v>299</v>
      </c>
      <c r="R39" s="78" t="s">
        <v>177</v>
      </c>
      <c r="S39" s="78" t="s">
        <v>272</v>
      </c>
      <c r="T39" s="78" t="s">
        <v>270</v>
      </c>
      <c r="U39" s="88"/>
      <c r="V39" s="78" t="s">
        <v>273</v>
      </c>
      <c r="W39" s="88"/>
      <c r="X39" s="89" t="s">
        <v>183</v>
      </c>
      <c r="Y39" s="90" t="s">
        <v>184</v>
      </c>
      <c r="Z39" s="89" t="s">
        <v>185</v>
      </c>
      <c r="AA39" s="91" t="s">
        <v>177</v>
      </c>
      <c r="AB39" s="91" t="s">
        <v>186</v>
      </c>
      <c r="AC39" s="85">
        <v>10.0</v>
      </c>
      <c r="AD39" s="85">
        <v>100.0</v>
      </c>
      <c r="AE39" s="85">
        <v>90.0</v>
      </c>
      <c r="AF39" s="85">
        <v>50.0</v>
      </c>
      <c r="AG39" s="85">
        <v>74.0</v>
      </c>
      <c r="AH39" s="85">
        <v>14.96</v>
      </c>
      <c r="AI39" s="85">
        <v>23.8</v>
      </c>
      <c r="AJ39" s="85">
        <v>75.0</v>
      </c>
      <c r="AK39" s="85">
        <v>85.0</v>
      </c>
      <c r="AL39" s="92">
        <v>52.3</v>
      </c>
      <c r="AM39" s="93">
        <v>34.0</v>
      </c>
      <c r="AN39" s="93">
        <v>62.0</v>
      </c>
      <c r="AO39" s="92">
        <v>1825.0</v>
      </c>
      <c r="AP39" s="91" t="s">
        <v>207</v>
      </c>
      <c r="AQ39" s="91" t="s">
        <v>208</v>
      </c>
      <c r="AR39" s="92">
        <v>8.0</v>
      </c>
      <c r="AS39" s="93">
        <v>5.0</v>
      </c>
      <c r="AT39" s="92">
        <v>18.0</v>
      </c>
      <c r="AU39" s="92">
        <v>34.3</v>
      </c>
      <c r="AV39" s="93">
        <v>42.0</v>
      </c>
      <c r="AW39" s="93">
        <v>70.0</v>
      </c>
      <c r="AX39" s="93" t="s">
        <v>266</v>
      </c>
      <c r="AY39" s="78" t="s">
        <v>222</v>
      </c>
    </row>
    <row r="40">
      <c r="A40" s="78" t="s">
        <v>303</v>
      </c>
      <c r="B40" s="85">
        <v>107.0</v>
      </c>
      <c r="C40" s="85">
        <v>0.0</v>
      </c>
      <c r="D40" s="85">
        <v>0.0</v>
      </c>
      <c r="E40" s="85">
        <v>1096.0</v>
      </c>
      <c r="F40" s="85">
        <v>0.0</v>
      </c>
      <c r="G40" s="78" t="s">
        <v>175</v>
      </c>
      <c r="H40" s="85" t="s">
        <v>289</v>
      </c>
      <c r="I40" s="85">
        <v>5.0E8</v>
      </c>
      <c r="J40" s="78" t="s">
        <v>177</v>
      </c>
      <c r="K40" s="78" t="s">
        <v>262</v>
      </c>
      <c r="L40" s="87"/>
      <c r="M40" s="87"/>
      <c r="N40" s="86"/>
      <c r="O40" s="86"/>
      <c r="P40" s="78" t="s">
        <v>175</v>
      </c>
      <c r="Q40" s="78" t="s">
        <v>304</v>
      </c>
      <c r="R40" s="78" t="s">
        <v>177</v>
      </c>
      <c r="S40" s="78" t="s">
        <v>305</v>
      </c>
      <c r="T40" s="78" t="s">
        <v>270</v>
      </c>
      <c r="U40" s="88"/>
      <c r="V40" s="78" t="s">
        <v>182</v>
      </c>
      <c r="W40" s="88"/>
      <c r="X40" s="98" t="s">
        <v>246</v>
      </c>
      <c r="Y40" s="101" t="s">
        <v>255</v>
      </c>
      <c r="Z40" s="98" t="s">
        <v>226</v>
      </c>
      <c r="AA40" s="91" t="s">
        <v>177</v>
      </c>
      <c r="AB40" s="91" t="s">
        <v>206</v>
      </c>
      <c r="AC40" s="85">
        <v>100.0</v>
      </c>
      <c r="AD40" s="85">
        <v>100.0</v>
      </c>
      <c r="AE40" s="85">
        <v>90.0</v>
      </c>
      <c r="AF40" s="85">
        <v>60.0</v>
      </c>
      <c r="AG40" s="85">
        <v>78.0</v>
      </c>
      <c r="AH40" s="85">
        <v>0.6</v>
      </c>
      <c r="AI40" s="85">
        <v>0.0</v>
      </c>
      <c r="AJ40" s="85">
        <v>51.0</v>
      </c>
      <c r="AK40" s="85">
        <v>85.0</v>
      </c>
      <c r="AL40" s="92">
        <v>68.0</v>
      </c>
      <c r="AM40" s="93">
        <v>6.0</v>
      </c>
      <c r="AN40" s="93">
        <v>9.0</v>
      </c>
      <c r="AO40" s="92">
        <v>0.0</v>
      </c>
      <c r="AP40" s="91" t="s">
        <v>207</v>
      </c>
      <c r="AQ40" s="91" t="s">
        <v>208</v>
      </c>
      <c r="AR40" s="92">
        <v>2.0</v>
      </c>
      <c r="AS40" s="93">
        <v>2.0</v>
      </c>
      <c r="AT40" s="92">
        <v>14.0</v>
      </c>
      <c r="AU40" s="92">
        <v>54.0</v>
      </c>
      <c r="AV40" s="93">
        <v>9.0</v>
      </c>
      <c r="AW40" s="93">
        <v>28.0</v>
      </c>
      <c r="AX40" s="93" t="s">
        <v>266</v>
      </c>
      <c r="AY40" s="78" t="s">
        <v>306</v>
      </c>
    </row>
    <row r="41">
      <c r="A41" s="78" t="s">
        <v>307</v>
      </c>
      <c r="B41" s="85">
        <v>15.0</v>
      </c>
      <c r="C41" s="85">
        <v>0.0</v>
      </c>
      <c r="D41" s="85">
        <v>0.0</v>
      </c>
      <c r="E41" s="85">
        <v>90.0</v>
      </c>
      <c r="F41" s="85">
        <v>90.0</v>
      </c>
      <c r="G41" s="78" t="s">
        <v>175</v>
      </c>
      <c r="H41" s="85" t="s">
        <v>212</v>
      </c>
      <c r="I41" s="86"/>
      <c r="J41" s="78" t="s">
        <v>177</v>
      </c>
      <c r="K41" s="78" t="s">
        <v>262</v>
      </c>
      <c r="L41" s="87"/>
      <c r="M41" s="87"/>
      <c r="N41" s="86"/>
      <c r="O41" s="86"/>
      <c r="P41" s="78" t="s">
        <v>175</v>
      </c>
      <c r="Q41" s="78" t="s">
        <v>219</v>
      </c>
      <c r="R41" s="78" t="s">
        <v>177</v>
      </c>
      <c r="S41" s="78" t="s">
        <v>308</v>
      </c>
      <c r="T41" s="78" t="s">
        <v>221</v>
      </c>
      <c r="U41" s="88"/>
      <c r="V41" s="78" t="s">
        <v>216</v>
      </c>
      <c r="W41" s="88"/>
      <c r="X41" s="89" t="s">
        <v>183</v>
      </c>
      <c r="Y41" s="90" t="s">
        <v>184</v>
      </c>
      <c r="Z41" s="89" t="s">
        <v>185</v>
      </c>
      <c r="AA41" s="91" t="s">
        <v>177</v>
      </c>
      <c r="AB41" s="91" t="s">
        <v>227</v>
      </c>
      <c r="AC41" s="85">
        <v>45.0</v>
      </c>
      <c r="AD41" s="85">
        <v>80.0</v>
      </c>
      <c r="AE41" s="85">
        <v>90.0</v>
      </c>
      <c r="AF41" s="85">
        <v>95.0</v>
      </c>
      <c r="AG41" s="85">
        <v>92.0</v>
      </c>
      <c r="AH41" s="85">
        <v>15.0</v>
      </c>
      <c r="AI41" s="85">
        <v>24.0</v>
      </c>
      <c r="AJ41" s="85">
        <v>75.0</v>
      </c>
      <c r="AK41" s="85">
        <v>85.0</v>
      </c>
      <c r="AL41" s="92">
        <v>61.1</v>
      </c>
      <c r="AM41" s="93">
        <v>8.0</v>
      </c>
      <c r="AN41" s="93">
        <v>24.0</v>
      </c>
      <c r="AO41" s="92">
        <v>90.0</v>
      </c>
      <c r="AP41" s="91" t="s">
        <v>207</v>
      </c>
      <c r="AQ41" s="91" t="s">
        <v>208</v>
      </c>
      <c r="AR41" s="92">
        <v>2.0</v>
      </c>
      <c r="AS41" s="93">
        <v>1.0</v>
      </c>
      <c r="AT41" s="92">
        <v>14.0</v>
      </c>
      <c r="AU41" s="92">
        <v>47.1</v>
      </c>
      <c r="AV41" s="93">
        <v>9.0</v>
      </c>
      <c r="AW41" s="93">
        <v>47.0</v>
      </c>
      <c r="AX41" s="93" t="s">
        <v>266</v>
      </c>
      <c r="AY41" s="78" t="s">
        <v>222</v>
      </c>
    </row>
    <row r="42">
      <c r="A42" s="78" t="s">
        <v>309</v>
      </c>
      <c r="B42" s="85">
        <v>140.0</v>
      </c>
      <c r="C42" s="85">
        <v>0.0</v>
      </c>
      <c r="D42" s="85">
        <v>0.0</v>
      </c>
      <c r="E42" s="85">
        <v>360.0</v>
      </c>
      <c r="F42" s="85">
        <v>360.0</v>
      </c>
      <c r="G42" s="78" t="s">
        <v>175</v>
      </c>
      <c r="H42" s="85" t="s">
        <v>212</v>
      </c>
      <c r="I42" s="86"/>
      <c r="J42" s="78" t="s">
        <v>177</v>
      </c>
      <c r="K42" s="78" t="s">
        <v>262</v>
      </c>
      <c r="L42" s="87"/>
      <c r="M42" s="87"/>
      <c r="N42" s="86"/>
      <c r="O42" s="86"/>
      <c r="P42" s="78" t="s">
        <v>175</v>
      </c>
      <c r="Q42" s="78" t="s">
        <v>202</v>
      </c>
      <c r="R42" s="78" t="s">
        <v>177</v>
      </c>
      <c r="S42" s="78" t="s">
        <v>310</v>
      </c>
      <c r="T42" s="78" t="s">
        <v>311</v>
      </c>
      <c r="U42" s="88"/>
      <c r="V42" s="78" t="s">
        <v>182</v>
      </c>
      <c r="W42" s="88"/>
      <c r="X42" s="89" t="s">
        <v>183</v>
      </c>
      <c r="Y42" s="90" t="s">
        <v>184</v>
      </c>
      <c r="Z42" s="89" t="s">
        <v>226</v>
      </c>
      <c r="AA42" s="91" t="s">
        <v>177</v>
      </c>
      <c r="AB42" s="91" t="s">
        <v>186</v>
      </c>
      <c r="AC42" s="85">
        <v>25.0</v>
      </c>
      <c r="AD42" s="85">
        <v>80.0</v>
      </c>
      <c r="AE42" s="85">
        <v>90.0</v>
      </c>
      <c r="AF42" s="85">
        <v>60.0</v>
      </c>
      <c r="AG42" s="85">
        <v>78.0</v>
      </c>
      <c r="AH42" s="85">
        <v>19.6</v>
      </c>
      <c r="AI42" s="85">
        <v>54.2</v>
      </c>
      <c r="AJ42" s="85">
        <v>75.0</v>
      </c>
      <c r="AK42" s="85">
        <v>85.0</v>
      </c>
      <c r="AL42" s="92">
        <v>59.9</v>
      </c>
      <c r="AM42" s="93">
        <v>4.0</v>
      </c>
      <c r="AN42" s="93">
        <v>27.0</v>
      </c>
      <c r="AO42" s="92">
        <v>360.0</v>
      </c>
      <c r="AP42" s="91" t="s">
        <v>207</v>
      </c>
      <c r="AQ42" s="91" t="s">
        <v>208</v>
      </c>
      <c r="AR42" s="92">
        <v>0.0</v>
      </c>
      <c r="AS42" s="93">
        <v>0.0</v>
      </c>
      <c r="AT42" s="92">
        <v>0.0</v>
      </c>
      <c r="AU42" s="92">
        <v>59.9</v>
      </c>
      <c r="AV42" s="93">
        <v>2.0</v>
      </c>
      <c r="AW42" s="93">
        <v>17.0</v>
      </c>
      <c r="AX42" s="93" t="s">
        <v>266</v>
      </c>
      <c r="AY42" s="78" t="s">
        <v>210</v>
      </c>
    </row>
    <row r="43">
      <c r="A43" s="78" t="s">
        <v>312</v>
      </c>
      <c r="B43" s="85">
        <v>106.0</v>
      </c>
      <c r="C43" s="85">
        <v>0.0</v>
      </c>
      <c r="D43" s="85">
        <v>0.0</v>
      </c>
      <c r="E43" s="85">
        <v>91.0</v>
      </c>
      <c r="F43" s="85">
        <v>31.0</v>
      </c>
      <c r="G43" s="78" t="s">
        <v>175</v>
      </c>
      <c r="H43" s="85" t="s">
        <v>251</v>
      </c>
      <c r="I43" s="86"/>
      <c r="J43" s="78" t="s">
        <v>177</v>
      </c>
      <c r="K43" s="78" t="s">
        <v>262</v>
      </c>
      <c r="L43" s="87"/>
      <c r="M43" s="87"/>
      <c r="N43" s="86"/>
      <c r="O43" s="86"/>
      <c r="P43" s="78" t="s">
        <v>175</v>
      </c>
      <c r="Q43" s="78" t="s">
        <v>202</v>
      </c>
      <c r="R43" s="78" t="s">
        <v>177</v>
      </c>
      <c r="S43" s="78" t="s">
        <v>313</v>
      </c>
      <c r="T43" s="78" t="s">
        <v>314</v>
      </c>
      <c r="U43" s="88"/>
      <c r="V43" s="78" t="s">
        <v>182</v>
      </c>
      <c r="W43" s="88"/>
      <c r="X43" s="96" t="s">
        <v>235</v>
      </c>
      <c r="Y43" s="90" t="s">
        <v>184</v>
      </c>
      <c r="Z43" s="96" t="s">
        <v>226</v>
      </c>
      <c r="AA43" s="91" t="s">
        <v>177</v>
      </c>
      <c r="AB43" s="91" t="s">
        <v>315</v>
      </c>
      <c r="AC43" s="85">
        <v>65.0</v>
      </c>
      <c r="AD43" s="85">
        <v>100.0</v>
      </c>
      <c r="AE43" s="85">
        <v>90.0</v>
      </c>
      <c r="AF43" s="85">
        <v>60.0</v>
      </c>
      <c r="AG43" s="85">
        <v>78.0</v>
      </c>
      <c r="AH43" s="85">
        <v>14.84</v>
      </c>
      <c r="AI43" s="85">
        <v>23.0</v>
      </c>
      <c r="AJ43" s="85">
        <v>75.0</v>
      </c>
      <c r="AK43" s="85">
        <v>85.0</v>
      </c>
      <c r="AL43" s="92">
        <v>66.7</v>
      </c>
      <c r="AM43" s="93">
        <v>3.0</v>
      </c>
      <c r="AN43" s="93">
        <v>11.0</v>
      </c>
      <c r="AO43" s="92">
        <v>31.0</v>
      </c>
      <c r="AP43" s="91" t="s">
        <v>207</v>
      </c>
      <c r="AQ43" s="91" t="s">
        <v>208</v>
      </c>
      <c r="AR43" s="92">
        <v>0.0</v>
      </c>
      <c r="AS43" s="93">
        <v>0.0</v>
      </c>
      <c r="AT43" s="92">
        <v>0.0</v>
      </c>
      <c r="AU43" s="92">
        <v>66.7</v>
      </c>
      <c r="AV43" s="93">
        <v>2.0</v>
      </c>
      <c r="AW43" s="93">
        <v>8.0</v>
      </c>
      <c r="AX43" s="93" t="s">
        <v>266</v>
      </c>
      <c r="AY43" s="78" t="s">
        <v>210</v>
      </c>
    </row>
    <row r="44">
      <c r="A44" s="78" t="s">
        <v>316</v>
      </c>
      <c r="B44" s="85">
        <v>100.0</v>
      </c>
      <c r="C44" s="85">
        <v>113.0</v>
      </c>
      <c r="D44" s="85">
        <v>0.0</v>
      </c>
      <c r="E44" s="85">
        <v>730.0</v>
      </c>
      <c r="F44" s="85">
        <v>0.0</v>
      </c>
      <c r="G44" s="78" t="s">
        <v>175</v>
      </c>
      <c r="H44" s="85" t="s">
        <v>251</v>
      </c>
      <c r="I44" s="86"/>
      <c r="J44" s="78" t="s">
        <v>177</v>
      </c>
      <c r="K44" s="78" t="s">
        <v>262</v>
      </c>
      <c r="L44" s="87"/>
      <c r="M44" s="87"/>
      <c r="N44" s="86"/>
      <c r="O44" s="86"/>
      <c r="P44" s="78" t="s">
        <v>175</v>
      </c>
      <c r="Q44" s="78" t="s">
        <v>290</v>
      </c>
      <c r="R44" s="78" t="s">
        <v>177</v>
      </c>
      <c r="S44" s="78" t="s">
        <v>317</v>
      </c>
      <c r="T44" s="78" t="s">
        <v>318</v>
      </c>
      <c r="U44" s="88"/>
      <c r="V44" s="78" t="s">
        <v>216</v>
      </c>
      <c r="W44" s="88"/>
      <c r="X44" s="89" t="s">
        <v>183</v>
      </c>
      <c r="Y44" s="90" t="s">
        <v>184</v>
      </c>
      <c r="Z44" s="89" t="s">
        <v>226</v>
      </c>
      <c r="AA44" s="91" t="s">
        <v>177</v>
      </c>
      <c r="AB44" s="91" t="s">
        <v>206</v>
      </c>
      <c r="AC44" s="85">
        <v>100.0</v>
      </c>
      <c r="AD44" s="85">
        <v>100.0</v>
      </c>
      <c r="AE44" s="85">
        <v>90.0</v>
      </c>
      <c r="AF44" s="85">
        <v>95.0</v>
      </c>
      <c r="AG44" s="85">
        <v>92.0</v>
      </c>
      <c r="AH44" s="85">
        <v>0.56</v>
      </c>
      <c r="AI44" s="85">
        <v>0.0</v>
      </c>
      <c r="AJ44" s="85">
        <v>51.0</v>
      </c>
      <c r="AK44" s="85">
        <v>85.0</v>
      </c>
      <c r="AL44" s="92">
        <v>70.8</v>
      </c>
      <c r="AM44" s="93">
        <v>4.0</v>
      </c>
      <c r="AN44" s="93">
        <v>7.0</v>
      </c>
      <c r="AO44" s="92">
        <v>0.0</v>
      </c>
      <c r="AP44" s="91" t="s">
        <v>207</v>
      </c>
      <c r="AQ44" s="91" t="s">
        <v>208</v>
      </c>
      <c r="AR44" s="92">
        <v>2.0</v>
      </c>
      <c r="AS44" s="93">
        <v>0.0</v>
      </c>
      <c r="AT44" s="92">
        <v>14.0</v>
      </c>
      <c r="AU44" s="92">
        <v>56.8</v>
      </c>
      <c r="AV44" s="93">
        <v>7.0</v>
      </c>
      <c r="AW44" s="93">
        <v>21.0</v>
      </c>
      <c r="AX44" s="93" t="s">
        <v>266</v>
      </c>
      <c r="AY44" s="78" t="s">
        <v>292</v>
      </c>
    </row>
    <row r="45">
      <c r="A45" s="78" t="s">
        <v>319</v>
      </c>
      <c r="B45" s="85">
        <v>112.0</v>
      </c>
      <c r="C45" s="85">
        <v>0.0</v>
      </c>
      <c r="D45" s="85">
        <v>0.0</v>
      </c>
      <c r="E45" s="85">
        <v>90.0</v>
      </c>
      <c r="F45" s="85">
        <v>90.0</v>
      </c>
      <c r="G45" s="78" t="s">
        <v>175</v>
      </c>
      <c r="H45" s="85" t="s">
        <v>176</v>
      </c>
      <c r="I45" s="85">
        <v>500000.0</v>
      </c>
      <c r="J45" s="78" t="s">
        <v>177</v>
      </c>
      <c r="K45" s="78" t="s">
        <v>262</v>
      </c>
      <c r="L45" s="87"/>
      <c r="M45" s="87"/>
      <c r="N45" s="86"/>
      <c r="O45" s="86"/>
      <c r="P45" s="78" t="s">
        <v>175</v>
      </c>
      <c r="Q45" s="78" t="s">
        <v>202</v>
      </c>
      <c r="R45" s="78" t="s">
        <v>177</v>
      </c>
      <c r="S45" s="78" t="s">
        <v>320</v>
      </c>
      <c r="T45" s="78" t="s">
        <v>318</v>
      </c>
      <c r="U45" s="88"/>
      <c r="V45" s="78" t="s">
        <v>216</v>
      </c>
      <c r="W45" s="88"/>
      <c r="X45" s="98" t="s">
        <v>246</v>
      </c>
      <c r="Y45" s="101" t="s">
        <v>255</v>
      </c>
      <c r="Z45" s="98" t="s">
        <v>226</v>
      </c>
      <c r="AA45" s="91" t="s">
        <v>177</v>
      </c>
      <c r="AB45" s="91" t="s">
        <v>227</v>
      </c>
      <c r="AC45" s="85">
        <v>45.0</v>
      </c>
      <c r="AD45" s="85">
        <v>100.0</v>
      </c>
      <c r="AE45" s="85">
        <v>90.0</v>
      </c>
      <c r="AF45" s="85">
        <v>95.0</v>
      </c>
      <c r="AG45" s="85">
        <v>92.0</v>
      </c>
      <c r="AH45" s="85">
        <v>15.68</v>
      </c>
      <c r="AI45" s="85">
        <v>28.5</v>
      </c>
      <c r="AJ45" s="85">
        <v>75.0</v>
      </c>
      <c r="AK45" s="85">
        <v>85.0</v>
      </c>
      <c r="AL45" s="92">
        <v>65.7</v>
      </c>
      <c r="AM45" s="93">
        <v>3.0</v>
      </c>
      <c r="AN45" s="93">
        <v>12.0</v>
      </c>
      <c r="AO45" s="92">
        <v>90.0</v>
      </c>
      <c r="AP45" s="91" t="s">
        <v>207</v>
      </c>
      <c r="AQ45" s="91" t="s">
        <v>208</v>
      </c>
      <c r="AR45" s="92">
        <v>1.0</v>
      </c>
      <c r="AS45" s="93">
        <v>1.0</v>
      </c>
      <c r="AT45" s="92">
        <v>7.0</v>
      </c>
      <c r="AU45" s="92">
        <v>58.7</v>
      </c>
      <c r="AV45" s="93">
        <v>7.0</v>
      </c>
      <c r="AW45" s="93">
        <v>18.0</v>
      </c>
      <c r="AX45" s="93" t="s">
        <v>266</v>
      </c>
      <c r="AY45" s="78" t="s">
        <v>210</v>
      </c>
    </row>
    <row r="46">
      <c r="A46" s="78" t="s">
        <v>321</v>
      </c>
      <c r="B46" s="85">
        <v>116.0</v>
      </c>
      <c r="C46" s="85">
        <v>0.0</v>
      </c>
      <c r="D46" s="85">
        <v>0.0</v>
      </c>
      <c r="E46" s="85">
        <v>181.0</v>
      </c>
      <c r="F46" s="85">
        <v>181.0</v>
      </c>
      <c r="G46" s="78" t="s">
        <v>175</v>
      </c>
      <c r="H46" s="85" t="s">
        <v>176</v>
      </c>
      <c r="I46" s="85">
        <v>500000.0</v>
      </c>
      <c r="J46" s="78" t="s">
        <v>177</v>
      </c>
      <c r="K46" s="78" t="s">
        <v>262</v>
      </c>
      <c r="L46" s="87"/>
      <c r="M46" s="87"/>
      <c r="N46" s="86"/>
      <c r="O46" s="86"/>
      <c r="P46" s="78" t="s">
        <v>175</v>
      </c>
      <c r="Q46" s="78" t="s">
        <v>202</v>
      </c>
      <c r="R46" s="78" t="s">
        <v>177</v>
      </c>
      <c r="S46" s="78" t="s">
        <v>322</v>
      </c>
      <c r="T46" s="78" t="s">
        <v>318</v>
      </c>
      <c r="U46" s="88"/>
      <c r="V46" s="78" t="s">
        <v>216</v>
      </c>
      <c r="W46" s="88"/>
      <c r="X46" s="98" t="s">
        <v>246</v>
      </c>
      <c r="Y46" s="101" t="s">
        <v>255</v>
      </c>
      <c r="Z46" s="98" t="s">
        <v>226</v>
      </c>
      <c r="AA46" s="91" t="s">
        <v>177</v>
      </c>
      <c r="AB46" s="91" t="s">
        <v>186</v>
      </c>
      <c r="AC46" s="85">
        <v>25.0</v>
      </c>
      <c r="AD46" s="85">
        <v>100.0</v>
      </c>
      <c r="AE46" s="85">
        <v>90.0</v>
      </c>
      <c r="AF46" s="85">
        <v>95.0</v>
      </c>
      <c r="AG46" s="85">
        <v>92.0</v>
      </c>
      <c r="AH46" s="85">
        <v>16.24</v>
      </c>
      <c r="AI46" s="85">
        <v>32.2</v>
      </c>
      <c r="AJ46" s="85">
        <v>75.0</v>
      </c>
      <c r="AK46" s="85">
        <v>85.0</v>
      </c>
      <c r="AL46" s="92">
        <v>61.5</v>
      </c>
      <c r="AM46" s="93">
        <v>2.0</v>
      </c>
      <c r="AN46" s="93">
        <v>22.0</v>
      </c>
      <c r="AO46" s="92">
        <v>181.0</v>
      </c>
      <c r="AP46" s="91" t="s">
        <v>207</v>
      </c>
      <c r="AQ46" s="91" t="s">
        <v>208</v>
      </c>
      <c r="AR46" s="92">
        <v>1.0</v>
      </c>
      <c r="AS46" s="93">
        <v>0.0</v>
      </c>
      <c r="AT46" s="92">
        <v>7.0</v>
      </c>
      <c r="AU46" s="92">
        <v>54.5</v>
      </c>
      <c r="AV46" s="93">
        <v>6.0</v>
      </c>
      <c r="AW46" s="93">
        <v>24.0</v>
      </c>
      <c r="AX46" s="93" t="s">
        <v>266</v>
      </c>
      <c r="AY46" s="78" t="s">
        <v>210</v>
      </c>
    </row>
    <row r="47">
      <c r="A47" s="78" t="s">
        <v>323</v>
      </c>
      <c r="B47" s="85">
        <v>119.0</v>
      </c>
      <c r="C47" s="85">
        <v>0.0</v>
      </c>
      <c r="D47" s="85">
        <v>0.0</v>
      </c>
      <c r="E47" s="85">
        <v>361.0</v>
      </c>
      <c r="F47" s="85">
        <v>361.0</v>
      </c>
      <c r="G47" s="78" t="s">
        <v>175</v>
      </c>
      <c r="H47" s="85" t="s">
        <v>176</v>
      </c>
      <c r="I47" s="85">
        <v>500000.0</v>
      </c>
      <c r="J47" s="78" t="s">
        <v>177</v>
      </c>
      <c r="K47" s="78" t="s">
        <v>262</v>
      </c>
      <c r="L47" s="87"/>
      <c r="M47" s="87"/>
      <c r="N47" s="86"/>
      <c r="O47" s="86"/>
      <c r="P47" s="78" t="s">
        <v>175</v>
      </c>
      <c r="Q47" s="78" t="s">
        <v>202</v>
      </c>
      <c r="R47" s="78" t="s">
        <v>177</v>
      </c>
      <c r="S47" s="78" t="s">
        <v>324</v>
      </c>
      <c r="T47" s="78" t="s">
        <v>318</v>
      </c>
      <c r="U47" s="88"/>
      <c r="V47" s="78" t="s">
        <v>216</v>
      </c>
      <c r="W47" s="88"/>
      <c r="X47" s="98" t="s">
        <v>246</v>
      </c>
      <c r="Y47" s="101" t="s">
        <v>255</v>
      </c>
      <c r="Z47" s="98" t="s">
        <v>226</v>
      </c>
      <c r="AA47" s="91" t="s">
        <v>177</v>
      </c>
      <c r="AB47" s="91" t="s">
        <v>186</v>
      </c>
      <c r="AC47" s="85">
        <v>25.0</v>
      </c>
      <c r="AD47" s="85">
        <v>100.0</v>
      </c>
      <c r="AE47" s="85">
        <v>90.0</v>
      </c>
      <c r="AF47" s="85">
        <v>95.0</v>
      </c>
      <c r="AG47" s="85">
        <v>92.0</v>
      </c>
      <c r="AH47" s="85">
        <v>16.66</v>
      </c>
      <c r="AI47" s="85">
        <v>34.9</v>
      </c>
      <c r="AJ47" s="85">
        <v>75.0</v>
      </c>
      <c r="AK47" s="85">
        <v>85.0</v>
      </c>
      <c r="AL47" s="92">
        <v>62.1</v>
      </c>
      <c r="AM47" s="93">
        <v>1.0</v>
      </c>
      <c r="AN47" s="93">
        <v>21.0</v>
      </c>
      <c r="AO47" s="92">
        <v>361.0</v>
      </c>
      <c r="AP47" s="91" t="s">
        <v>207</v>
      </c>
      <c r="AQ47" s="91" t="s">
        <v>208</v>
      </c>
      <c r="AR47" s="92">
        <v>0.0</v>
      </c>
      <c r="AS47" s="93">
        <v>0.0</v>
      </c>
      <c r="AT47" s="92">
        <v>0.0</v>
      </c>
      <c r="AU47" s="92">
        <v>62.1</v>
      </c>
      <c r="AV47" s="93">
        <v>1.0</v>
      </c>
      <c r="AW47" s="93">
        <v>12.0</v>
      </c>
      <c r="AX47" s="93" t="s">
        <v>266</v>
      </c>
      <c r="AY47" s="78" t="s">
        <v>210</v>
      </c>
    </row>
    <row r="48">
      <c r="A48" s="78" t="s">
        <v>325</v>
      </c>
      <c r="B48" s="85">
        <v>120.0</v>
      </c>
      <c r="C48" s="85">
        <v>0.0</v>
      </c>
      <c r="D48" s="85">
        <v>0.0</v>
      </c>
      <c r="E48" s="85">
        <v>721.0</v>
      </c>
      <c r="F48" s="85">
        <v>721.0</v>
      </c>
      <c r="G48" s="78" t="s">
        <v>175</v>
      </c>
      <c r="H48" s="85" t="s">
        <v>176</v>
      </c>
      <c r="I48" s="85">
        <v>500000.0</v>
      </c>
      <c r="J48" s="78" t="s">
        <v>177</v>
      </c>
      <c r="K48" s="78" t="s">
        <v>262</v>
      </c>
      <c r="L48" s="87"/>
      <c r="M48" s="87"/>
      <c r="N48" s="86"/>
      <c r="O48" s="86"/>
      <c r="P48" s="78" t="s">
        <v>175</v>
      </c>
      <c r="Q48" s="78" t="s">
        <v>202</v>
      </c>
      <c r="R48" s="78" t="s">
        <v>177</v>
      </c>
      <c r="S48" s="78" t="s">
        <v>326</v>
      </c>
      <c r="T48" s="78" t="s">
        <v>318</v>
      </c>
      <c r="U48" s="88"/>
      <c r="V48" s="78" t="s">
        <v>216</v>
      </c>
      <c r="W48" s="88"/>
      <c r="X48" s="98" t="s">
        <v>246</v>
      </c>
      <c r="Y48" s="101" t="s">
        <v>255</v>
      </c>
      <c r="Z48" s="98" t="s">
        <v>226</v>
      </c>
      <c r="AA48" s="91" t="s">
        <v>177</v>
      </c>
      <c r="AB48" s="91" t="s">
        <v>186</v>
      </c>
      <c r="AC48" s="85">
        <v>10.0</v>
      </c>
      <c r="AD48" s="85">
        <v>100.0</v>
      </c>
      <c r="AE48" s="85">
        <v>90.0</v>
      </c>
      <c r="AF48" s="85">
        <v>95.0</v>
      </c>
      <c r="AG48" s="85">
        <v>92.0</v>
      </c>
      <c r="AH48" s="85">
        <v>16.8</v>
      </c>
      <c r="AI48" s="85">
        <v>35.8</v>
      </c>
      <c r="AJ48" s="85">
        <v>75.0</v>
      </c>
      <c r="AK48" s="85">
        <v>85.0</v>
      </c>
      <c r="AL48" s="92">
        <v>58.5</v>
      </c>
      <c r="AM48" s="93">
        <v>6.0</v>
      </c>
      <c r="AN48" s="93">
        <v>31.0</v>
      </c>
      <c r="AO48" s="92">
        <v>721.0</v>
      </c>
      <c r="AP48" s="91" t="s">
        <v>207</v>
      </c>
      <c r="AQ48" s="91" t="s">
        <v>208</v>
      </c>
      <c r="AR48" s="92">
        <v>0.0</v>
      </c>
      <c r="AS48" s="93">
        <v>0.0</v>
      </c>
      <c r="AT48" s="92">
        <v>0.0</v>
      </c>
      <c r="AU48" s="92">
        <v>58.5</v>
      </c>
      <c r="AV48" s="93">
        <v>4.0</v>
      </c>
      <c r="AW48" s="93">
        <v>20.0</v>
      </c>
      <c r="AX48" s="93" t="s">
        <v>266</v>
      </c>
      <c r="AY48" s="78" t="s">
        <v>210</v>
      </c>
    </row>
    <row r="49">
      <c r="A49" s="78" t="s">
        <v>112</v>
      </c>
      <c r="B49" s="85">
        <v>150.0</v>
      </c>
      <c r="C49" s="85">
        <v>0.0</v>
      </c>
      <c r="D49" s="85">
        <v>0.0</v>
      </c>
      <c r="E49" s="85">
        <v>60.0</v>
      </c>
      <c r="F49" s="85">
        <v>60.0</v>
      </c>
      <c r="G49" s="78" t="s">
        <v>175</v>
      </c>
      <c r="H49" s="85" t="s">
        <v>176</v>
      </c>
      <c r="I49" s="85">
        <v>20000.0</v>
      </c>
      <c r="J49" s="78" t="s">
        <v>177</v>
      </c>
      <c r="K49" s="78" t="s">
        <v>262</v>
      </c>
      <c r="L49" s="87"/>
      <c r="M49" s="87"/>
      <c r="N49" s="86"/>
      <c r="O49" s="86"/>
      <c r="P49" s="78" t="s">
        <v>175</v>
      </c>
      <c r="Q49" s="78" t="s">
        <v>202</v>
      </c>
      <c r="R49" s="78" t="s">
        <v>177</v>
      </c>
      <c r="S49" s="78" t="s">
        <v>327</v>
      </c>
      <c r="T49" s="78" t="s">
        <v>318</v>
      </c>
      <c r="U49" s="88"/>
      <c r="V49" s="78" t="s">
        <v>216</v>
      </c>
      <c r="W49" s="88"/>
      <c r="X49" s="98" t="s">
        <v>246</v>
      </c>
      <c r="Y49" s="101" t="s">
        <v>255</v>
      </c>
      <c r="Z49" s="98" t="s">
        <v>226</v>
      </c>
      <c r="AA49" s="91" t="s">
        <v>177</v>
      </c>
      <c r="AB49" s="91" t="s">
        <v>227</v>
      </c>
      <c r="AC49" s="85">
        <v>65.0</v>
      </c>
      <c r="AD49" s="85">
        <v>100.0</v>
      </c>
      <c r="AE49" s="85">
        <v>90.0</v>
      </c>
      <c r="AF49" s="85">
        <v>95.0</v>
      </c>
      <c r="AG49" s="85">
        <v>92.0</v>
      </c>
      <c r="AH49" s="85">
        <v>21.0</v>
      </c>
      <c r="AI49" s="85">
        <v>63.3</v>
      </c>
      <c r="AJ49" s="85">
        <v>75.0</v>
      </c>
      <c r="AK49" s="85">
        <v>85.0</v>
      </c>
      <c r="AL49" s="92">
        <v>78.3</v>
      </c>
      <c r="AM49" s="93">
        <v>2.0</v>
      </c>
      <c r="AN49" s="93">
        <v>4.0</v>
      </c>
      <c r="AO49" s="92">
        <v>60.0</v>
      </c>
      <c r="AP49" s="91" t="s">
        <v>207</v>
      </c>
      <c r="AQ49" s="91" t="s">
        <v>208</v>
      </c>
      <c r="AR49" s="92">
        <v>0.0</v>
      </c>
      <c r="AS49" s="93">
        <v>0.0</v>
      </c>
      <c r="AT49" s="92">
        <v>0.0</v>
      </c>
      <c r="AU49" s="92">
        <v>78.3</v>
      </c>
      <c r="AV49" s="93">
        <v>2.0</v>
      </c>
      <c r="AW49" s="93">
        <v>3.0</v>
      </c>
      <c r="AX49" s="93" t="s">
        <v>266</v>
      </c>
      <c r="AY49" s="78" t="s">
        <v>210</v>
      </c>
    </row>
    <row r="50">
      <c r="A50" s="78" t="s">
        <v>123</v>
      </c>
      <c r="B50" s="85">
        <v>160.0</v>
      </c>
      <c r="C50" s="85">
        <v>0.0</v>
      </c>
      <c r="D50" s="85">
        <v>0.0</v>
      </c>
      <c r="E50" s="85">
        <v>60.0</v>
      </c>
      <c r="F50" s="85">
        <v>60.0</v>
      </c>
      <c r="G50" s="78" t="s">
        <v>175</v>
      </c>
      <c r="H50" s="85" t="s">
        <v>176</v>
      </c>
      <c r="I50" s="85">
        <v>20000.0</v>
      </c>
      <c r="J50" s="78" t="s">
        <v>177</v>
      </c>
      <c r="K50" s="78" t="s">
        <v>262</v>
      </c>
      <c r="L50" s="87"/>
      <c r="M50" s="87"/>
      <c r="N50" s="86"/>
      <c r="O50" s="86"/>
      <c r="P50" s="78" t="s">
        <v>175</v>
      </c>
      <c r="Q50" s="78" t="s">
        <v>202</v>
      </c>
      <c r="R50" s="78" t="s">
        <v>177</v>
      </c>
      <c r="S50" s="78" t="s">
        <v>327</v>
      </c>
      <c r="T50" s="78" t="s">
        <v>318</v>
      </c>
      <c r="U50" s="88"/>
      <c r="V50" s="78" t="s">
        <v>216</v>
      </c>
      <c r="W50" s="88"/>
      <c r="X50" s="98" t="s">
        <v>246</v>
      </c>
      <c r="Y50" s="101" t="s">
        <v>255</v>
      </c>
      <c r="Z50" s="98" t="s">
        <v>226</v>
      </c>
      <c r="AA50" s="91" t="s">
        <v>177</v>
      </c>
      <c r="AB50" s="91" t="s">
        <v>227</v>
      </c>
      <c r="AC50" s="85">
        <v>65.0</v>
      </c>
      <c r="AD50" s="85">
        <v>100.0</v>
      </c>
      <c r="AE50" s="85">
        <v>90.0</v>
      </c>
      <c r="AF50" s="85">
        <v>95.0</v>
      </c>
      <c r="AG50" s="85">
        <v>92.0</v>
      </c>
      <c r="AH50" s="85">
        <v>21.0</v>
      </c>
      <c r="AI50" s="85">
        <v>63.3</v>
      </c>
      <c r="AJ50" s="85">
        <v>75.0</v>
      </c>
      <c r="AK50" s="85">
        <v>85.0</v>
      </c>
      <c r="AL50" s="92">
        <v>78.3</v>
      </c>
      <c r="AM50" s="93">
        <v>2.0</v>
      </c>
      <c r="AN50" s="93">
        <v>4.0</v>
      </c>
      <c r="AO50" s="92">
        <v>60.0</v>
      </c>
      <c r="AP50" s="91" t="s">
        <v>207</v>
      </c>
      <c r="AQ50" s="91" t="s">
        <v>208</v>
      </c>
      <c r="AR50" s="92">
        <v>0.0</v>
      </c>
      <c r="AS50" s="93">
        <v>0.0</v>
      </c>
      <c r="AT50" s="92">
        <v>0.0</v>
      </c>
      <c r="AU50" s="92">
        <v>78.3</v>
      </c>
      <c r="AV50" s="93">
        <v>2.0</v>
      </c>
      <c r="AW50" s="93">
        <v>3.0</v>
      </c>
      <c r="AX50" s="93" t="s">
        <v>266</v>
      </c>
      <c r="AY50" s="78" t="s">
        <v>210</v>
      </c>
    </row>
    <row r="51">
      <c r="A51" s="78" t="s">
        <v>328</v>
      </c>
      <c r="B51" s="85">
        <v>104.0</v>
      </c>
      <c r="C51" s="85">
        <v>0.0</v>
      </c>
      <c r="D51" s="85">
        <v>0.0</v>
      </c>
      <c r="E51" s="85">
        <v>90.0</v>
      </c>
      <c r="F51" s="85">
        <v>90.0</v>
      </c>
      <c r="G51" s="78" t="s">
        <v>175</v>
      </c>
      <c r="H51" s="85" t="s">
        <v>251</v>
      </c>
      <c r="I51" s="85">
        <v>1.0E7</v>
      </c>
      <c r="J51" s="78" t="s">
        <v>177</v>
      </c>
      <c r="K51" s="78" t="s">
        <v>262</v>
      </c>
      <c r="L51" s="87"/>
      <c r="M51" s="87"/>
      <c r="N51" s="86"/>
      <c r="O51" s="86"/>
      <c r="P51" s="78" t="s">
        <v>175</v>
      </c>
      <c r="Q51" s="78" t="s">
        <v>202</v>
      </c>
      <c r="R51" s="78" t="s">
        <v>177</v>
      </c>
      <c r="S51" s="78" t="s">
        <v>329</v>
      </c>
      <c r="T51" s="91" t="s">
        <v>330</v>
      </c>
      <c r="U51" s="88"/>
      <c r="V51" s="78" t="s">
        <v>205</v>
      </c>
      <c r="W51" s="88"/>
      <c r="X51" s="89" t="s">
        <v>183</v>
      </c>
      <c r="Y51" s="90" t="s">
        <v>184</v>
      </c>
      <c r="Z51" s="89" t="s">
        <v>226</v>
      </c>
      <c r="AA51" s="91" t="s">
        <v>177</v>
      </c>
      <c r="AB51" s="91" t="s">
        <v>227</v>
      </c>
      <c r="AC51" s="85">
        <v>45.0</v>
      </c>
      <c r="AD51" s="85">
        <v>100.0</v>
      </c>
      <c r="AE51" s="85">
        <v>90.0</v>
      </c>
      <c r="AF51" s="85">
        <v>100.0</v>
      </c>
      <c r="AG51" s="85">
        <v>94.0</v>
      </c>
      <c r="AH51" s="85">
        <v>14.56</v>
      </c>
      <c r="AI51" s="85">
        <v>21.2</v>
      </c>
      <c r="AJ51" s="85">
        <v>75.0</v>
      </c>
      <c r="AK51" s="85">
        <v>85.0</v>
      </c>
      <c r="AL51" s="92">
        <v>64.5</v>
      </c>
      <c r="AM51" s="93">
        <v>4.0</v>
      </c>
      <c r="AN51" s="93">
        <v>17.0</v>
      </c>
      <c r="AO51" s="92">
        <v>90.0</v>
      </c>
      <c r="AP51" s="91" t="s">
        <v>207</v>
      </c>
      <c r="AQ51" s="91" t="s">
        <v>208</v>
      </c>
      <c r="AR51" s="92">
        <v>0.0</v>
      </c>
      <c r="AS51" s="93">
        <v>2.0</v>
      </c>
      <c r="AT51" s="92">
        <v>4.0</v>
      </c>
      <c r="AU51" s="92">
        <v>60.5</v>
      </c>
      <c r="AV51" s="93">
        <v>5.0</v>
      </c>
      <c r="AW51" s="93">
        <v>15.0</v>
      </c>
      <c r="AX51" s="93" t="s">
        <v>266</v>
      </c>
      <c r="AY51" s="78" t="s">
        <v>210</v>
      </c>
    </row>
    <row r="52">
      <c r="A52" s="78" t="s">
        <v>331</v>
      </c>
      <c r="B52" s="85">
        <v>105.0</v>
      </c>
      <c r="C52" s="85">
        <v>0.0</v>
      </c>
      <c r="D52" s="85">
        <v>0.0</v>
      </c>
      <c r="E52" s="85">
        <v>180.0</v>
      </c>
      <c r="F52" s="85">
        <v>180.0</v>
      </c>
      <c r="G52" s="78" t="s">
        <v>175</v>
      </c>
      <c r="H52" s="85" t="s">
        <v>332</v>
      </c>
      <c r="I52" s="85">
        <v>1.0E7</v>
      </c>
      <c r="J52" s="78" t="s">
        <v>177</v>
      </c>
      <c r="K52" s="78" t="s">
        <v>262</v>
      </c>
      <c r="L52" s="87"/>
      <c r="M52" s="87"/>
      <c r="N52" s="86"/>
      <c r="O52" s="86"/>
      <c r="P52" s="78" t="s">
        <v>175</v>
      </c>
      <c r="Q52" s="78" t="s">
        <v>202</v>
      </c>
      <c r="R52" s="78" t="s">
        <v>177</v>
      </c>
      <c r="S52" s="78" t="s">
        <v>333</v>
      </c>
      <c r="T52" s="91" t="s">
        <v>330</v>
      </c>
      <c r="U52" s="88"/>
      <c r="V52" s="78" t="s">
        <v>205</v>
      </c>
      <c r="W52" s="88"/>
      <c r="X52" s="89" t="s">
        <v>183</v>
      </c>
      <c r="Y52" s="90" t="s">
        <v>184</v>
      </c>
      <c r="Z52" s="89" t="s">
        <v>226</v>
      </c>
      <c r="AA52" s="91" t="s">
        <v>177</v>
      </c>
      <c r="AB52" s="91" t="s">
        <v>227</v>
      </c>
      <c r="AC52" s="85">
        <v>45.0</v>
      </c>
      <c r="AD52" s="85">
        <v>90.0</v>
      </c>
      <c r="AE52" s="85">
        <v>90.0</v>
      </c>
      <c r="AF52" s="85">
        <v>100.0</v>
      </c>
      <c r="AG52" s="85">
        <v>94.0</v>
      </c>
      <c r="AH52" s="85">
        <v>14.7</v>
      </c>
      <c r="AI52" s="85">
        <v>22.1</v>
      </c>
      <c r="AJ52" s="85">
        <v>75.0</v>
      </c>
      <c r="AK52" s="85">
        <v>85.0</v>
      </c>
      <c r="AL52" s="92">
        <v>62.9</v>
      </c>
      <c r="AM52" s="93">
        <v>7.0</v>
      </c>
      <c r="AN52" s="93">
        <v>20.0</v>
      </c>
      <c r="AO52" s="92">
        <v>180.0</v>
      </c>
      <c r="AP52" s="91" t="s">
        <v>207</v>
      </c>
      <c r="AQ52" s="91" t="s">
        <v>208</v>
      </c>
      <c r="AR52" s="92">
        <v>1.0</v>
      </c>
      <c r="AS52" s="93">
        <v>2.0</v>
      </c>
      <c r="AT52" s="92">
        <v>9.0</v>
      </c>
      <c r="AU52" s="92">
        <v>53.9</v>
      </c>
      <c r="AV52" s="93">
        <v>8.0</v>
      </c>
      <c r="AW52" s="93">
        <v>29.0</v>
      </c>
      <c r="AX52" s="93" t="s">
        <v>266</v>
      </c>
      <c r="AY52" s="78" t="s">
        <v>210</v>
      </c>
    </row>
    <row r="53">
      <c r="A53" s="78" t="s">
        <v>334</v>
      </c>
      <c r="B53" s="85">
        <v>14.9</v>
      </c>
      <c r="C53" s="85">
        <v>0.0</v>
      </c>
      <c r="D53" s="85">
        <v>0.0</v>
      </c>
      <c r="E53" s="85">
        <v>365.0</v>
      </c>
      <c r="F53" s="85">
        <v>365.0</v>
      </c>
      <c r="G53" s="78" t="s">
        <v>175</v>
      </c>
      <c r="H53" s="85" t="s">
        <v>332</v>
      </c>
      <c r="I53" s="85">
        <v>1.0E7</v>
      </c>
      <c r="J53" s="78" t="s">
        <v>177</v>
      </c>
      <c r="K53" s="78" t="s">
        <v>262</v>
      </c>
      <c r="L53" s="87"/>
      <c r="M53" s="87"/>
      <c r="N53" s="86"/>
      <c r="O53" s="86"/>
      <c r="P53" s="78" t="s">
        <v>175</v>
      </c>
      <c r="Q53" s="78" t="s">
        <v>219</v>
      </c>
      <c r="R53" s="78" t="s">
        <v>177</v>
      </c>
      <c r="S53" s="78" t="s">
        <v>335</v>
      </c>
      <c r="T53" s="91" t="s">
        <v>330</v>
      </c>
      <c r="U53" s="88"/>
      <c r="V53" s="78" t="s">
        <v>205</v>
      </c>
      <c r="W53" s="88"/>
      <c r="X53" s="96" t="s">
        <v>235</v>
      </c>
      <c r="Y53" s="90" t="s">
        <v>184</v>
      </c>
      <c r="Z53" s="102"/>
      <c r="AA53" s="91" t="s">
        <v>177</v>
      </c>
      <c r="AB53" s="91" t="s">
        <v>186</v>
      </c>
      <c r="AC53" s="85">
        <v>25.0</v>
      </c>
      <c r="AD53" s="85">
        <v>90.0</v>
      </c>
      <c r="AE53" s="85">
        <v>90.0</v>
      </c>
      <c r="AF53" s="85">
        <v>100.0</v>
      </c>
      <c r="AG53" s="85">
        <v>94.0</v>
      </c>
      <c r="AH53" s="85">
        <v>14.9</v>
      </c>
      <c r="AI53" s="85">
        <v>23.4</v>
      </c>
      <c r="AJ53" s="85">
        <v>75.0</v>
      </c>
      <c r="AK53" s="85">
        <v>85.0</v>
      </c>
      <c r="AL53" s="92">
        <v>58.1</v>
      </c>
      <c r="AM53" s="93">
        <v>7.0</v>
      </c>
      <c r="AN53" s="93">
        <v>32.0</v>
      </c>
      <c r="AO53" s="92">
        <v>365.0</v>
      </c>
      <c r="AP53" s="91" t="s">
        <v>207</v>
      </c>
      <c r="AQ53" s="91" t="s">
        <v>208</v>
      </c>
      <c r="AR53" s="92">
        <v>0.0</v>
      </c>
      <c r="AS53" s="93">
        <v>2.0</v>
      </c>
      <c r="AT53" s="92">
        <v>4.0</v>
      </c>
      <c r="AU53" s="92">
        <v>54.1</v>
      </c>
      <c r="AV53" s="93">
        <v>9.0</v>
      </c>
      <c r="AW53" s="93">
        <v>27.0</v>
      </c>
      <c r="AX53" s="93" t="s">
        <v>266</v>
      </c>
      <c r="AY53" s="78" t="s">
        <v>222</v>
      </c>
    </row>
    <row r="54">
      <c r="A54" s="78" t="s">
        <v>336</v>
      </c>
      <c r="B54" s="85">
        <v>15.0</v>
      </c>
      <c r="C54" s="85">
        <v>0.0</v>
      </c>
      <c r="D54" s="85">
        <v>0.0</v>
      </c>
      <c r="E54" s="85">
        <v>180.0</v>
      </c>
      <c r="F54" s="85">
        <v>180.0</v>
      </c>
      <c r="G54" s="78" t="s">
        <v>175</v>
      </c>
      <c r="H54" s="85" t="s">
        <v>332</v>
      </c>
      <c r="I54" s="85">
        <v>1.0E7</v>
      </c>
      <c r="J54" s="78" t="s">
        <v>177</v>
      </c>
      <c r="K54" s="78" t="s">
        <v>262</v>
      </c>
      <c r="L54" s="87"/>
      <c r="M54" s="87"/>
      <c r="N54" s="86"/>
      <c r="O54" s="86"/>
      <c r="P54" s="78" t="s">
        <v>175</v>
      </c>
      <c r="Q54" s="78" t="s">
        <v>219</v>
      </c>
      <c r="R54" s="78" t="s">
        <v>177</v>
      </c>
      <c r="S54" s="78" t="s">
        <v>337</v>
      </c>
      <c r="T54" s="91" t="s">
        <v>330</v>
      </c>
      <c r="U54" s="88"/>
      <c r="V54" s="78" t="s">
        <v>205</v>
      </c>
      <c r="W54" s="88"/>
      <c r="X54" s="89" t="s">
        <v>183</v>
      </c>
      <c r="Y54" s="90" t="s">
        <v>184</v>
      </c>
      <c r="Z54" s="89" t="s">
        <v>226</v>
      </c>
      <c r="AA54" s="91" t="s">
        <v>177</v>
      </c>
      <c r="AB54" s="91" t="s">
        <v>227</v>
      </c>
      <c r="AC54" s="85">
        <v>45.0</v>
      </c>
      <c r="AD54" s="85">
        <v>90.0</v>
      </c>
      <c r="AE54" s="85">
        <v>90.0</v>
      </c>
      <c r="AF54" s="85">
        <v>100.0</v>
      </c>
      <c r="AG54" s="85">
        <v>94.0</v>
      </c>
      <c r="AH54" s="85">
        <v>15.0</v>
      </c>
      <c r="AI54" s="85">
        <v>24.0</v>
      </c>
      <c r="AJ54" s="85">
        <v>75.0</v>
      </c>
      <c r="AK54" s="85">
        <v>85.0</v>
      </c>
      <c r="AL54" s="92">
        <v>63.3</v>
      </c>
      <c r="AM54" s="93">
        <v>5.0</v>
      </c>
      <c r="AN54" s="93">
        <v>18.0</v>
      </c>
      <c r="AO54" s="92">
        <v>180.0</v>
      </c>
      <c r="AP54" s="91" t="s">
        <v>207</v>
      </c>
      <c r="AQ54" s="91" t="s">
        <v>208</v>
      </c>
      <c r="AR54" s="92">
        <v>0.0</v>
      </c>
      <c r="AS54" s="93">
        <v>1.0</v>
      </c>
      <c r="AT54" s="92">
        <v>2.0</v>
      </c>
      <c r="AU54" s="92">
        <v>61.3</v>
      </c>
      <c r="AV54" s="93">
        <v>4.0</v>
      </c>
      <c r="AW54" s="93">
        <v>13.0</v>
      </c>
      <c r="AX54" s="93" t="s">
        <v>266</v>
      </c>
      <c r="AY54" s="78" t="s">
        <v>222</v>
      </c>
    </row>
    <row r="55">
      <c r="A55" s="78" t="s">
        <v>338</v>
      </c>
      <c r="B55" s="85">
        <v>120.0</v>
      </c>
      <c r="C55" s="85">
        <v>0.0</v>
      </c>
      <c r="D55" s="85">
        <v>0.0</v>
      </c>
      <c r="E55" s="85">
        <v>90.0</v>
      </c>
      <c r="F55" s="85">
        <v>90.0</v>
      </c>
      <c r="G55" s="78" t="s">
        <v>175</v>
      </c>
      <c r="H55" s="85" t="s">
        <v>212</v>
      </c>
      <c r="I55" s="86"/>
      <c r="J55" s="78" t="s">
        <v>175</v>
      </c>
      <c r="K55" s="78" t="s">
        <v>262</v>
      </c>
      <c r="L55" s="88"/>
      <c r="M55" s="88"/>
      <c r="N55" s="86"/>
      <c r="O55" s="86"/>
      <c r="P55" s="78" t="s">
        <v>177</v>
      </c>
      <c r="Q55" s="78" t="s">
        <v>202</v>
      </c>
      <c r="R55" s="78" t="s">
        <v>177</v>
      </c>
      <c r="S55" s="78" t="s">
        <v>339</v>
      </c>
      <c r="T55" s="78" t="s">
        <v>264</v>
      </c>
      <c r="U55" s="88"/>
      <c r="V55" s="78" t="s">
        <v>216</v>
      </c>
      <c r="W55" s="88"/>
      <c r="X55" s="89" t="s">
        <v>183</v>
      </c>
      <c r="Y55" s="95" t="s">
        <v>265</v>
      </c>
      <c r="Z55" s="89" t="s">
        <v>185</v>
      </c>
      <c r="AA55" s="91" t="s">
        <v>175</v>
      </c>
      <c r="AB55" s="91" t="s">
        <v>227</v>
      </c>
      <c r="AC55" s="85">
        <v>45.0</v>
      </c>
      <c r="AD55" s="85">
        <v>80.0</v>
      </c>
      <c r="AE55" s="85">
        <v>90.0</v>
      </c>
      <c r="AF55" s="85">
        <v>95.0</v>
      </c>
      <c r="AG55" s="85">
        <v>92.0</v>
      </c>
      <c r="AH55" s="85">
        <v>16.8</v>
      </c>
      <c r="AI55" s="85">
        <v>35.8</v>
      </c>
      <c r="AJ55" s="85">
        <v>75.0</v>
      </c>
      <c r="AK55" s="85">
        <v>85.0</v>
      </c>
      <c r="AL55" s="92">
        <v>63.7</v>
      </c>
      <c r="AM55" s="99"/>
      <c r="AN55" s="99"/>
      <c r="AO55" s="92">
        <v>90.0</v>
      </c>
      <c r="AP55" s="91" t="s">
        <v>207</v>
      </c>
      <c r="AQ55" s="91" t="s">
        <v>208</v>
      </c>
      <c r="AR55" s="100"/>
      <c r="AS55" s="99"/>
      <c r="AT55" s="100"/>
      <c r="AU55" s="100"/>
      <c r="AV55" s="99"/>
      <c r="AW55" s="99"/>
      <c r="AX55" s="93" t="s">
        <v>266</v>
      </c>
      <c r="AY55" s="78" t="s">
        <v>210</v>
      </c>
    </row>
    <row r="56">
      <c r="A56" s="78" t="s">
        <v>340</v>
      </c>
      <c r="B56" s="85">
        <v>120.0</v>
      </c>
      <c r="C56" s="85">
        <v>0.0</v>
      </c>
      <c r="D56" s="85">
        <v>0.0</v>
      </c>
      <c r="E56" s="85">
        <v>180.0</v>
      </c>
      <c r="F56" s="85">
        <v>180.0</v>
      </c>
      <c r="G56" s="78" t="s">
        <v>175</v>
      </c>
      <c r="H56" s="85" t="s">
        <v>176</v>
      </c>
      <c r="I56" s="86"/>
      <c r="J56" s="78" t="s">
        <v>175</v>
      </c>
      <c r="K56" s="78" t="s">
        <v>262</v>
      </c>
      <c r="L56" s="88"/>
      <c r="M56" s="88"/>
      <c r="N56" s="86"/>
      <c r="O56" s="86"/>
      <c r="P56" s="78" t="s">
        <v>177</v>
      </c>
      <c r="Q56" s="78" t="s">
        <v>202</v>
      </c>
      <c r="R56" s="78" t="s">
        <v>177</v>
      </c>
      <c r="S56" s="78" t="s">
        <v>341</v>
      </c>
      <c r="T56" s="78" t="s">
        <v>264</v>
      </c>
      <c r="U56" s="88"/>
      <c r="V56" s="78" t="s">
        <v>216</v>
      </c>
      <c r="W56" s="88"/>
      <c r="X56" s="89" t="s">
        <v>183</v>
      </c>
      <c r="Y56" s="95" t="s">
        <v>265</v>
      </c>
      <c r="Z56" s="89" t="s">
        <v>185</v>
      </c>
      <c r="AA56" s="91" t="s">
        <v>175</v>
      </c>
      <c r="AB56" s="91" t="s">
        <v>227</v>
      </c>
      <c r="AC56" s="85">
        <v>45.0</v>
      </c>
      <c r="AD56" s="85">
        <v>100.0</v>
      </c>
      <c r="AE56" s="85">
        <v>90.0</v>
      </c>
      <c r="AF56" s="85">
        <v>95.0</v>
      </c>
      <c r="AG56" s="85">
        <v>92.0</v>
      </c>
      <c r="AH56" s="85">
        <v>16.8</v>
      </c>
      <c r="AI56" s="85">
        <v>35.8</v>
      </c>
      <c r="AJ56" s="85">
        <v>75.0</v>
      </c>
      <c r="AK56" s="85">
        <v>85.0</v>
      </c>
      <c r="AL56" s="92">
        <v>67.3</v>
      </c>
      <c r="AM56" s="99"/>
      <c r="AN56" s="99"/>
      <c r="AO56" s="92">
        <v>180.0</v>
      </c>
      <c r="AP56" s="91" t="s">
        <v>207</v>
      </c>
      <c r="AQ56" s="91" t="s">
        <v>208</v>
      </c>
      <c r="AR56" s="100"/>
      <c r="AS56" s="99"/>
      <c r="AT56" s="100"/>
      <c r="AU56" s="100"/>
      <c r="AV56" s="99"/>
      <c r="AW56" s="99"/>
      <c r="AX56" s="93" t="s">
        <v>266</v>
      </c>
      <c r="AY56" s="78" t="s">
        <v>210</v>
      </c>
    </row>
    <row r="57">
      <c r="A57" s="78" t="s">
        <v>342</v>
      </c>
      <c r="B57" s="85">
        <v>107.25</v>
      </c>
      <c r="C57" s="85">
        <v>0.0</v>
      </c>
      <c r="D57" s="85">
        <v>0.0</v>
      </c>
      <c r="E57" s="85">
        <v>540.0</v>
      </c>
      <c r="F57" s="85">
        <v>540.0</v>
      </c>
      <c r="G57" s="78" t="s">
        <v>175</v>
      </c>
      <c r="H57" s="85" t="s">
        <v>176</v>
      </c>
      <c r="I57" s="86"/>
      <c r="J57" s="78" t="s">
        <v>177</v>
      </c>
      <c r="K57" s="78" t="s">
        <v>262</v>
      </c>
      <c r="L57" s="87"/>
      <c r="M57" s="87"/>
      <c r="N57" s="86"/>
      <c r="O57" s="86"/>
      <c r="P57" s="78" t="s">
        <v>175</v>
      </c>
      <c r="Q57" s="78" t="s">
        <v>202</v>
      </c>
      <c r="R57" s="78" t="s">
        <v>177</v>
      </c>
      <c r="S57" s="78" t="s">
        <v>343</v>
      </c>
      <c r="T57" s="78" t="s">
        <v>264</v>
      </c>
      <c r="U57" s="88"/>
      <c r="V57" s="78" t="s">
        <v>216</v>
      </c>
      <c r="W57" s="88"/>
      <c r="X57" s="89" t="s">
        <v>183</v>
      </c>
      <c r="Y57" s="90" t="s">
        <v>184</v>
      </c>
      <c r="Z57" s="89" t="s">
        <v>185</v>
      </c>
      <c r="AA57" s="91" t="s">
        <v>177</v>
      </c>
      <c r="AB57" s="91" t="s">
        <v>186</v>
      </c>
      <c r="AC57" s="85">
        <v>10.0</v>
      </c>
      <c r="AD57" s="85">
        <v>100.0</v>
      </c>
      <c r="AE57" s="85">
        <v>90.0</v>
      </c>
      <c r="AF57" s="85">
        <v>95.0</v>
      </c>
      <c r="AG57" s="85">
        <v>92.0</v>
      </c>
      <c r="AH57" s="85">
        <v>15.02</v>
      </c>
      <c r="AI57" s="85">
        <v>24.2</v>
      </c>
      <c r="AJ57" s="85">
        <v>75.0</v>
      </c>
      <c r="AK57" s="85">
        <v>85.0</v>
      </c>
      <c r="AL57" s="92">
        <v>56.0</v>
      </c>
      <c r="AM57" s="93">
        <v>22.0</v>
      </c>
      <c r="AN57" s="93">
        <v>48.0</v>
      </c>
      <c r="AO57" s="92">
        <v>540.0</v>
      </c>
      <c r="AP57" s="91" t="s">
        <v>207</v>
      </c>
      <c r="AQ57" s="91" t="s">
        <v>208</v>
      </c>
      <c r="AR57" s="92">
        <v>5.0</v>
      </c>
      <c r="AS57" s="93">
        <v>3.0</v>
      </c>
      <c r="AT57" s="92">
        <v>18.0</v>
      </c>
      <c r="AU57" s="92">
        <v>38.0</v>
      </c>
      <c r="AV57" s="93">
        <v>34.0</v>
      </c>
      <c r="AW57" s="93">
        <v>61.0</v>
      </c>
      <c r="AX57" s="93" t="s">
        <v>266</v>
      </c>
      <c r="AY57" s="78" t="s">
        <v>210</v>
      </c>
    </row>
    <row r="58">
      <c r="A58" s="78" t="s">
        <v>119</v>
      </c>
      <c r="B58" s="85">
        <v>105.0</v>
      </c>
      <c r="C58" s="85">
        <v>0.0</v>
      </c>
      <c r="D58" s="85">
        <v>0.0</v>
      </c>
      <c r="E58" s="85">
        <v>1086.0</v>
      </c>
      <c r="F58" s="85">
        <v>0.0</v>
      </c>
      <c r="G58" s="78" t="s">
        <v>175</v>
      </c>
      <c r="H58" s="85" t="s">
        <v>251</v>
      </c>
      <c r="I58" s="86"/>
      <c r="J58" s="78" t="s">
        <v>177</v>
      </c>
      <c r="K58" s="78" t="s">
        <v>262</v>
      </c>
      <c r="L58" s="87"/>
      <c r="M58" s="87"/>
      <c r="N58" s="86"/>
      <c r="O58" s="86"/>
      <c r="P58" s="78" t="s">
        <v>175</v>
      </c>
      <c r="Q58" s="78" t="s">
        <v>202</v>
      </c>
      <c r="R58" s="78" t="s">
        <v>177</v>
      </c>
      <c r="S58" s="78" t="s">
        <v>344</v>
      </c>
      <c r="T58" s="78" t="s">
        <v>345</v>
      </c>
      <c r="U58" s="88"/>
      <c r="V58" s="78" t="s">
        <v>216</v>
      </c>
      <c r="W58" s="88"/>
      <c r="X58" s="98" t="s">
        <v>246</v>
      </c>
      <c r="Y58" s="90" t="s">
        <v>184</v>
      </c>
      <c r="Z58" s="98" t="s">
        <v>226</v>
      </c>
      <c r="AA58" s="91" t="s">
        <v>177</v>
      </c>
      <c r="AB58" s="91" t="s">
        <v>206</v>
      </c>
      <c r="AC58" s="85">
        <v>100.0</v>
      </c>
      <c r="AD58" s="85">
        <v>100.0</v>
      </c>
      <c r="AE58" s="85">
        <v>90.0</v>
      </c>
      <c r="AF58" s="85">
        <v>95.0</v>
      </c>
      <c r="AG58" s="85">
        <v>92.0</v>
      </c>
      <c r="AH58" s="85">
        <v>0.59</v>
      </c>
      <c r="AI58" s="85">
        <v>0.0</v>
      </c>
      <c r="AJ58" s="85">
        <v>51.0</v>
      </c>
      <c r="AK58" s="85">
        <v>85.0</v>
      </c>
      <c r="AL58" s="92">
        <v>70.8</v>
      </c>
      <c r="AM58" s="93">
        <v>5.0</v>
      </c>
      <c r="AN58" s="93">
        <v>8.0</v>
      </c>
      <c r="AO58" s="92">
        <v>0.0</v>
      </c>
      <c r="AP58" s="91" t="s">
        <v>207</v>
      </c>
      <c r="AQ58" s="91" t="s">
        <v>208</v>
      </c>
      <c r="AR58" s="92">
        <v>0.0</v>
      </c>
      <c r="AS58" s="93">
        <v>0.0</v>
      </c>
      <c r="AT58" s="92">
        <v>0.0</v>
      </c>
      <c r="AU58" s="92">
        <v>70.8</v>
      </c>
      <c r="AV58" s="93">
        <v>4.0</v>
      </c>
      <c r="AW58" s="93">
        <v>7.0</v>
      </c>
      <c r="AX58" s="93" t="s">
        <v>266</v>
      </c>
      <c r="AY58" s="78" t="s">
        <v>210</v>
      </c>
    </row>
    <row r="59">
      <c r="A59" s="78" t="s">
        <v>117</v>
      </c>
      <c r="B59" s="85">
        <v>103.0</v>
      </c>
      <c r="C59" s="85">
        <v>130.0</v>
      </c>
      <c r="D59" s="85">
        <v>30.0</v>
      </c>
      <c r="E59" s="85">
        <v>30.0</v>
      </c>
      <c r="F59" s="85">
        <v>0.0</v>
      </c>
      <c r="G59" s="78" t="s">
        <v>175</v>
      </c>
      <c r="H59" s="85" t="s">
        <v>251</v>
      </c>
      <c r="I59" s="86"/>
      <c r="J59" s="78" t="s">
        <v>175</v>
      </c>
      <c r="K59" s="78" t="s">
        <v>262</v>
      </c>
      <c r="L59" s="87"/>
      <c r="M59" s="87"/>
      <c r="N59" s="86"/>
      <c r="O59" s="86"/>
      <c r="P59" s="78" t="s">
        <v>175</v>
      </c>
      <c r="Q59" s="78" t="s">
        <v>202</v>
      </c>
      <c r="R59" s="78" t="s">
        <v>177</v>
      </c>
      <c r="S59" s="78" t="s">
        <v>346</v>
      </c>
      <c r="T59" s="91" t="s">
        <v>330</v>
      </c>
      <c r="U59" s="88"/>
      <c r="V59" s="78" t="s">
        <v>182</v>
      </c>
      <c r="W59" s="88"/>
      <c r="X59" s="89" t="s">
        <v>183</v>
      </c>
      <c r="Y59" s="95" t="s">
        <v>184</v>
      </c>
      <c r="Z59" s="89" t="s">
        <v>185</v>
      </c>
      <c r="AA59" s="91" t="s">
        <v>175</v>
      </c>
      <c r="AB59" s="91" t="s">
        <v>206</v>
      </c>
      <c r="AC59" s="85">
        <v>100.0</v>
      </c>
      <c r="AD59" s="85">
        <v>100.0</v>
      </c>
      <c r="AE59" s="85">
        <v>90.0</v>
      </c>
      <c r="AF59" s="85">
        <v>60.0</v>
      </c>
      <c r="AG59" s="85">
        <v>78.0</v>
      </c>
      <c r="AH59" s="85">
        <v>0.73</v>
      </c>
      <c r="AI59" s="85">
        <v>0.0</v>
      </c>
      <c r="AJ59" s="85">
        <v>51.0</v>
      </c>
      <c r="AK59" s="85">
        <v>85.0</v>
      </c>
      <c r="AL59" s="92">
        <v>68.0</v>
      </c>
      <c r="AM59" s="99"/>
      <c r="AN59" s="99"/>
      <c r="AO59" s="92">
        <v>0.0</v>
      </c>
      <c r="AP59" s="91" t="s">
        <v>207</v>
      </c>
      <c r="AQ59" s="91" t="s">
        <v>208</v>
      </c>
      <c r="AR59" s="100"/>
      <c r="AS59" s="99"/>
      <c r="AT59" s="100"/>
      <c r="AU59" s="100"/>
      <c r="AV59" s="99"/>
      <c r="AW59" s="99"/>
      <c r="AX59" s="93" t="s">
        <v>266</v>
      </c>
      <c r="AY59" s="78" t="s">
        <v>210</v>
      </c>
    </row>
    <row r="60">
      <c r="A60" s="78" t="s">
        <v>347</v>
      </c>
      <c r="B60" s="85">
        <v>150.0</v>
      </c>
      <c r="C60" s="85">
        <v>0.0</v>
      </c>
      <c r="D60" s="85">
        <v>0.0</v>
      </c>
      <c r="E60" s="85">
        <v>60.0</v>
      </c>
      <c r="F60" s="85">
        <v>0.0</v>
      </c>
      <c r="G60" s="78" t="s">
        <v>175</v>
      </c>
      <c r="H60" s="85" t="s">
        <v>348</v>
      </c>
      <c r="I60" s="85">
        <v>60000.0</v>
      </c>
      <c r="J60" s="78" t="s">
        <v>177</v>
      </c>
      <c r="K60" s="78" t="s">
        <v>262</v>
      </c>
      <c r="L60" s="87"/>
      <c r="M60" s="87"/>
      <c r="N60" s="86"/>
      <c r="O60" s="86"/>
      <c r="P60" s="78" t="s">
        <v>175</v>
      </c>
      <c r="Q60" s="78" t="s">
        <v>202</v>
      </c>
      <c r="R60" s="78" t="s">
        <v>177</v>
      </c>
      <c r="S60" s="78" t="s">
        <v>349</v>
      </c>
      <c r="T60" s="78" t="s">
        <v>350</v>
      </c>
      <c r="U60" s="88"/>
      <c r="V60" s="78" t="s">
        <v>216</v>
      </c>
      <c r="W60" s="88"/>
      <c r="X60" s="89" t="s">
        <v>183</v>
      </c>
      <c r="Y60" s="101" t="s">
        <v>255</v>
      </c>
      <c r="Z60" s="89" t="s">
        <v>226</v>
      </c>
      <c r="AA60" s="91" t="s">
        <v>177</v>
      </c>
      <c r="AB60" s="91" t="s">
        <v>206</v>
      </c>
      <c r="AC60" s="85">
        <v>100.0</v>
      </c>
      <c r="AD60" s="85">
        <v>15.0</v>
      </c>
      <c r="AE60" s="85">
        <v>90.0</v>
      </c>
      <c r="AF60" s="85">
        <v>95.0</v>
      </c>
      <c r="AG60" s="85">
        <v>92.0</v>
      </c>
      <c r="AH60" s="85">
        <v>0.84</v>
      </c>
      <c r="AI60" s="85">
        <v>0.0</v>
      </c>
      <c r="AJ60" s="85">
        <v>51.0</v>
      </c>
      <c r="AK60" s="85">
        <v>85.0</v>
      </c>
      <c r="AL60" s="92">
        <v>55.5</v>
      </c>
      <c r="AM60" s="93">
        <v>12.0</v>
      </c>
      <c r="AN60" s="93">
        <v>52.0</v>
      </c>
      <c r="AO60" s="92">
        <v>0.0</v>
      </c>
      <c r="AP60" s="91" t="s">
        <v>207</v>
      </c>
      <c r="AQ60" s="91" t="s">
        <v>208</v>
      </c>
      <c r="AR60" s="92">
        <v>0.0</v>
      </c>
      <c r="AS60" s="93">
        <v>0.0</v>
      </c>
      <c r="AT60" s="92">
        <v>0.0</v>
      </c>
      <c r="AU60" s="92">
        <v>55.5</v>
      </c>
      <c r="AV60" s="93">
        <v>8.0</v>
      </c>
      <c r="AW60" s="93">
        <v>23.0</v>
      </c>
      <c r="AX60" s="93" t="s">
        <v>266</v>
      </c>
      <c r="AY60" s="78" t="s">
        <v>210</v>
      </c>
    </row>
    <row r="61">
      <c r="A61" s="78" t="s">
        <v>118</v>
      </c>
      <c r="B61" s="85">
        <v>230.0</v>
      </c>
      <c r="C61" s="85">
        <v>0.0</v>
      </c>
      <c r="D61" s="85">
        <v>0.0</v>
      </c>
      <c r="E61" s="85">
        <v>60.0</v>
      </c>
      <c r="F61" s="85">
        <v>0.0</v>
      </c>
      <c r="G61" s="78" t="s">
        <v>175</v>
      </c>
      <c r="H61" s="85" t="s">
        <v>176</v>
      </c>
      <c r="I61" s="85">
        <v>3000.0</v>
      </c>
      <c r="J61" s="78" t="s">
        <v>175</v>
      </c>
      <c r="K61" s="78" t="s">
        <v>262</v>
      </c>
      <c r="L61" s="87"/>
      <c r="M61" s="87"/>
      <c r="N61" s="86"/>
      <c r="O61" s="86"/>
      <c r="P61" s="78" t="s">
        <v>175</v>
      </c>
      <c r="Q61" s="78" t="s">
        <v>202</v>
      </c>
      <c r="R61" s="78" t="s">
        <v>177</v>
      </c>
      <c r="S61" s="78" t="s">
        <v>351</v>
      </c>
      <c r="T61" s="78" t="s">
        <v>350</v>
      </c>
      <c r="U61" s="88"/>
      <c r="V61" s="78" t="s">
        <v>216</v>
      </c>
      <c r="W61" s="88"/>
      <c r="X61" s="89" t="s">
        <v>183</v>
      </c>
      <c r="Y61" s="95" t="s">
        <v>265</v>
      </c>
      <c r="Z61" s="89" t="s">
        <v>352</v>
      </c>
      <c r="AA61" s="91" t="s">
        <v>175</v>
      </c>
      <c r="AB61" s="91" t="s">
        <v>206</v>
      </c>
      <c r="AC61" s="85">
        <v>100.0</v>
      </c>
      <c r="AD61" s="85">
        <v>100.0</v>
      </c>
      <c r="AE61" s="85">
        <v>90.0</v>
      </c>
      <c r="AF61" s="85">
        <v>95.0</v>
      </c>
      <c r="AG61" s="85">
        <v>92.0</v>
      </c>
      <c r="AH61" s="85">
        <v>1.29</v>
      </c>
      <c r="AI61" s="85">
        <v>0.0</v>
      </c>
      <c r="AJ61" s="85">
        <v>51.0</v>
      </c>
      <c r="AK61" s="85">
        <v>85.0</v>
      </c>
      <c r="AL61" s="92">
        <v>70.8</v>
      </c>
      <c r="AM61" s="99"/>
      <c r="AN61" s="99"/>
      <c r="AO61" s="92">
        <v>0.0</v>
      </c>
      <c r="AP61" s="91" t="s">
        <v>207</v>
      </c>
      <c r="AQ61" s="91" t="s">
        <v>208</v>
      </c>
      <c r="AR61" s="100"/>
      <c r="AS61" s="99"/>
      <c r="AT61" s="100"/>
      <c r="AU61" s="100"/>
      <c r="AV61" s="99"/>
      <c r="AW61" s="99"/>
      <c r="AX61" s="93" t="s">
        <v>266</v>
      </c>
      <c r="AY61" s="78" t="s">
        <v>210</v>
      </c>
    </row>
    <row r="62">
      <c r="A62" s="78" t="s">
        <v>353</v>
      </c>
      <c r="B62" s="85">
        <v>100.0</v>
      </c>
      <c r="C62" s="85">
        <v>115.0</v>
      </c>
      <c r="D62" s="85">
        <v>0.0</v>
      </c>
      <c r="E62" s="85">
        <v>90.0</v>
      </c>
      <c r="F62" s="85">
        <v>0.0</v>
      </c>
      <c r="G62" s="78" t="s">
        <v>175</v>
      </c>
      <c r="H62" s="85" t="s">
        <v>354</v>
      </c>
      <c r="I62" s="86"/>
      <c r="J62" s="78" t="s">
        <v>177</v>
      </c>
      <c r="K62" s="78" t="s">
        <v>355</v>
      </c>
      <c r="L62" s="78" t="s">
        <v>356</v>
      </c>
      <c r="M62" s="78" t="s">
        <v>357</v>
      </c>
      <c r="N62" s="85">
        <v>2.0</v>
      </c>
      <c r="O62" s="85">
        <v>1.0</v>
      </c>
      <c r="P62" s="78" t="s">
        <v>175</v>
      </c>
      <c r="Q62" s="78" t="s">
        <v>202</v>
      </c>
      <c r="R62" s="78" t="s">
        <v>177</v>
      </c>
      <c r="S62" s="78" t="s">
        <v>358</v>
      </c>
      <c r="T62" s="78" t="s">
        <v>359</v>
      </c>
      <c r="U62" s="88"/>
      <c r="V62" s="78" t="s">
        <v>216</v>
      </c>
      <c r="W62" s="88"/>
      <c r="X62" s="94" t="s">
        <v>194</v>
      </c>
      <c r="Y62" s="95" t="s">
        <v>184</v>
      </c>
      <c r="Z62" s="94" t="s">
        <v>226</v>
      </c>
      <c r="AA62" s="91" t="s">
        <v>177</v>
      </c>
      <c r="AB62" s="91" t="s">
        <v>206</v>
      </c>
      <c r="AC62" s="85">
        <v>100.0</v>
      </c>
      <c r="AD62" s="85">
        <v>90.0</v>
      </c>
      <c r="AE62" s="85">
        <v>90.0</v>
      </c>
      <c r="AF62" s="85">
        <v>95.0</v>
      </c>
      <c r="AG62" s="85">
        <v>92.0</v>
      </c>
      <c r="AH62" s="85">
        <v>0.64</v>
      </c>
      <c r="AI62" s="85">
        <v>0.0</v>
      </c>
      <c r="AJ62" s="85">
        <v>16.0</v>
      </c>
      <c r="AK62" s="85">
        <v>85.0</v>
      </c>
      <c r="AL62" s="92">
        <v>65.5</v>
      </c>
      <c r="AM62" s="93">
        <v>7.0</v>
      </c>
      <c r="AN62" s="93">
        <v>13.0</v>
      </c>
      <c r="AO62" s="92">
        <v>0.0</v>
      </c>
      <c r="AP62" s="91" t="s">
        <v>207</v>
      </c>
      <c r="AQ62" s="91" t="s">
        <v>208</v>
      </c>
      <c r="AR62" s="92">
        <v>2.0</v>
      </c>
      <c r="AS62" s="93">
        <v>0.0</v>
      </c>
      <c r="AT62" s="92">
        <v>14.0</v>
      </c>
      <c r="AU62" s="92">
        <v>51.5</v>
      </c>
      <c r="AV62" s="93">
        <v>10.0</v>
      </c>
      <c r="AW62" s="93">
        <v>32.0</v>
      </c>
      <c r="AX62" s="93" t="s">
        <v>266</v>
      </c>
      <c r="AY62" s="78" t="s">
        <v>210</v>
      </c>
    </row>
    <row r="63">
      <c r="A63" s="78" t="s">
        <v>360</v>
      </c>
      <c r="B63" s="85">
        <v>100.0</v>
      </c>
      <c r="C63" s="85">
        <v>120.0</v>
      </c>
      <c r="D63" s="85">
        <v>0.0</v>
      </c>
      <c r="E63" s="85">
        <v>90.0</v>
      </c>
      <c r="F63" s="85">
        <v>0.0</v>
      </c>
      <c r="G63" s="78" t="s">
        <v>175</v>
      </c>
      <c r="H63" s="85" t="s">
        <v>354</v>
      </c>
      <c r="I63" s="86"/>
      <c r="J63" s="78" t="s">
        <v>177</v>
      </c>
      <c r="K63" s="78" t="s">
        <v>355</v>
      </c>
      <c r="L63" s="78" t="s">
        <v>356</v>
      </c>
      <c r="M63" s="78" t="s">
        <v>361</v>
      </c>
      <c r="N63" s="85">
        <v>2.0</v>
      </c>
      <c r="O63" s="85">
        <v>1.0</v>
      </c>
      <c r="P63" s="78" t="s">
        <v>175</v>
      </c>
      <c r="Q63" s="78" t="s">
        <v>202</v>
      </c>
      <c r="R63" s="78" t="s">
        <v>177</v>
      </c>
      <c r="S63" s="78" t="s">
        <v>362</v>
      </c>
      <c r="T63" s="78" t="s">
        <v>359</v>
      </c>
      <c r="U63" s="88"/>
      <c r="V63" s="78" t="s">
        <v>216</v>
      </c>
      <c r="W63" s="88"/>
      <c r="X63" s="94" t="s">
        <v>194</v>
      </c>
      <c r="Y63" s="95" t="s">
        <v>184</v>
      </c>
      <c r="Z63" s="94" t="s">
        <v>226</v>
      </c>
      <c r="AA63" s="91" t="s">
        <v>177</v>
      </c>
      <c r="AB63" s="91" t="s">
        <v>206</v>
      </c>
      <c r="AC63" s="85">
        <v>100.0</v>
      </c>
      <c r="AD63" s="85">
        <v>90.0</v>
      </c>
      <c r="AE63" s="85">
        <v>90.0</v>
      </c>
      <c r="AF63" s="85">
        <v>95.0</v>
      </c>
      <c r="AG63" s="85">
        <v>92.0</v>
      </c>
      <c r="AH63" s="85">
        <v>0.67</v>
      </c>
      <c r="AI63" s="85">
        <v>0.0</v>
      </c>
      <c r="AJ63" s="85">
        <v>16.0</v>
      </c>
      <c r="AK63" s="85">
        <v>85.0</v>
      </c>
      <c r="AL63" s="92">
        <v>65.5</v>
      </c>
      <c r="AM63" s="93">
        <v>8.0</v>
      </c>
      <c r="AN63" s="93">
        <v>14.0</v>
      </c>
      <c r="AO63" s="92">
        <v>0.0</v>
      </c>
      <c r="AP63" s="91" t="s">
        <v>207</v>
      </c>
      <c r="AQ63" s="91" t="s">
        <v>208</v>
      </c>
      <c r="AR63" s="92">
        <v>0.0</v>
      </c>
      <c r="AS63" s="93">
        <v>0.0</v>
      </c>
      <c r="AT63" s="92">
        <v>0.0</v>
      </c>
      <c r="AU63" s="92">
        <v>65.5</v>
      </c>
      <c r="AV63" s="93">
        <v>5.0</v>
      </c>
      <c r="AW63" s="93">
        <v>9.0</v>
      </c>
      <c r="AX63" s="93" t="s">
        <v>266</v>
      </c>
      <c r="AY63" s="78" t="s">
        <v>210</v>
      </c>
    </row>
    <row r="64">
      <c r="A64" s="78" t="s">
        <v>363</v>
      </c>
      <c r="B64" s="85">
        <v>100.0</v>
      </c>
      <c r="C64" s="85">
        <v>120.0</v>
      </c>
      <c r="D64" s="85">
        <v>0.0</v>
      </c>
      <c r="E64" s="85">
        <v>180.0</v>
      </c>
      <c r="F64" s="85">
        <v>0.0</v>
      </c>
      <c r="G64" s="78" t="s">
        <v>175</v>
      </c>
      <c r="H64" s="85" t="s">
        <v>354</v>
      </c>
      <c r="I64" s="86"/>
      <c r="J64" s="78" t="s">
        <v>177</v>
      </c>
      <c r="K64" s="78" t="s">
        <v>355</v>
      </c>
      <c r="L64" s="78" t="s">
        <v>356</v>
      </c>
      <c r="M64" s="78" t="s">
        <v>364</v>
      </c>
      <c r="N64" s="85">
        <v>2.0</v>
      </c>
      <c r="O64" s="85">
        <v>1.0</v>
      </c>
      <c r="P64" s="78" t="s">
        <v>175</v>
      </c>
      <c r="Q64" s="78" t="s">
        <v>202</v>
      </c>
      <c r="R64" s="78" t="s">
        <v>177</v>
      </c>
      <c r="S64" s="78" t="s">
        <v>365</v>
      </c>
      <c r="T64" s="78" t="s">
        <v>359</v>
      </c>
      <c r="U64" s="88"/>
      <c r="V64" s="78" t="s">
        <v>216</v>
      </c>
      <c r="W64" s="88"/>
      <c r="X64" s="94" t="s">
        <v>194</v>
      </c>
      <c r="Y64" s="95" t="s">
        <v>184</v>
      </c>
      <c r="Z64" s="94" t="s">
        <v>226</v>
      </c>
      <c r="AA64" s="91" t="s">
        <v>177</v>
      </c>
      <c r="AB64" s="91" t="s">
        <v>206</v>
      </c>
      <c r="AC64" s="85">
        <v>100.0</v>
      </c>
      <c r="AD64" s="85">
        <v>90.0</v>
      </c>
      <c r="AE64" s="85">
        <v>90.0</v>
      </c>
      <c r="AF64" s="85">
        <v>95.0</v>
      </c>
      <c r="AG64" s="85">
        <v>92.0</v>
      </c>
      <c r="AH64" s="85">
        <v>0.67</v>
      </c>
      <c r="AI64" s="85">
        <v>0.0</v>
      </c>
      <c r="AJ64" s="85">
        <v>16.0</v>
      </c>
      <c r="AK64" s="85">
        <v>85.0</v>
      </c>
      <c r="AL64" s="92">
        <v>65.5</v>
      </c>
      <c r="AM64" s="93">
        <v>9.0</v>
      </c>
      <c r="AN64" s="93">
        <v>15.0</v>
      </c>
      <c r="AO64" s="92">
        <v>0.0</v>
      </c>
      <c r="AP64" s="91" t="s">
        <v>207</v>
      </c>
      <c r="AQ64" s="91" t="s">
        <v>208</v>
      </c>
      <c r="AR64" s="92">
        <v>0.0</v>
      </c>
      <c r="AS64" s="93">
        <v>0.0</v>
      </c>
      <c r="AT64" s="92">
        <v>0.0</v>
      </c>
      <c r="AU64" s="92">
        <v>65.5</v>
      </c>
      <c r="AV64" s="93">
        <v>6.0</v>
      </c>
      <c r="AW64" s="93">
        <v>10.0</v>
      </c>
      <c r="AX64" s="93" t="s">
        <v>266</v>
      </c>
      <c r="AY64" s="78" t="s">
        <v>210</v>
      </c>
    </row>
    <row r="65">
      <c r="A65" s="78" t="s">
        <v>366</v>
      </c>
      <c r="B65" s="85">
        <v>115.75</v>
      </c>
      <c r="C65" s="85">
        <v>0.0</v>
      </c>
      <c r="D65" s="85">
        <v>0.0</v>
      </c>
      <c r="E65" s="85">
        <v>365.0</v>
      </c>
      <c r="F65" s="85">
        <v>365.0</v>
      </c>
      <c r="G65" s="78" t="s">
        <v>175</v>
      </c>
      <c r="H65" s="85" t="s">
        <v>176</v>
      </c>
      <c r="I65" s="86"/>
      <c r="J65" s="78" t="s">
        <v>177</v>
      </c>
      <c r="K65" s="78" t="s">
        <v>252</v>
      </c>
      <c r="L65" s="87"/>
      <c r="M65" s="87"/>
      <c r="N65" s="86"/>
      <c r="O65" s="86"/>
      <c r="P65" s="78" t="s">
        <v>175</v>
      </c>
      <c r="Q65" s="78" t="s">
        <v>202</v>
      </c>
      <c r="R65" s="78" t="s">
        <v>175</v>
      </c>
      <c r="S65" s="78" t="s">
        <v>367</v>
      </c>
      <c r="T65" s="78" t="s">
        <v>368</v>
      </c>
      <c r="U65" s="88"/>
      <c r="V65" s="78" t="s">
        <v>182</v>
      </c>
      <c r="W65" s="88"/>
      <c r="X65" s="89" t="s">
        <v>183</v>
      </c>
      <c r="Y65" s="90" t="s">
        <v>184</v>
      </c>
      <c r="Z65" s="89" t="s">
        <v>185</v>
      </c>
      <c r="AA65" s="91" t="s">
        <v>177</v>
      </c>
      <c r="AB65" s="91" t="s">
        <v>186</v>
      </c>
      <c r="AC65" s="85">
        <v>25.0</v>
      </c>
      <c r="AD65" s="85">
        <v>100.0</v>
      </c>
      <c r="AE65" s="85">
        <v>70.0</v>
      </c>
      <c r="AF65" s="85">
        <v>60.0</v>
      </c>
      <c r="AG65" s="85">
        <v>66.0</v>
      </c>
      <c r="AH65" s="85">
        <v>16.2</v>
      </c>
      <c r="AI65" s="85">
        <v>31.9</v>
      </c>
      <c r="AJ65" s="85">
        <v>75.0</v>
      </c>
      <c r="AK65" s="85">
        <v>85.0</v>
      </c>
      <c r="AL65" s="92">
        <v>56.2</v>
      </c>
      <c r="AM65" s="93">
        <v>21.0</v>
      </c>
      <c r="AN65" s="93">
        <v>47.0</v>
      </c>
      <c r="AO65" s="92">
        <v>365.0</v>
      </c>
      <c r="AP65" s="91" t="s">
        <v>207</v>
      </c>
      <c r="AQ65" s="91" t="s">
        <v>208</v>
      </c>
      <c r="AR65" s="92">
        <v>1.0</v>
      </c>
      <c r="AS65" s="93">
        <v>0.0</v>
      </c>
      <c r="AT65" s="92">
        <v>7.0</v>
      </c>
      <c r="AU65" s="92">
        <v>49.2</v>
      </c>
      <c r="AV65" s="93">
        <v>24.0</v>
      </c>
      <c r="AW65" s="93">
        <v>46.0</v>
      </c>
      <c r="AX65" s="93" t="s">
        <v>266</v>
      </c>
      <c r="AY65" s="78" t="s">
        <v>210</v>
      </c>
    </row>
    <row r="66">
      <c r="A66" s="78" t="s">
        <v>369</v>
      </c>
      <c r="B66" s="85">
        <v>119.16</v>
      </c>
      <c r="C66" s="85">
        <v>0.0</v>
      </c>
      <c r="D66" s="85">
        <v>0.0</v>
      </c>
      <c r="E66" s="85">
        <v>730.0</v>
      </c>
      <c r="F66" s="85">
        <v>730.0</v>
      </c>
      <c r="G66" s="78" t="s">
        <v>175</v>
      </c>
      <c r="H66" s="85" t="s">
        <v>176</v>
      </c>
      <c r="I66" s="86"/>
      <c r="J66" s="78" t="s">
        <v>177</v>
      </c>
      <c r="K66" s="78" t="s">
        <v>252</v>
      </c>
      <c r="L66" s="87"/>
      <c r="M66" s="87"/>
      <c r="N66" s="86"/>
      <c r="O66" s="86"/>
      <c r="P66" s="78" t="s">
        <v>175</v>
      </c>
      <c r="Q66" s="78" t="s">
        <v>202</v>
      </c>
      <c r="R66" s="78" t="s">
        <v>175</v>
      </c>
      <c r="S66" s="78" t="s">
        <v>370</v>
      </c>
      <c r="T66" s="78" t="s">
        <v>368</v>
      </c>
      <c r="U66" s="88"/>
      <c r="V66" s="78" t="s">
        <v>182</v>
      </c>
      <c r="W66" s="88"/>
      <c r="X66" s="89" t="s">
        <v>183</v>
      </c>
      <c r="Y66" s="90" t="s">
        <v>184</v>
      </c>
      <c r="Z66" s="97"/>
      <c r="AA66" s="91" t="s">
        <v>177</v>
      </c>
      <c r="AB66" s="91" t="s">
        <v>186</v>
      </c>
      <c r="AC66" s="85">
        <v>10.0</v>
      </c>
      <c r="AD66" s="85">
        <v>100.0</v>
      </c>
      <c r="AE66" s="85">
        <v>70.0</v>
      </c>
      <c r="AF66" s="85">
        <v>60.0</v>
      </c>
      <c r="AG66" s="85">
        <v>66.0</v>
      </c>
      <c r="AH66" s="85">
        <v>16.68</v>
      </c>
      <c r="AI66" s="85">
        <v>35.0</v>
      </c>
      <c r="AJ66" s="85">
        <v>75.0</v>
      </c>
      <c r="AK66" s="85">
        <v>85.0</v>
      </c>
      <c r="AL66" s="92">
        <v>53.2</v>
      </c>
      <c r="AM66" s="93">
        <v>32.0</v>
      </c>
      <c r="AN66" s="93">
        <v>60.0</v>
      </c>
      <c r="AO66" s="92">
        <v>730.0</v>
      </c>
      <c r="AP66" s="91" t="s">
        <v>207</v>
      </c>
      <c r="AQ66" s="91" t="s">
        <v>208</v>
      </c>
      <c r="AR66" s="92">
        <v>0.0</v>
      </c>
      <c r="AS66" s="93">
        <v>0.0</v>
      </c>
      <c r="AT66" s="92">
        <v>0.0</v>
      </c>
      <c r="AU66" s="92">
        <v>53.2</v>
      </c>
      <c r="AV66" s="93">
        <v>10.0</v>
      </c>
      <c r="AW66" s="93">
        <v>30.0</v>
      </c>
      <c r="AX66" s="93" t="s">
        <v>266</v>
      </c>
      <c r="AY66" s="78" t="s">
        <v>210</v>
      </c>
    </row>
    <row r="67">
      <c r="A67" s="78" t="s">
        <v>371</v>
      </c>
      <c r="B67" s="85">
        <v>104.41</v>
      </c>
      <c r="C67" s="85">
        <v>0.0</v>
      </c>
      <c r="D67" s="85">
        <v>0.0</v>
      </c>
      <c r="E67" s="85">
        <v>90.0</v>
      </c>
      <c r="F67" s="85">
        <v>90.0</v>
      </c>
      <c r="G67" s="78" t="s">
        <v>175</v>
      </c>
      <c r="H67" s="85" t="s">
        <v>176</v>
      </c>
      <c r="I67" s="86"/>
      <c r="J67" s="78" t="s">
        <v>177</v>
      </c>
      <c r="K67" s="78" t="s">
        <v>252</v>
      </c>
      <c r="L67" s="87"/>
      <c r="M67" s="87"/>
      <c r="N67" s="86"/>
      <c r="O67" s="86"/>
      <c r="P67" s="78" t="s">
        <v>175</v>
      </c>
      <c r="Q67" s="78" t="s">
        <v>202</v>
      </c>
      <c r="R67" s="78" t="s">
        <v>175</v>
      </c>
      <c r="S67" s="78" t="s">
        <v>372</v>
      </c>
      <c r="T67" s="78" t="s">
        <v>368</v>
      </c>
      <c r="U67" s="88"/>
      <c r="V67" s="78" t="s">
        <v>182</v>
      </c>
      <c r="W67" s="88"/>
      <c r="X67" s="89" t="s">
        <v>183</v>
      </c>
      <c r="Y67" s="90" t="s">
        <v>184</v>
      </c>
      <c r="Z67" s="89" t="s">
        <v>185</v>
      </c>
      <c r="AA67" s="91" t="s">
        <v>177</v>
      </c>
      <c r="AB67" s="91" t="s">
        <v>227</v>
      </c>
      <c r="AC67" s="85">
        <v>45.0</v>
      </c>
      <c r="AD67" s="85">
        <v>100.0</v>
      </c>
      <c r="AE67" s="85">
        <v>70.0</v>
      </c>
      <c r="AF67" s="85">
        <v>60.0</v>
      </c>
      <c r="AG67" s="85">
        <v>66.0</v>
      </c>
      <c r="AH67" s="85">
        <v>14.62</v>
      </c>
      <c r="AI67" s="85">
        <v>21.5</v>
      </c>
      <c r="AJ67" s="85">
        <v>75.0</v>
      </c>
      <c r="AK67" s="85">
        <v>85.0</v>
      </c>
      <c r="AL67" s="92">
        <v>58.9</v>
      </c>
      <c r="AM67" s="93">
        <v>11.0</v>
      </c>
      <c r="AN67" s="93">
        <v>29.0</v>
      </c>
      <c r="AO67" s="92">
        <v>90.0</v>
      </c>
      <c r="AP67" s="91" t="s">
        <v>207</v>
      </c>
      <c r="AQ67" s="91" t="s">
        <v>208</v>
      </c>
      <c r="AR67" s="92">
        <v>3.0</v>
      </c>
      <c r="AS67" s="93">
        <v>2.0</v>
      </c>
      <c r="AT67" s="92">
        <v>18.0</v>
      </c>
      <c r="AU67" s="92">
        <v>40.9</v>
      </c>
      <c r="AV67" s="93">
        <v>11.0</v>
      </c>
      <c r="AW67" s="93">
        <v>56.0</v>
      </c>
      <c r="AX67" s="93" t="s">
        <v>266</v>
      </c>
      <c r="AY67" s="78" t="s">
        <v>210</v>
      </c>
    </row>
    <row r="68">
      <c r="A68" s="78" t="s">
        <v>373</v>
      </c>
      <c r="B68" s="85">
        <v>108.76</v>
      </c>
      <c r="C68" s="85">
        <v>0.0</v>
      </c>
      <c r="D68" s="85">
        <v>0.0</v>
      </c>
      <c r="E68" s="85">
        <v>180.0</v>
      </c>
      <c r="F68" s="85">
        <v>180.0</v>
      </c>
      <c r="G68" s="78" t="s">
        <v>175</v>
      </c>
      <c r="H68" s="85" t="s">
        <v>176</v>
      </c>
      <c r="I68" s="86"/>
      <c r="J68" s="78" t="s">
        <v>177</v>
      </c>
      <c r="K68" s="78" t="s">
        <v>252</v>
      </c>
      <c r="L68" s="87"/>
      <c r="M68" s="87"/>
      <c r="N68" s="86"/>
      <c r="O68" s="86"/>
      <c r="P68" s="78" t="s">
        <v>175</v>
      </c>
      <c r="Q68" s="78" t="s">
        <v>202</v>
      </c>
      <c r="R68" s="78" t="s">
        <v>175</v>
      </c>
      <c r="S68" s="78" t="s">
        <v>374</v>
      </c>
      <c r="T68" s="78" t="s">
        <v>368</v>
      </c>
      <c r="U68" s="88"/>
      <c r="V68" s="78" t="s">
        <v>182</v>
      </c>
      <c r="W68" s="88"/>
      <c r="X68" s="89" t="s">
        <v>183</v>
      </c>
      <c r="Y68" s="90" t="s">
        <v>184</v>
      </c>
      <c r="Z68" s="89" t="s">
        <v>185</v>
      </c>
      <c r="AA68" s="91" t="s">
        <v>177</v>
      </c>
      <c r="AB68" s="91" t="s">
        <v>227</v>
      </c>
      <c r="AC68" s="85">
        <v>45.0</v>
      </c>
      <c r="AD68" s="85">
        <v>100.0</v>
      </c>
      <c r="AE68" s="85">
        <v>70.0</v>
      </c>
      <c r="AF68" s="85">
        <v>60.0</v>
      </c>
      <c r="AG68" s="85">
        <v>66.0</v>
      </c>
      <c r="AH68" s="85">
        <v>15.23</v>
      </c>
      <c r="AI68" s="85">
        <v>25.5</v>
      </c>
      <c r="AJ68" s="85">
        <v>75.0</v>
      </c>
      <c r="AK68" s="85">
        <v>85.0</v>
      </c>
      <c r="AL68" s="92">
        <v>59.8</v>
      </c>
      <c r="AM68" s="93">
        <v>10.0</v>
      </c>
      <c r="AN68" s="93">
        <v>28.0</v>
      </c>
      <c r="AO68" s="92">
        <v>180.0</v>
      </c>
      <c r="AP68" s="91" t="s">
        <v>207</v>
      </c>
      <c r="AQ68" s="91" t="s">
        <v>208</v>
      </c>
      <c r="AR68" s="92">
        <v>2.0</v>
      </c>
      <c r="AS68" s="93">
        <v>1.0</v>
      </c>
      <c r="AT68" s="92">
        <v>14.0</v>
      </c>
      <c r="AU68" s="92">
        <v>45.8</v>
      </c>
      <c r="AV68" s="93">
        <v>10.0</v>
      </c>
      <c r="AW68" s="93">
        <v>50.0</v>
      </c>
      <c r="AX68" s="93" t="s">
        <v>266</v>
      </c>
      <c r="AY68" s="78" t="s">
        <v>210</v>
      </c>
    </row>
    <row r="69">
      <c r="A69" s="78" t="s">
        <v>375</v>
      </c>
      <c r="B69" s="85">
        <v>100.0</v>
      </c>
      <c r="C69" s="85">
        <v>0.0</v>
      </c>
      <c r="D69" s="85">
        <v>0.0</v>
      </c>
      <c r="E69" s="85">
        <v>1.0</v>
      </c>
      <c r="F69" s="85">
        <v>31.0</v>
      </c>
      <c r="G69" s="78" t="s">
        <v>175</v>
      </c>
      <c r="H69" s="85" t="s">
        <v>332</v>
      </c>
      <c r="I69" s="86"/>
      <c r="J69" s="78" t="s">
        <v>177</v>
      </c>
      <c r="K69" s="78" t="s">
        <v>178</v>
      </c>
      <c r="L69" s="87"/>
      <c r="M69" s="87"/>
      <c r="N69" s="86"/>
      <c r="O69" s="86"/>
      <c r="P69" s="78" t="s">
        <v>175</v>
      </c>
      <c r="Q69" s="78" t="s">
        <v>202</v>
      </c>
      <c r="R69" s="78" t="s">
        <v>175</v>
      </c>
      <c r="S69" s="78" t="s">
        <v>376</v>
      </c>
      <c r="T69" s="78" t="s">
        <v>377</v>
      </c>
      <c r="U69" s="88"/>
      <c r="V69" s="78" t="s">
        <v>182</v>
      </c>
      <c r="W69" s="88"/>
      <c r="X69" s="89" t="s">
        <v>183</v>
      </c>
      <c r="Y69" s="90" t="s">
        <v>184</v>
      </c>
      <c r="Z69" s="89" t="s">
        <v>226</v>
      </c>
      <c r="AA69" s="91" t="s">
        <v>177</v>
      </c>
      <c r="AB69" s="91" t="s">
        <v>315</v>
      </c>
      <c r="AC69" s="85">
        <v>65.0</v>
      </c>
      <c r="AD69" s="85">
        <v>90.0</v>
      </c>
      <c r="AE69" s="85">
        <v>70.0</v>
      </c>
      <c r="AF69" s="85">
        <v>60.0</v>
      </c>
      <c r="AG69" s="85">
        <v>66.0</v>
      </c>
      <c r="AH69" s="85">
        <v>14.0</v>
      </c>
      <c r="AI69" s="85">
        <v>17.5</v>
      </c>
      <c r="AJ69" s="85">
        <v>40.0</v>
      </c>
      <c r="AK69" s="85">
        <v>85.0</v>
      </c>
      <c r="AL69" s="92">
        <v>57.8</v>
      </c>
      <c r="AM69" s="93">
        <v>4.0</v>
      </c>
      <c r="AN69" s="93">
        <v>33.0</v>
      </c>
      <c r="AO69" s="92">
        <v>31.0</v>
      </c>
      <c r="AP69" s="91" t="s">
        <v>207</v>
      </c>
      <c r="AQ69" s="91" t="s">
        <v>208</v>
      </c>
      <c r="AR69" s="92">
        <v>1.0</v>
      </c>
      <c r="AS69" s="93">
        <v>1.0</v>
      </c>
      <c r="AT69" s="92">
        <v>7.0</v>
      </c>
      <c r="AU69" s="92">
        <v>50.8</v>
      </c>
      <c r="AV69" s="93">
        <v>4.0</v>
      </c>
      <c r="AW69" s="93">
        <v>37.0</v>
      </c>
      <c r="AX69" s="93" t="s">
        <v>266</v>
      </c>
      <c r="AY69" s="78" t="s">
        <v>378</v>
      </c>
    </row>
    <row r="70">
      <c r="A70" s="78" t="s">
        <v>379</v>
      </c>
      <c r="B70" s="85">
        <v>104.21</v>
      </c>
      <c r="C70" s="85">
        <v>0.0</v>
      </c>
      <c r="D70" s="85">
        <v>0.0</v>
      </c>
      <c r="E70" s="85">
        <v>1.0</v>
      </c>
      <c r="F70" s="85">
        <v>0.0</v>
      </c>
      <c r="G70" s="78" t="s">
        <v>175</v>
      </c>
      <c r="H70" s="85" t="s">
        <v>212</v>
      </c>
      <c r="I70" s="86"/>
      <c r="J70" s="78" t="s">
        <v>177</v>
      </c>
      <c r="K70" s="78" t="s">
        <v>178</v>
      </c>
      <c r="L70" s="87"/>
      <c r="M70" s="87"/>
      <c r="N70" s="86"/>
      <c r="O70" s="86"/>
      <c r="P70" s="78" t="s">
        <v>175</v>
      </c>
      <c r="Q70" s="78" t="s">
        <v>202</v>
      </c>
      <c r="R70" s="78" t="s">
        <v>175</v>
      </c>
      <c r="S70" s="78" t="s">
        <v>380</v>
      </c>
      <c r="T70" s="78" t="s">
        <v>381</v>
      </c>
      <c r="U70" s="88"/>
      <c r="V70" s="78" t="s">
        <v>216</v>
      </c>
      <c r="W70" s="88"/>
      <c r="X70" s="96" t="s">
        <v>235</v>
      </c>
      <c r="Y70" s="90" t="s">
        <v>184</v>
      </c>
      <c r="Z70" s="96" t="s">
        <v>226</v>
      </c>
      <c r="AA70" s="91" t="s">
        <v>177</v>
      </c>
      <c r="AB70" s="91" t="s">
        <v>206</v>
      </c>
      <c r="AC70" s="85">
        <v>100.0</v>
      </c>
      <c r="AD70" s="85">
        <v>80.0</v>
      </c>
      <c r="AE70" s="85">
        <v>70.0</v>
      </c>
      <c r="AF70" s="85">
        <v>95.0</v>
      </c>
      <c r="AG70" s="85">
        <v>80.0</v>
      </c>
      <c r="AH70" s="85">
        <v>0.58</v>
      </c>
      <c r="AI70" s="85">
        <v>0.0</v>
      </c>
      <c r="AJ70" s="85">
        <v>16.0</v>
      </c>
      <c r="AK70" s="85">
        <v>85.0</v>
      </c>
      <c r="AL70" s="92">
        <v>61.2</v>
      </c>
      <c r="AM70" s="93">
        <v>11.0</v>
      </c>
      <c r="AN70" s="93">
        <v>23.0</v>
      </c>
      <c r="AO70" s="92">
        <v>0.0</v>
      </c>
      <c r="AP70" s="91" t="s">
        <v>207</v>
      </c>
      <c r="AQ70" s="91" t="s">
        <v>208</v>
      </c>
      <c r="AR70" s="92">
        <v>5.0</v>
      </c>
      <c r="AS70" s="93">
        <v>5.0</v>
      </c>
      <c r="AT70" s="92">
        <v>18.0</v>
      </c>
      <c r="AU70" s="92">
        <v>43.2</v>
      </c>
      <c r="AV70" s="93">
        <v>12.0</v>
      </c>
      <c r="AW70" s="93">
        <v>54.0</v>
      </c>
      <c r="AX70" s="93" t="s">
        <v>266</v>
      </c>
      <c r="AY70" s="78" t="s">
        <v>190</v>
      </c>
    </row>
    <row r="71">
      <c r="A71" s="78" t="s">
        <v>382</v>
      </c>
      <c r="B71" s="85">
        <v>7.67</v>
      </c>
      <c r="C71" s="85">
        <v>0.0</v>
      </c>
      <c r="D71" s="85">
        <v>0.0</v>
      </c>
      <c r="E71" s="85">
        <v>2074.0</v>
      </c>
      <c r="F71" s="85">
        <v>0.0</v>
      </c>
      <c r="G71" s="78" t="s">
        <v>175</v>
      </c>
      <c r="H71" s="85" t="s">
        <v>383</v>
      </c>
      <c r="I71" s="86"/>
      <c r="J71" s="78" t="s">
        <v>177</v>
      </c>
      <c r="K71" s="78" t="s">
        <v>384</v>
      </c>
      <c r="L71" s="87"/>
      <c r="M71" s="87"/>
      <c r="N71" s="86"/>
      <c r="O71" s="86"/>
      <c r="P71" s="78" t="s">
        <v>175</v>
      </c>
      <c r="Q71" s="78" t="s">
        <v>229</v>
      </c>
      <c r="R71" s="78" t="s">
        <v>175</v>
      </c>
      <c r="S71" s="78" t="s">
        <v>385</v>
      </c>
      <c r="T71" s="78" t="s">
        <v>384</v>
      </c>
      <c r="U71" s="88"/>
      <c r="V71" s="78" t="s">
        <v>216</v>
      </c>
      <c r="W71" s="88"/>
      <c r="X71" s="89" t="s">
        <v>183</v>
      </c>
      <c r="Y71" s="90" t="s">
        <v>184</v>
      </c>
      <c r="Z71" s="89" t="s">
        <v>185</v>
      </c>
      <c r="AA71" s="91" t="s">
        <v>177</v>
      </c>
      <c r="AB71" s="91" t="s">
        <v>186</v>
      </c>
      <c r="AC71" s="85">
        <v>25.0</v>
      </c>
      <c r="AD71" s="85">
        <v>100.0</v>
      </c>
      <c r="AE71" s="85">
        <v>100.0</v>
      </c>
      <c r="AF71" s="85">
        <v>95.0</v>
      </c>
      <c r="AG71" s="85">
        <v>98.0</v>
      </c>
      <c r="AH71" s="85">
        <v>12.17</v>
      </c>
      <c r="AI71" s="85">
        <v>5.5</v>
      </c>
      <c r="AJ71" s="85">
        <v>75.0</v>
      </c>
      <c r="AK71" s="85">
        <v>85.0</v>
      </c>
      <c r="AL71" s="92">
        <v>56.8</v>
      </c>
      <c r="AM71" s="93">
        <v>9.0</v>
      </c>
      <c r="AN71" s="93">
        <v>35.0</v>
      </c>
      <c r="AO71" s="92">
        <v>365.0</v>
      </c>
      <c r="AP71" s="91" t="s">
        <v>386</v>
      </c>
      <c r="AQ71" s="91" t="s">
        <v>188</v>
      </c>
      <c r="AR71" s="92">
        <v>1.0</v>
      </c>
      <c r="AS71" s="93">
        <v>1.0</v>
      </c>
      <c r="AT71" s="92">
        <v>7.0</v>
      </c>
      <c r="AU71" s="92">
        <v>49.8</v>
      </c>
      <c r="AV71" s="93">
        <v>16.0</v>
      </c>
      <c r="AW71" s="93">
        <v>38.0</v>
      </c>
      <c r="AX71" s="93" t="s">
        <v>266</v>
      </c>
      <c r="AY71" s="78" t="s">
        <v>231</v>
      </c>
    </row>
    <row r="72">
      <c r="A72" s="78" t="s">
        <v>387</v>
      </c>
      <c r="B72" s="85">
        <v>7.63</v>
      </c>
      <c r="C72" s="85">
        <v>0.0</v>
      </c>
      <c r="D72" s="85">
        <v>0.0</v>
      </c>
      <c r="E72" s="85">
        <v>2440.0</v>
      </c>
      <c r="F72" s="85">
        <v>0.0</v>
      </c>
      <c r="G72" s="78" t="s">
        <v>175</v>
      </c>
      <c r="H72" s="85" t="s">
        <v>388</v>
      </c>
      <c r="I72" s="86"/>
      <c r="J72" s="78" t="s">
        <v>177</v>
      </c>
      <c r="K72" s="78" t="s">
        <v>384</v>
      </c>
      <c r="L72" s="87"/>
      <c r="M72" s="87"/>
      <c r="N72" s="86"/>
      <c r="O72" s="86"/>
      <c r="P72" s="78" t="s">
        <v>175</v>
      </c>
      <c r="Q72" s="78" t="s">
        <v>229</v>
      </c>
      <c r="R72" s="78" t="s">
        <v>175</v>
      </c>
      <c r="S72" s="78" t="s">
        <v>389</v>
      </c>
      <c r="T72" s="78" t="s">
        <v>384</v>
      </c>
      <c r="U72" s="88"/>
      <c r="V72" s="78" t="s">
        <v>216</v>
      </c>
      <c r="W72" s="88"/>
      <c r="X72" s="89" t="s">
        <v>183</v>
      </c>
      <c r="Y72" s="90" t="s">
        <v>184</v>
      </c>
      <c r="Z72" s="89" t="s">
        <v>185</v>
      </c>
      <c r="AA72" s="91" t="s">
        <v>177</v>
      </c>
      <c r="AB72" s="91" t="s">
        <v>186</v>
      </c>
      <c r="AC72" s="85">
        <v>25.0</v>
      </c>
      <c r="AD72" s="85">
        <v>100.0</v>
      </c>
      <c r="AE72" s="85">
        <v>100.0</v>
      </c>
      <c r="AF72" s="85">
        <v>95.0</v>
      </c>
      <c r="AG72" s="85">
        <v>98.0</v>
      </c>
      <c r="AH72" s="85">
        <v>12.13</v>
      </c>
      <c r="AI72" s="85">
        <v>5.2</v>
      </c>
      <c r="AJ72" s="85">
        <v>75.0</v>
      </c>
      <c r="AK72" s="85">
        <v>85.0</v>
      </c>
      <c r="AL72" s="92">
        <v>56.7</v>
      </c>
      <c r="AM72" s="93">
        <v>11.0</v>
      </c>
      <c r="AN72" s="93">
        <v>37.0</v>
      </c>
      <c r="AO72" s="92">
        <v>365.0</v>
      </c>
      <c r="AP72" s="91" t="s">
        <v>386</v>
      </c>
      <c r="AQ72" s="91" t="s">
        <v>188</v>
      </c>
      <c r="AR72" s="92">
        <v>1.0</v>
      </c>
      <c r="AS72" s="93">
        <v>1.0</v>
      </c>
      <c r="AT72" s="92">
        <v>7.0</v>
      </c>
      <c r="AU72" s="92">
        <v>49.7</v>
      </c>
      <c r="AV72" s="93">
        <v>17.0</v>
      </c>
      <c r="AW72" s="93">
        <v>39.0</v>
      </c>
      <c r="AX72" s="93" t="s">
        <v>266</v>
      </c>
      <c r="AY72" s="78" t="s">
        <v>231</v>
      </c>
    </row>
    <row r="73">
      <c r="A73" s="78" t="s">
        <v>390</v>
      </c>
      <c r="B73" s="85">
        <v>7.6</v>
      </c>
      <c r="C73" s="85">
        <v>0.0</v>
      </c>
      <c r="D73" s="85">
        <v>0.0</v>
      </c>
      <c r="E73" s="85">
        <v>2805.0</v>
      </c>
      <c r="F73" s="85">
        <v>0.0</v>
      </c>
      <c r="G73" s="78" t="s">
        <v>175</v>
      </c>
      <c r="H73" s="85" t="s">
        <v>391</v>
      </c>
      <c r="I73" s="86"/>
      <c r="J73" s="78" t="s">
        <v>177</v>
      </c>
      <c r="K73" s="78" t="s">
        <v>384</v>
      </c>
      <c r="L73" s="87"/>
      <c r="M73" s="87"/>
      <c r="N73" s="86"/>
      <c r="O73" s="86"/>
      <c r="P73" s="78" t="s">
        <v>175</v>
      </c>
      <c r="Q73" s="78" t="s">
        <v>229</v>
      </c>
      <c r="R73" s="78" t="s">
        <v>175</v>
      </c>
      <c r="S73" s="78" t="s">
        <v>392</v>
      </c>
      <c r="T73" s="78" t="s">
        <v>384</v>
      </c>
      <c r="U73" s="88"/>
      <c r="V73" s="78" t="s">
        <v>216</v>
      </c>
      <c r="W73" s="88"/>
      <c r="X73" s="89" t="s">
        <v>183</v>
      </c>
      <c r="Y73" s="90" t="s">
        <v>184</v>
      </c>
      <c r="Z73" s="89" t="s">
        <v>185</v>
      </c>
      <c r="AA73" s="91" t="s">
        <v>177</v>
      </c>
      <c r="AB73" s="91" t="s">
        <v>186</v>
      </c>
      <c r="AC73" s="85">
        <v>25.0</v>
      </c>
      <c r="AD73" s="85">
        <v>100.0</v>
      </c>
      <c r="AE73" s="85">
        <v>100.0</v>
      </c>
      <c r="AF73" s="85">
        <v>95.0</v>
      </c>
      <c r="AG73" s="85">
        <v>98.0</v>
      </c>
      <c r="AH73" s="85">
        <v>12.1</v>
      </c>
      <c r="AI73" s="85">
        <v>5.0</v>
      </c>
      <c r="AJ73" s="85">
        <v>75.0</v>
      </c>
      <c r="AK73" s="85">
        <v>85.0</v>
      </c>
      <c r="AL73" s="92">
        <v>56.7</v>
      </c>
      <c r="AM73" s="93">
        <v>12.0</v>
      </c>
      <c r="AN73" s="93">
        <v>38.0</v>
      </c>
      <c r="AO73" s="92">
        <v>365.0</v>
      </c>
      <c r="AP73" s="91" t="s">
        <v>386</v>
      </c>
      <c r="AQ73" s="91" t="s">
        <v>188</v>
      </c>
      <c r="AR73" s="92">
        <v>1.0</v>
      </c>
      <c r="AS73" s="93">
        <v>1.0</v>
      </c>
      <c r="AT73" s="92">
        <v>7.0</v>
      </c>
      <c r="AU73" s="92">
        <v>49.7</v>
      </c>
      <c r="AV73" s="93">
        <v>18.0</v>
      </c>
      <c r="AW73" s="93">
        <v>40.0</v>
      </c>
      <c r="AX73" s="93" t="s">
        <v>266</v>
      </c>
      <c r="AY73" s="78" t="s">
        <v>231</v>
      </c>
    </row>
    <row r="74">
      <c r="A74" s="78" t="s">
        <v>393</v>
      </c>
      <c r="B74" s="85">
        <v>7.56</v>
      </c>
      <c r="C74" s="85">
        <v>0.0</v>
      </c>
      <c r="D74" s="85">
        <v>0.0</v>
      </c>
      <c r="E74" s="85">
        <v>3170.0</v>
      </c>
      <c r="F74" s="85">
        <v>0.0</v>
      </c>
      <c r="G74" s="78" t="s">
        <v>175</v>
      </c>
      <c r="H74" s="85" t="s">
        <v>394</v>
      </c>
      <c r="I74" s="86"/>
      <c r="J74" s="78" t="s">
        <v>177</v>
      </c>
      <c r="K74" s="78" t="s">
        <v>384</v>
      </c>
      <c r="L74" s="87"/>
      <c r="M74" s="87"/>
      <c r="N74" s="86"/>
      <c r="O74" s="86"/>
      <c r="P74" s="78" t="s">
        <v>175</v>
      </c>
      <c r="Q74" s="78" t="s">
        <v>229</v>
      </c>
      <c r="R74" s="78" t="s">
        <v>175</v>
      </c>
      <c r="S74" s="78" t="s">
        <v>395</v>
      </c>
      <c r="T74" s="78" t="s">
        <v>384</v>
      </c>
      <c r="U74" s="88"/>
      <c r="V74" s="78" t="s">
        <v>216</v>
      </c>
      <c r="W74" s="88"/>
      <c r="X74" s="89" t="s">
        <v>183</v>
      </c>
      <c r="Y74" s="90" t="s">
        <v>184</v>
      </c>
      <c r="Z74" s="89" t="s">
        <v>185</v>
      </c>
      <c r="AA74" s="91" t="s">
        <v>177</v>
      </c>
      <c r="AB74" s="91" t="s">
        <v>186</v>
      </c>
      <c r="AC74" s="85">
        <v>25.0</v>
      </c>
      <c r="AD74" s="85">
        <v>100.0</v>
      </c>
      <c r="AE74" s="85">
        <v>100.0</v>
      </c>
      <c r="AF74" s="85">
        <v>95.0</v>
      </c>
      <c r="AG74" s="85">
        <v>98.0</v>
      </c>
      <c r="AH74" s="85">
        <v>12.06</v>
      </c>
      <c r="AI74" s="85">
        <v>4.8</v>
      </c>
      <c r="AJ74" s="85">
        <v>75.0</v>
      </c>
      <c r="AK74" s="85">
        <v>85.0</v>
      </c>
      <c r="AL74" s="92">
        <v>56.7</v>
      </c>
      <c r="AM74" s="93">
        <v>13.0</v>
      </c>
      <c r="AN74" s="93">
        <v>39.0</v>
      </c>
      <c r="AO74" s="92">
        <v>365.0</v>
      </c>
      <c r="AP74" s="91" t="s">
        <v>386</v>
      </c>
      <c r="AQ74" s="91" t="s">
        <v>188</v>
      </c>
      <c r="AR74" s="92">
        <v>1.0</v>
      </c>
      <c r="AS74" s="93">
        <v>1.0</v>
      </c>
      <c r="AT74" s="92">
        <v>7.0</v>
      </c>
      <c r="AU74" s="92">
        <v>49.7</v>
      </c>
      <c r="AV74" s="93">
        <v>19.0</v>
      </c>
      <c r="AW74" s="93">
        <v>41.0</v>
      </c>
      <c r="AX74" s="93" t="s">
        <v>266</v>
      </c>
      <c r="AY74" s="78" t="s">
        <v>231</v>
      </c>
    </row>
    <row r="75">
      <c r="A75" s="78" t="s">
        <v>396</v>
      </c>
      <c r="B75" s="85">
        <v>7.5</v>
      </c>
      <c r="C75" s="85">
        <v>0.0</v>
      </c>
      <c r="D75" s="85">
        <v>0.0</v>
      </c>
      <c r="E75" s="85">
        <v>3535.0</v>
      </c>
      <c r="F75" s="85">
        <v>0.0</v>
      </c>
      <c r="G75" s="78" t="s">
        <v>175</v>
      </c>
      <c r="H75" s="85" t="s">
        <v>397</v>
      </c>
      <c r="I75" s="86"/>
      <c r="J75" s="78" t="s">
        <v>177</v>
      </c>
      <c r="K75" s="78" t="s">
        <v>384</v>
      </c>
      <c r="L75" s="87"/>
      <c r="M75" s="87"/>
      <c r="N75" s="86"/>
      <c r="O75" s="86"/>
      <c r="P75" s="78" t="s">
        <v>175</v>
      </c>
      <c r="Q75" s="78" t="s">
        <v>229</v>
      </c>
      <c r="R75" s="78" t="s">
        <v>175</v>
      </c>
      <c r="S75" s="78" t="s">
        <v>398</v>
      </c>
      <c r="T75" s="78" t="s">
        <v>384</v>
      </c>
      <c r="U75" s="88"/>
      <c r="V75" s="78" t="s">
        <v>216</v>
      </c>
      <c r="W75" s="88"/>
      <c r="X75" s="89" t="s">
        <v>183</v>
      </c>
      <c r="Y75" s="90" t="s">
        <v>184</v>
      </c>
      <c r="Z75" s="89" t="s">
        <v>185</v>
      </c>
      <c r="AA75" s="91" t="s">
        <v>177</v>
      </c>
      <c r="AB75" s="91" t="s">
        <v>186</v>
      </c>
      <c r="AC75" s="85">
        <v>25.0</v>
      </c>
      <c r="AD75" s="85">
        <v>100.0</v>
      </c>
      <c r="AE75" s="85">
        <v>100.0</v>
      </c>
      <c r="AF75" s="85">
        <v>95.0</v>
      </c>
      <c r="AG75" s="85">
        <v>98.0</v>
      </c>
      <c r="AH75" s="85">
        <v>12.0</v>
      </c>
      <c r="AI75" s="85">
        <v>4.4</v>
      </c>
      <c r="AJ75" s="85">
        <v>75.0</v>
      </c>
      <c r="AK75" s="85">
        <v>85.0</v>
      </c>
      <c r="AL75" s="92">
        <v>56.6</v>
      </c>
      <c r="AM75" s="93">
        <v>15.0</v>
      </c>
      <c r="AN75" s="93">
        <v>41.0</v>
      </c>
      <c r="AO75" s="92">
        <v>365.0</v>
      </c>
      <c r="AP75" s="91" t="s">
        <v>386</v>
      </c>
      <c r="AQ75" s="91" t="s">
        <v>188</v>
      </c>
      <c r="AR75" s="92">
        <v>1.0</v>
      </c>
      <c r="AS75" s="93">
        <v>1.0</v>
      </c>
      <c r="AT75" s="92">
        <v>7.0</v>
      </c>
      <c r="AU75" s="92">
        <v>49.6</v>
      </c>
      <c r="AV75" s="93">
        <v>21.0</v>
      </c>
      <c r="AW75" s="93">
        <v>43.0</v>
      </c>
      <c r="AX75" s="93" t="s">
        <v>266</v>
      </c>
      <c r="AY75" s="78" t="s">
        <v>231</v>
      </c>
    </row>
    <row r="76">
      <c r="A76" s="78" t="s">
        <v>399</v>
      </c>
      <c r="B76" s="85">
        <v>7.44</v>
      </c>
      <c r="C76" s="85">
        <v>0.0</v>
      </c>
      <c r="D76" s="85">
        <v>0.0</v>
      </c>
      <c r="E76" s="85">
        <v>3901.0</v>
      </c>
      <c r="F76" s="85">
        <v>0.0</v>
      </c>
      <c r="G76" s="78" t="s">
        <v>175</v>
      </c>
      <c r="H76" s="85" t="s">
        <v>400</v>
      </c>
      <c r="I76" s="86"/>
      <c r="J76" s="78" t="s">
        <v>177</v>
      </c>
      <c r="K76" s="78" t="s">
        <v>384</v>
      </c>
      <c r="L76" s="87"/>
      <c r="M76" s="87"/>
      <c r="N76" s="86"/>
      <c r="O76" s="86"/>
      <c r="P76" s="78" t="s">
        <v>175</v>
      </c>
      <c r="Q76" s="78" t="s">
        <v>229</v>
      </c>
      <c r="R76" s="78" t="s">
        <v>175</v>
      </c>
      <c r="S76" s="78" t="s">
        <v>401</v>
      </c>
      <c r="T76" s="78" t="s">
        <v>384</v>
      </c>
      <c r="U76" s="88"/>
      <c r="V76" s="78" t="s">
        <v>216</v>
      </c>
      <c r="W76" s="88"/>
      <c r="X76" s="89" t="s">
        <v>183</v>
      </c>
      <c r="Y76" s="90" t="s">
        <v>184</v>
      </c>
      <c r="Z76" s="89" t="s">
        <v>185</v>
      </c>
      <c r="AA76" s="91" t="s">
        <v>177</v>
      </c>
      <c r="AB76" s="91" t="s">
        <v>186</v>
      </c>
      <c r="AC76" s="85">
        <v>25.0</v>
      </c>
      <c r="AD76" s="85">
        <v>100.0</v>
      </c>
      <c r="AE76" s="85">
        <v>100.0</v>
      </c>
      <c r="AF76" s="85">
        <v>95.0</v>
      </c>
      <c r="AG76" s="85">
        <v>98.0</v>
      </c>
      <c r="AH76" s="85">
        <v>11.94</v>
      </c>
      <c r="AI76" s="85">
        <v>4.0</v>
      </c>
      <c r="AJ76" s="85">
        <v>75.0</v>
      </c>
      <c r="AK76" s="85">
        <v>85.0</v>
      </c>
      <c r="AL76" s="92">
        <v>56.5</v>
      </c>
      <c r="AM76" s="93">
        <v>16.0</v>
      </c>
      <c r="AN76" s="93">
        <v>42.0</v>
      </c>
      <c r="AO76" s="92">
        <v>365.0</v>
      </c>
      <c r="AP76" s="91" t="s">
        <v>386</v>
      </c>
      <c r="AQ76" s="91" t="s">
        <v>188</v>
      </c>
      <c r="AR76" s="92">
        <v>1.0</v>
      </c>
      <c r="AS76" s="93">
        <v>1.0</v>
      </c>
      <c r="AT76" s="92">
        <v>7.0</v>
      </c>
      <c r="AU76" s="92">
        <v>49.5</v>
      </c>
      <c r="AV76" s="93">
        <v>22.0</v>
      </c>
      <c r="AW76" s="93">
        <v>44.0</v>
      </c>
      <c r="AX76" s="93" t="s">
        <v>266</v>
      </c>
      <c r="AY76" s="78" t="s">
        <v>231</v>
      </c>
    </row>
    <row r="77">
      <c r="A77" s="78" t="s">
        <v>402</v>
      </c>
      <c r="B77" s="85">
        <v>7.38</v>
      </c>
      <c r="C77" s="85">
        <v>0.0</v>
      </c>
      <c r="D77" s="85">
        <v>0.0</v>
      </c>
      <c r="E77" s="85">
        <v>4266.0</v>
      </c>
      <c r="F77" s="85">
        <v>0.0</v>
      </c>
      <c r="G77" s="78" t="s">
        <v>175</v>
      </c>
      <c r="H77" s="85" t="s">
        <v>403</v>
      </c>
      <c r="I77" s="86"/>
      <c r="J77" s="78" t="s">
        <v>177</v>
      </c>
      <c r="K77" s="78" t="s">
        <v>384</v>
      </c>
      <c r="L77" s="87"/>
      <c r="M77" s="87"/>
      <c r="N77" s="86"/>
      <c r="O77" s="86"/>
      <c r="P77" s="78" t="s">
        <v>175</v>
      </c>
      <c r="Q77" s="78" t="s">
        <v>229</v>
      </c>
      <c r="R77" s="78" t="s">
        <v>175</v>
      </c>
      <c r="S77" s="78" t="s">
        <v>404</v>
      </c>
      <c r="T77" s="78" t="s">
        <v>384</v>
      </c>
      <c r="U77" s="88"/>
      <c r="V77" s="78" t="s">
        <v>216</v>
      </c>
      <c r="W77" s="88"/>
      <c r="X77" s="89" t="s">
        <v>183</v>
      </c>
      <c r="Y77" s="90" t="s">
        <v>184</v>
      </c>
      <c r="Z77" s="89" t="s">
        <v>185</v>
      </c>
      <c r="AA77" s="91" t="s">
        <v>177</v>
      </c>
      <c r="AB77" s="91" t="s">
        <v>186</v>
      </c>
      <c r="AC77" s="85">
        <v>25.0</v>
      </c>
      <c r="AD77" s="85">
        <v>100.0</v>
      </c>
      <c r="AE77" s="85">
        <v>100.0</v>
      </c>
      <c r="AF77" s="85">
        <v>95.0</v>
      </c>
      <c r="AG77" s="85">
        <v>98.0</v>
      </c>
      <c r="AH77" s="85">
        <v>11.88</v>
      </c>
      <c r="AI77" s="85">
        <v>3.6</v>
      </c>
      <c r="AJ77" s="85">
        <v>75.0</v>
      </c>
      <c r="AK77" s="85">
        <v>85.0</v>
      </c>
      <c r="AL77" s="92">
        <v>56.4</v>
      </c>
      <c r="AM77" s="93">
        <v>18.0</v>
      </c>
      <c r="AN77" s="93">
        <v>44.0</v>
      </c>
      <c r="AO77" s="92">
        <v>365.0</v>
      </c>
      <c r="AP77" s="91" t="s">
        <v>386</v>
      </c>
      <c r="AQ77" s="91" t="s">
        <v>188</v>
      </c>
      <c r="AR77" s="92">
        <v>1.0</v>
      </c>
      <c r="AS77" s="93">
        <v>1.0</v>
      </c>
      <c r="AT77" s="92">
        <v>7.0</v>
      </c>
      <c r="AU77" s="92">
        <v>49.4</v>
      </c>
      <c r="AV77" s="93">
        <v>23.0</v>
      </c>
      <c r="AW77" s="93">
        <v>45.0</v>
      </c>
      <c r="AX77" s="93" t="s">
        <v>266</v>
      </c>
      <c r="AY77" s="78" t="s">
        <v>231</v>
      </c>
    </row>
    <row r="78">
      <c r="A78" s="78" t="s">
        <v>405</v>
      </c>
      <c r="B78" s="85">
        <v>7.31</v>
      </c>
      <c r="C78" s="85">
        <v>0.0</v>
      </c>
      <c r="D78" s="85">
        <v>0.0</v>
      </c>
      <c r="E78" s="85">
        <v>4631.0</v>
      </c>
      <c r="F78" s="85">
        <v>0.0</v>
      </c>
      <c r="G78" s="78" t="s">
        <v>175</v>
      </c>
      <c r="H78" s="85" t="s">
        <v>406</v>
      </c>
      <c r="I78" s="86"/>
      <c r="J78" s="78" t="s">
        <v>177</v>
      </c>
      <c r="K78" s="78" t="s">
        <v>384</v>
      </c>
      <c r="L78" s="87"/>
      <c r="M78" s="87"/>
      <c r="N78" s="86"/>
      <c r="O78" s="86"/>
      <c r="P78" s="78" t="s">
        <v>175</v>
      </c>
      <c r="Q78" s="78" t="s">
        <v>229</v>
      </c>
      <c r="R78" s="78" t="s">
        <v>175</v>
      </c>
      <c r="S78" s="78" t="s">
        <v>407</v>
      </c>
      <c r="T78" s="78" t="s">
        <v>384</v>
      </c>
      <c r="U78" s="88"/>
      <c r="V78" s="78" t="s">
        <v>216</v>
      </c>
      <c r="W78" s="88"/>
      <c r="X78" s="89" t="s">
        <v>183</v>
      </c>
      <c r="Y78" s="90" t="s">
        <v>184</v>
      </c>
      <c r="Z78" s="89" t="s">
        <v>185</v>
      </c>
      <c r="AA78" s="91" t="s">
        <v>177</v>
      </c>
      <c r="AB78" s="91" t="s">
        <v>186</v>
      </c>
      <c r="AC78" s="85">
        <v>25.0</v>
      </c>
      <c r="AD78" s="85">
        <v>100.0</v>
      </c>
      <c r="AE78" s="85">
        <v>100.0</v>
      </c>
      <c r="AF78" s="85">
        <v>95.0</v>
      </c>
      <c r="AG78" s="85">
        <v>98.0</v>
      </c>
      <c r="AH78" s="85">
        <v>11.81</v>
      </c>
      <c r="AI78" s="85">
        <v>3.1</v>
      </c>
      <c r="AJ78" s="85">
        <v>75.0</v>
      </c>
      <c r="AK78" s="85">
        <v>85.0</v>
      </c>
      <c r="AL78" s="92">
        <v>56.3</v>
      </c>
      <c r="AM78" s="93">
        <v>19.0</v>
      </c>
      <c r="AN78" s="93">
        <v>45.0</v>
      </c>
      <c r="AO78" s="92">
        <v>365.0</v>
      </c>
      <c r="AP78" s="91" t="s">
        <v>386</v>
      </c>
      <c r="AQ78" s="91" t="s">
        <v>188</v>
      </c>
      <c r="AR78" s="92">
        <v>3.0</v>
      </c>
      <c r="AS78" s="93">
        <v>1.0</v>
      </c>
      <c r="AT78" s="92">
        <v>18.0</v>
      </c>
      <c r="AU78" s="92">
        <v>38.3</v>
      </c>
      <c r="AV78" s="93">
        <v>33.0</v>
      </c>
      <c r="AW78" s="93">
        <v>60.0</v>
      </c>
      <c r="AX78" s="93" t="s">
        <v>266</v>
      </c>
      <c r="AY78" s="78" t="s">
        <v>231</v>
      </c>
    </row>
    <row r="79">
      <c r="A79" s="78" t="s">
        <v>408</v>
      </c>
      <c r="B79" s="85">
        <v>7.57</v>
      </c>
      <c r="C79" s="85">
        <v>0.0</v>
      </c>
      <c r="D79" s="85">
        <v>0.0</v>
      </c>
      <c r="E79" s="85">
        <v>2318.0</v>
      </c>
      <c r="F79" s="85">
        <v>0.0</v>
      </c>
      <c r="G79" s="78" t="s">
        <v>175</v>
      </c>
      <c r="H79" s="85" t="s">
        <v>409</v>
      </c>
      <c r="I79" s="86"/>
      <c r="J79" s="78" t="s">
        <v>177</v>
      </c>
      <c r="K79" s="78" t="s">
        <v>384</v>
      </c>
      <c r="L79" s="87"/>
      <c r="M79" s="87"/>
      <c r="N79" s="86"/>
      <c r="O79" s="86"/>
      <c r="P79" s="78" t="s">
        <v>175</v>
      </c>
      <c r="Q79" s="78" t="s">
        <v>229</v>
      </c>
      <c r="R79" s="78" t="s">
        <v>175</v>
      </c>
      <c r="S79" s="78" t="s">
        <v>410</v>
      </c>
      <c r="T79" s="78" t="s">
        <v>384</v>
      </c>
      <c r="U79" s="88"/>
      <c r="V79" s="78" t="s">
        <v>216</v>
      </c>
      <c r="W79" s="88"/>
      <c r="X79" s="89" t="s">
        <v>183</v>
      </c>
      <c r="Y79" s="90" t="s">
        <v>184</v>
      </c>
      <c r="Z79" s="89" t="s">
        <v>185</v>
      </c>
      <c r="AA79" s="91" t="s">
        <v>177</v>
      </c>
      <c r="AB79" s="91" t="s">
        <v>186</v>
      </c>
      <c r="AC79" s="85">
        <v>25.0</v>
      </c>
      <c r="AD79" s="85">
        <v>100.0</v>
      </c>
      <c r="AE79" s="85">
        <v>100.0</v>
      </c>
      <c r="AF79" s="85">
        <v>95.0</v>
      </c>
      <c r="AG79" s="85">
        <v>98.0</v>
      </c>
      <c r="AH79" s="85">
        <v>12.07</v>
      </c>
      <c r="AI79" s="85">
        <v>4.8</v>
      </c>
      <c r="AJ79" s="85">
        <v>75.0</v>
      </c>
      <c r="AK79" s="85">
        <v>85.0</v>
      </c>
      <c r="AL79" s="92">
        <v>56.7</v>
      </c>
      <c r="AM79" s="93">
        <v>14.0</v>
      </c>
      <c r="AN79" s="93">
        <v>40.0</v>
      </c>
      <c r="AO79" s="92">
        <v>365.0</v>
      </c>
      <c r="AP79" s="91" t="s">
        <v>386</v>
      </c>
      <c r="AQ79" s="91" t="s">
        <v>188</v>
      </c>
      <c r="AR79" s="92">
        <v>1.0</v>
      </c>
      <c r="AS79" s="93">
        <v>1.0</v>
      </c>
      <c r="AT79" s="92">
        <v>7.0</v>
      </c>
      <c r="AU79" s="92">
        <v>49.7</v>
      </c>
      <c r="AV79" s="93">
        <v>20.0</v>
      </c>
      <c r="AW79" s="93">
        <v>42.0</v>
      </c>
      <c r="AX79" s="93" t="s">
        <v>266</v>
      </c>
      <c r="AY79" s="78" t="s">
        <v>231</v>
      </c>
    </row>
    <row r="80">
      <c r="A80" s="78" t="s">
        <v>411</v>
      </c>
      <c r="B80" s="85">
        <v>5.8</v>
      </c>
      <c r="C80" s="85">
        <v>0.0</v>
      </c>
      <c r="D80" s="85">
        <v>0.0</v>
      </c>
      <c r="E80" s="85">
        <v>3285.0</v>
      </c>
      <c r="F80" s="85">
        <v>0.0</v>
      </c>
      <c r="G80" s="78" t="s">
        <v>175</v>
      </c>
      <c r="H80" s="85" t="s">
        <v>412</v>
      </c>
      <c r="I80" s="86"/>
      <c r="J80" s="78" t="s">
        <v>177</v>
      </c>
      <c r="K80" s="78" t="s">
        <v>384</v>
      </c>
      <c r="L80" s="87"/>
      <c r="M80" s="87"/>
      <c r="N80" s="86"/>
      <c r="O80" s="86"/>
      <c r="P80" s="78" t="s">
        <v>175</v>
      </c>
      <c r="Q80" s="78" t="s">
        <v>229</v>
      </c>
      <c r="R80" s="78" t="s">
        <v>175</v>
      </c>
      <c r="S80" s="78" t="s">
        <v>413</v>
      </c>
      <c r="T80" s="78" t="s">
        <v>384</v>
      </c>
      <c r="U80" s="88"/>
      <c r="V80" s="78" t="s">
        <v>216</v>
      </c>
      <c r="W80" s="88"/>
      <c r="X80" s="89" t="s">
        <v>183</v>
      </c>
      <c r="Y80" s="90" t="s">
        <v>184</v>
      </c>
      <c r="Z80" s="89" t="s">
        <v>185</v>
      </c>
      <c r="AA80" s="91" t="s">
        <v>177</v>
      </c>
      <c r="AB80" s="91" t="s">
        <v>186</v>
      </c>
      <c r="AC80" s="85">
        <v>25.0</v>
      </c>
      <c r="AD80" s="85">
        <v>100.0</v>
      </c>
      <c r="AE80" s="85">
        <v>100.0</v>
      </c>
      <c r="AF80" s="85">
        <v>95.0</v>
      </c>
      <c r="AG80" s="85">
        <v>98.0</v>
      </c>
      <c r="AH80" s="85">
        <v>10.3</v>
      </c>
      <c r="AI80" s="85">
        <v>0.0</v>
      </c>
      <c r="AJ80" s="85">
        <v>75.0</v>
      </c>
      <c r="AK80" s="85">
        <v>85.0</v>
      </c>
      <c r="AL80" s="92">
        <v>55.6</v>
      </c>
      <c r="AM80" s="93">
        <v>25.0</v>
      </c>
      <c r="AN80" s="93">
        <v>51.0</v>
      </c>
      <c r="AO80" s="92">
        <v>365.0</v>
      </c>
      <c r="AP80" s="91" t="s">
        <v>386</v>
      </c>
      <c r="AQ80" s="91" t="s">
        <v>188</v>
      </c>
      <c r="AR80" s="92">
        <v>11.0</v>
      </c>
      <c r="AS80" s="93">
        <v>11.0</v>
      </c>
      <c r="AT80" s="92">
        <v>18.0</v>
      </c>
      <c r="AU80" s="92">
        <v>37.6</v>
      </c>
      <c r="AV80" s="93">
        <v>37.0</v>
      </c>
      <c r="AW80" s="93">
        <v>64.0</v>
      </c>
      <c r="AX80" s="93" t="s">
        <v>266</v>
      </c>
      <c r="AY80" s="78" t="s">
        <v>231</v>
      </c>
    </row>
    <row r="81">
      <c r="A81" s="78" t="s">
        <v>414</v>
      </c>
      <c r="B81" s="85">
        <v>7.34</v>
      </c>
      <c r="C81" s="85">
        <v>0.0</v>
      </c>
      <c r="D81" s="85">
        <v>0.0</v>
      </c>
      <c r="E81" s="85">
        <v>4052.0</v>
      </c>
      <c r="F81" s="85">
        <v>0.0</v>
      </c>
      <c r="G81" s="78" t="s">
        <v>175</v>
      </c>
      <c r="H81" s="85" t="s">
        <v>415</v>
      </c>
      <c r="I81" s="86"/>
      <c r="J81" s="78" t="s">
        <v>177</v>
      </c>
      <c r="K81" s="78" t="s">
        <v>384</v>
      </c>
      <c r="L81" s="87"/>
      <c r="M81" s="87"/>
      <c r="N81" s="86"/>
      <c r="O81" s="86"/>
      <c r="P81" s="78" t="s">
        <v>175</v>
      </c>
      <c r="Q81" s="78" t="s">
        <v>229</v>
      </c>
      <c r="R81" s="78" t="s">
        <v>175</v>
      </c>
      <c r="S81" s="78" t="s">
        <v>416</v>
      </c>
      <c r="T81" s="78" t="s">
        <v>384</v>
      </c>
      <c r="U81" s="88"/>
      <c r="V81" s="78" t="s">
        <v>216</v>
      </c>
      <c r="W81" s="88"/>
      <c r="X81" s="89" t="s">
        <v>183</v>
      </c>
      <c r="Y81" s="90" t="s">
        <v>184</v>
      </c>
      <c r="Z81" s="89" t="s">
        <v>185</v>
      </c>
      <c r="AA81" s="91" t="s">
        <v>177</v>
      </c>
      <c r="AB81" s="91" t="s">
        <v>186</v>
      </c>
      <c r="AC81" s="85">
        <v>25.0</v>
      </c>
      <c r="AD81" s="85">
        <v>100.0</v>
      </c>
      <c r="AE81" s="85">
        <v>100.0</v>
      </c>
      <c r="AF81" s="85">
        <v>95.0</v>
      </c>
      <c r="AG81" s="85">
        <v>98.0</v>
      </c>
      <c r="AH81" s="85">
        <v>11.84</v>
      </c>
      <c r="AI81" s="85">
        <v>3.3</v>
      </c>
      <c r="AJ81" s="85">
        <v>75.0</v>
      </c>
      <c r="AK81" s="85">
        <v>85.0</v>
      </c>
      <c r="AL81" s="92">
        <v>56.3</v>
      </c>
      <c r="AM81" s="93">
        <v>20.0</v>
      </c>
      <c r="AN81" s="93">
        <v>46.0</v>
      </c>
      <c r="AO81" s="92">
        <v>365.0</v>
      </c>
      <c r="AP81" s="91" t="s">
        <v>386</v>
      </c>
      <c r="AQ81" s="91" t="s">
        <v>188</v>
      </c>
      <c r="AR81" s="92">
        <v>2.0</v>
      </c>
      <c r="AS81" s="93">
        <v>1.0</v>
      </c>
      <c r="AT81" s="92">
        <v>14.0</v>
      </c>
      <c r="AU81" s="92">
        <v>42.3</v>
      </c>
      <c r="AV81" s="93">
        <v>29.0</v>
      </c>
      <c r="AW81" s="93">
        <v>55.0</v>
      </c>
      <c r="AX81" s="93" t="s">
        <v>266</v>
      </c>
      <c r="AY81" s="78" t="s">
        <v>231</v>
      </c>
    </row>
    <row r="82">
      <c r="A82" s="78" t="s">
        <v>417</v>
      </c>
      <c r="B82" s="85">
        <v>13.39</v>
      </c>
      <c r="C82" s="85">
        <v>0.0</v>
      </c>
      <c r="D82" s="85">
        <v>0.0</v>
      </c>
      <c r="E82" s="85">
        <v>996.0</v>
      </c>
      <c r="F82" s="85">
        <v>0.0</v>
      </c>
      <c r="G82" s="78" t="s">
        <v>175</v>
      </c>
      <c r="H82" s="85" t="s">
        <v>418</v>
      </c>
      <c r="I82" s="86"/>
      <c r="J82" s="78" t="s">
        <v>177</v>
      </c>
      <c r="K82" s="78" t="s">
        <v>384</v>
      </c>
      <c r="L82" s="87"/>
      <c r="M82" s="87"/>
      <c r="N82" s="86"/>
      <c r="O82" s="86"/>
      <c r="P82" s="78" t="s">
        <v>175</v>
      </c>
      <c r="Q82" s="78" t="s">
        <v>219</v>
      </c>
      <c r="R82" s="78" t="s">
        <v>175</v>
      </c>
      <c r="S82" s="78" t="s">
        <v>419</v>
      </c>
      <c r="T82" s="78" t="s">
        <v>384</v>
      </c>
      <c r="U82" s="88"/>
      <c r="V82" s="78" t="s">
        <v>216</v>
      </c>
      <c r="W82" s="88"/>
      <c r="X82" s="89" t="s">
        <v>183</v>
      </c>
      <c r="Y82" s="90" t="s">
        <v>184</v>
      </c>
      <c r="Z82" s="89" t="s">
        <v>226</v>
      </c>
      <c r="AA82" s="91" t="s">
        <v>177</v>
      </c>
      <c r="AB82" s="91" t="s">
        <v>186</v>
      </c>
      <c r="AC82" s="85">
        <v>25.0</v>
      </c>
      <c r="AD82" s="85">
        <v>100.0</v>
      </c>
      <c r="AE82" s="85">
        <v>100.0</v>
      </c>
      <c r="AF82" s="85">
        <v>95.0</v>
      </c>
      <c r="AG82" s="85">
        <v>98.0</v>
      </c>
      <c r="AH82" s="85">
        <v>13.39</v>
      </c>
      <c r="AI82" s="85">
        <v>13.5</v>
      </c>
      <c r="AJ82" s="85">
        <v>75.0</v>
      </c>
      <c r="AK82" s="85">
        <v>85.0</v>
      </c>
      <c r="AL82" s="92">
        <v>58.6</v>
      </c>
      <c r="AM82" s="93">
        <v>5.0</v>
      </c>
      <c r="AN82" s="93">
        <v>30.0</v>
      </c>
      <c r="AO82" s="92">
        <v>199.0</v>
      </c>
      <c r="AP82" s="91" t="s">
        <v>386</v>
      </c>
      <c r="AQ82" s="91" t="s">
        <v>188</v>
      </c>
      <c r="AR82" s="92">
        <v>0.0</v>
      </c>
      <c r="AS82" s="93">
        <v>0.0</v>
      </c>
      <c r="AT82" s="92">
        <v>0.0</v>
      </c>
      <c r="AU82" s="92">
        <v>58.6</v>
      </c>
      <c r="AV82" s="93">
        <v>3.0</v>
      </c>
      <c r="AW82" s="93">
        <v>19.0</v>
      </c>
      <c r="AX82" s="93" t="s">
        <v>266</v>
      </c>
      <c r="AY82" s="78" t="s">
        <v>222</v>
      </c>
    </row>
    <row r="83">
      <c r="A83" s="78" t="s">
        <v>420</v>
      </c>
      <c r="B83" s="85">
        <v>1.0</v>
      </c>
      <c r="C83" s="85">
        <v>0.0</v>
      </c>
      <c r="D83" s="85">
        <v>0.0</v>
      </c>
      <c r="E83" s="85">
        <v>1095.0</v>
      </c>
      <c r="F83" s="85">
        <v>0.0</v>
      </c>
      <c r="G83" s="78" t="s">
        <v>175</v>
      </c>
      <c r="H83" s="85" t="s">
        <v>412</v>
      </c>
      <c r="I83" s="86"/>
      <c r="J83" s="78" t="s">
        <v>177</v>
      </c>
      <c r="K83" s="78" t="s">
        <v>384</v>
      </c>
      <c r="L83" s="87"/>
      <c r="M83" s="87"/>
      <c r="N83" s="86"/>
      <c r="O83" s="86"/>
      <c r="P83" s="78" t="s">
        <v>175</v>
      </c>
      <c r="Q83" s="78" t="s">
        <v>304</v>
      </c>
      <c r="R83" s="78" t="s">
        <v>175</v>
      </c>
      <c r="S83" s="78" t="s">
        <v>421</v>
      </c>
      <c r="T83" s="78" t="s">
        <v>384</v>
      </c>
      <c r="U83" s="88"/>
      <c r="V83" s="78" t="s">
        <v>205</v>
      </c>
      <c r="W83" s="88"/>
      <c r="X83" s="89" t="s">
        <v>183</v>
      </c>
      <c r="Y83" s="90" t="s">
        <v>184</v>
      </c>
      <c r="Z83" s="89" t="s">
        <v>226</v>
      </c>
      <c r="AA83" s="91" t="s">
        <v>177</v>
      </c>
      <c r="AB83" s="91" t="s">
        <v>315</v>
      </c>
      <c r="AC83" s="85">
        <v>85.0</v>
      </c>
      <c r="AD83" s="85">
        <v>100.0</v>
      </c>
      <c r="AE83" s="85">
        <v>100.0</v>
      </c>
      <c r="AF83" s="85">
        <v>100.0</v>
      </c>
      <c r="AG83" s="85">
        <v>100.0</v>
      </c>
      <c r="AH83" s="85">
        <v>13.5</v>
      </c>
      <c r="AI83" s="85">
        <v>14.2</v>
      </c>
      <c r="AJ83" s="85">
        <v>72.5</v>
      </c>
      <c r="AK83" s="85">
        <v>85.0</v>
      </c>
      <c r="AL83" s="92">
        <v>73.9</v>
      </c>
      <c r="AM83" s="93">
        <v>1.0</v>
      </c>
      <c r="AN83" s="93">
        <v>5.0</v>
      </c>
      <c r="AO83" s="92">
        <v>27.0</v>
      </c>
      <c r="AP83" s="91" t="s">
        <v>422</v>
      </c>
      <c r="AQ83" s="91" t="s">
        <v>188</v>
      </c>
      <c r="AR83" s="92">
        <v>0.0</v>
      </c>
      <c r="AS83" s="93">
        <v>0.0</v>
      </c>
      <c r="AT83" s="92">
        <v>0.0</v>
      </c>
      <c r="AU83" s="92">
        <v>73.9</v>
      </c>
      <c r="AV83" s="93">
        <v>1.0</v>
      </c>
      <c r="AW83" s="93">
        <v>4.0</v>
      </c>
      <c r="AX83" s="93" t="s">
        <v>266</v>
      </c>
      <c r="AY83" s="78" t="s">
        <v>306</v>
      </c>
    </row>
    <row r="84">
      <c r="A84" s="78" t="s">
        <v>423</v>
      </c>
      <c r="B84" s="85">
        <v>0.09</v>
      </c>
      <c r="C84" s="85">
        <v>0.0</v>
      </c>
      <c r="D84" s="85">
        <v>0.0</v>
      </c>
      <c r="E84" s="85">
        <v>1785.0</v>
      </c>
      <c r="F84" s="85">
        <v>0.0</v>
      </c>
      <c r="G84" s="78" t="s">
        <v>175</v>
      </c>
      <c r="H84" s="85" t="s">
        <v>424</v>
      </c>
      <c r="I84" s="86"/>
      <c r="J84" s="78" t="s">
        <v>177</v>
      </c>
      <c r="K84" s="78" t="s">
        <v>384</v>
      </c>
      <c r="L84" s="87"/>
      <c r="M84" s="87"/>
      <c r="N84" s="86"/>
      <c r="O84" s="86"/>
      <c r="P84" s="78" t="s">
        <v>175</v>
      </c>
      <c r="Q84" s="78" t="s">
        <v>304</v>
      </c>
      <c r="R84" s="78" t="s">
        <v>175</v>
      </c>
      <c r="S84" s="78" t="s">
        <v>425</v>
      </c>
      <c r="T84" s="78" t="s">
        <v>384</v>
      </c>
      <c r="U84" s="88"/>
      <c r="V84" s="78" t="s">
        <v>216</v>
      </c>
      <c r="W84" s="88"/>
      <c r="X84" s="89" t="s">
        <v>183</v>
      </c>
      <c r="Y84" s="90" t="s">
        <v>184</v>
      </c>
      <c r="Z84" s="89" t="s">
        <v>226</v>
      </c>
      <c r="AA84" s="91" t="s">
        <v>177</v>
      </c>
      <c r="AB84" s="91" t="s">
        <v>315</v>
      </c>
      <c r="AC84" s="85">
        <v>65.0</v>
      </c>
      <c r="AD84" s="85">
        <v>90.0</v>
      </c>
      <c r="AE84" s="85">
        <v>100.0</v>
      </c>
      <c r="AF84" s="85">
        <v>95.0</v>
      </c>
      <c r="AG84" s="85">
        <v>98.0</v>
      </c>
      <c r="AH84" s="85">
        <v>14.09</v>
      </c>
      <c r="AI84" s="85">
        <v>18.1</v>
      </c>
      <c r="AJ84" s="85">
        <v>75.0</v>
      </c>
      <c r="AK84" s="85">
        <v>85.0</v>
      </c>
      <c r="AL84" s="92">
        <v>67.8</v>
      </c>
      <c r="AM84" s="93">
        <v>2.0</v>
      </c>
      <c r="AN84" s="93">
        <v>10.0</v>
      </c>
      <c r="AO84" s="92">
        <v>35.0</v>
      </c>
      <c r="AP84" s="91" t="s">
        <v>422</v>
      </c>
      <c r="AQ84" s="91" t="s">
        <v>188</v>
      </c>
      <c r="AR84" s="92">
        <v>1.0</v>
      </c>
      <c r="AS84" s="93">
        <v>1.0</v>
      </c>
      <c r="AT84" s="92">
        <v>7.0</v>
      </c>
      <c r="AU84" s="92">
        <v>60.8</v>
      </c>
      <c r="AV84" s="93">
        <v>3.0</v>
      </c>
      <c r="AW84" s="93">
        <v>14.0</v>
      </c>
      <c r="AX84" s="93" t="s">
        <v>266</v>
      </c>
      <c r="AY84" s="78" t="s">
        <v>426</v>
      </c>
    </row>
    <row r="85">
      <c r="A85" s="78" t="s">
        <v>427</v>
      </c>
      <c r="B85" s="85">
        <v>100.47</v>
      </c>
      <c r="C85" s="85">
        <v>0.0</v>
      </c>
      <c r="D85" s="85">
        <v>0.0</v>
      </c>
      <c r="E85" s="85">
        <v>1.0</v>
      </c>
      <c r="F85" s="85">
        <v>0.0</v>
      </c>
      <c r="G85" s="78" t="s">
        <v>175</v>
      </c>
      <c r="H85" s="85" t="s">
        <v>176</v>
      </c>
      <c r="I85" s="86"/>
      <c r="J85" s="78" t="s">
        <v>177</v>
      </c>
      <c r="K85" s="78" t="s">
        <v>178</v>
      </c>
      <c r="L85" s="87"/>
      <c r="M85" s="87"/>
      <c r="N85" s="86"/>
      <c r="O85" s="86"/>
      <c r="P85" s="78" t="s">
        <v>175</v>
      </c>
      <c r="Q85" s="78" t="s">
        <v>202</v>
      </c>
      <c r="R85" s="78" t="s">
        <v>175</v>
      </c>
      <c r="S85" s="78" t="s">
        <v>428</v>
      </c>
      <c r="T85" s="78" t="s">
        <v>193</v>
      </c>
      <c r="U85" s="88"/>
      <c r="V85" s="78" t="s">
        <v>216</v>
      </c>
      <c r="W85" s="88"/>
      <c r="X85" s="89" t="s">
        <v>183</v>
      </c>
      <c r="Y85" s="90" t="s">
        <v>184</v>
      </c>
      <c r="Z85" s="89" t="s">
        <v>226</v>
      </c>
      <c r="AA85" s="91" t="s">
        <v>177</v>
      </c>
      <c r="AB85" s="91" t="s">
        <v>206</v>
      </c>
      <c r="AC85" s="85">
        <v>100.0</v>
      </c>
      <c r="AD85" s="85">
        <v>100.0</v>
      </c>
      <c r="AE85" s="85">
        <v>70.0</v>
      </c>
      <c r="AF85" s="85">
        <v>95.0</v>
      </c>
      <c r="AG85" s="85">
        <v>80.0</v>
      </c>
      <c r="AH85" s="85">
        <v>0.56</v>
      </c>
      <c r="AI85" s="85">
        <v>0.0</v>
      </c>
      <c r="AJ85" s="85">
        <v>16.0</v>
      </c>
      <c r="AK85" s="85">
        <v>85.0</v>
      </c>
      <c r="AL85" s="92">
        <v>64.8</v>
      </c>
      <c r="AM85" s="93">
        <v>10.0</v>
      </c>
      <c r="AN85" s="93">
        <v>16.0</v>
      </c>
      <c r="AO85" s="92">
        <v>0.0</v>
      </c>
      <c r="AP85" s="91" t="s">
        <v>207</v>
      </c>
      <c r="AQ85" s="91" t="s">
        <v>208</v>
      </c>
      <c r="AR85" s="92">
        <v>4.0</v>
      </c>
      <c r="AS85" s="93">
        <v>6.0</v>
      </c>
      <c r="AT85" s="92">
        <v>18.0</v>
      </c>
      <c r="AU85" s="92">
        <v>46.8</v>
      </c>
      <c r="AV85" s="93">
        <v>11.0</v>
      </c>
      <c r="AW85" s="93">
        <v>48.0</v>
      </c>
      <c r="AX85" s="93" t="s">
        <v>266</v>
      </c>
      <c r="AY85" s="78" t="s">
        <v>190</v>
      </c>
    </row>
    <row r="86">
      <c r="A86" s="78" t="s">
        <v>114</v>
      </c>
      <c r="B86" s="85">
        <v>220.0</v>
      </c>
      <c r="C86" s="85">
        <v>0.0</v>
      </c>
      <c r="D86" s="85">
        <v>0.0</v>
      </c>
      <c r="E86" s="85">
        <v>60.0</v>
      </c>
      <c r="F86" s="85">
        <v>60.0</v>
      </c>
      <c r="G86" s="78" t="s">
        <v>175</v>
      </c>
      <c r="H86" s="85" t="s">
        <v>176</v>
      </c>
      <c r="I86" s="85">
        <v>3000.0</v>
      </c>
      <c r="J86" s="78" t="s">
        <v>177</v>
      </c>
      <c r="K86" s="78" t="s">
        <v>262</v>
      </c>
      <c r="L86" s="87"/>
      <c r="M86" s="87"/>
      <c r="N86" s="86"/>
      <c r="O86" s="86"/>
      <c r="P86" s="78" t="s">
        <v>175</v>
      </c>
      <c r="Q86" s="78" t="s">
        <v>202</v>
      </c>
      <c r="R86" s="78" t="s">
        <v>177</v>
      </c>
      <c r="S86" s="78" t="s">
        <v>429</v>
      </c>
      <c r="T86" s="78" t="s">
        <v>430</v>
      </c>
      <c r="U86" s="88"/>
      <c r="V86" s="78" t="s">
        <v>182</v>
      </c>
      <c r="W86" s="88"/>
      <c r="X86" s="98" t="s">
        <v>194</v>
      </c>
      <c r="Y86" s="101" t="s">
        <v>255</v>
      </c>
      <c r="Z86" s="98" t="s">
        <v>226</v>
      </c>
      <c r="AA86" s="91" t="s">
        <v>177</v>
      </c>
      <c r="AB86" s="91" t="s">
        <v>227</v>
      </c>
      <c r="AC86" s="85">
        <v>65.0</v>
      </c>
      <c r="AD86" s="85">
        <v>100.0</v>
      </c>
      <c r="AE86" s="85">
        <v>90.0</v>
      </c>
      <c r="AF86" s="85">
        <v>60.0</v>
      </c>
      <c r="AG86" s="85">
        <v>78.0</v>
      </c>
      <c r="AH86" s="85">
        <v>30.8</v>
      </c>
      <c r="AI86" s="85">
        <v>100.0</v>
      </c>
      <c r="AJ86" s="85">
        <v>75.0</v>
      </c>
      <c r="AK86" s="85">
        <v>85.0</v>
      </c>
      <c r="AL86" s="92">
        <v>83.6</v>
      </c>
      <c r="AM86" s="93">
        <v>1.0</v>
      </c>
      <c r="AN86" s="93">
        <v>1.0</v>
      </c>
      <c r="AO86" s="92">
        <v>60.0</v>
      </c>
      <c r="AP86" s="91" t="s">
        <v>207</v>
      </c>
      <c r="AQ86" s="91" t="s">
        <v>208</v>
      </c>
      <c r="AR86" s="92">
        <v>0.0</v>
      </c>
      <c r="AS86" s="93">
        <v>0.0</v>
      </c>
      <c r="AT86" s="92">
        <v>0.0</v>
      </c>
      <c r="AU86" s="92">
        <v>83.6</v>
      </c>
      <c r="AV86" s="93">
        <v>1.0</v>
      </c>
      <c r="AW86" s="93">
        <v>1.0</v>
      </c>
      <c r="AX86" s="93" t="s">
        <v>266</v>
      </c>
      <c r="AY86" s="78" t="s">
        <v>210</v>
      </c>
    </row>
    <row r="87">
      <c r="B87" s="103"/>
      <c r="G87" s="104"/>
      <c r="I87" s="105"/>
    </row>
    <row r="88">
      <c r="B88" s="103"/>
      <c r="G88" s="104"/>
      <c r="I88" s="105"/>
    </row>
    <row r="89">
      <c r="B89" s="103"/>
      <c r="G89" s="104"/>
      <c r="I89" s="105"/>
    </row>
    <row r="90">
      <c r="B90" s="103"/>
      <c r="G90" s="104"/>
      <c r="I90" s="105"/>
    </row>
    <row r="91">
      <c r="B91" s="103"/>
      <c r="G91" s="104"/>
      <c r="I91" s="105"/>
    </row>
    <row r="92">
      <c r="B92" s="103"/>
      <c r="G92" s="104"/>
      <c r="I92" s="105"/>
    </row>
    <row r="93">
      <c r="B93" s="103"/>
      <c r="G93" s="104"/>
      <c r="I93" s="105"/>
    </row>
    <row r="94">
      <c r="B94" s="103"/>
      <c r="G94" s="104"/>
      <c r="I94" s="105"/>
    </row>
    <row r="95">
      <c r="B95" s="103"/>
      <c r="G95" s="104"/>
      <c r="I95" s="105"/>
    </row>
    <row r="96">
      <c r="B96" s="103"/>
      <c r="G96" s="104"/>
      <c r="I96" s="105"/>
    </row>
    <row r="97">
      <c r="B97" s="103"/>
      <c r="G97" s="104"/>
      <c r="I97" s="105"/>
    </row>
    <row r="98">
      <c r="B98" s="103"/>
      <c r="G98" s="104"/>
      <c r="I98" s="105"/>
    </row>
    <row r="99">
      <c r="B99" s="103"/>
      <c r="G99" s="104"/>
      <c r="I99" s="105"/>
    </row>
    <row r="100">
      <c r="B100" s="103"/>
      <c r="G100" s="104"/>
      <c r="I100" s="105"/>
    </row>
    <row r="101">
      <c r="B101" s="103"/>
      <c r="G101" s="104"/>
      <c r="I101" s="105"/>
    </row>
    <row r="102">
      <c r="B102" s="103"/>
      <c r="G102" s="104"/>
      <c r="I102" s="105"/>
    </row>
    <row r="103">
      <c r="B103" s="103"/>
      <c r="G103" s="104"/>
      <c r="I103" s="105"/>
    </row>
    <row r="104">
      <c r="B104" s="103"/>
      <c r="G104" s="104"/>
      <c r="I104" s="105"/>
    </row>
    <row r="105">
      <c r="B105" s="103"/>
      <c r="G105" s="104"/>
      <c r="I105" s="105"/>
    </row>
    <row r="106">
      <c r="B106" s="103"/>
      <c r="G106" s="104"/>
      <c r="I106" s="105"/>
    </row>
    <row r="107">
      <c r="B107" s="103"/>
      <c r="G107" s="104"/>
      <c r="I107" s="105"/>
    </row>
    <row r="108">
      <c r="B108" s="103"/>
      <c r="G108" s="104"/>
      <c r="I108" s="105"/>
    </row>
    <row r="109">
      <c r="B109" s="103"/>
      <c r="G109" s="104"/>
      <c r="I109" s="105"/>
    </row>
    <row r="110">
      <c r="B110" s="103"/>
      <c r="G110" s="104"/>
      <c r="I110" s="105"/>
    </row>
    <row r="111">
      <c r="B111" s="103"/>
      <c r="G111" s="104"/>
      <c r="I111" s="105"/>
    </row>
    <row r="112">
      <c r="B112" s="103"/>
      <c r="G112" s="104"/>
      <c r="I112" s="105"/>
    </row>
    <row r="113">
      <c r="B113" s="103"/>
      <c r="G113" s="104"/>
      <c r="I113" s="105"/>
    </row>
    <row r="114">
      <c r="B114" s="103"/>
      <c r="G114" s="104"/>
      <c r="I114" s="105"/>
    </row>
    <row r="115">
      <c r="B115" s="103"/>
      <c r="G115" s="104"/>
      <c r="I115" s="105"/>
    </row>
    <row r="116">
      <c r="B116" s="103"/>
      <c r="G116" s="104"/>
      <c r="I116" s="105"/>
    </row>
    <row r="117">
      <c r="B117" s="103"/>
      <c r="G117" s="104"/>
      <c r="I117" s="105"/>
    </row>
    <row r="118">
      <c r="B118" s="103"/>
      <c r="G118" s="104"/>
      <c r="I118" s="105"/>
    </row>
    <row r="119">
      <c r="B119" s="103"/>
      <c r="G119" s="104"/>
      <c r="I119" s="105"/>
    </row>
    <row r="120">
      <c r="B120" s="103"/>
      <c r="G120" s="104"/>
      <c r="I120" s="105"/>
    </row>
    <row r="121">
      <c r="B121" s="103"/>
      <c r="G121" s="104"/>
      <c r="I121" s="105"/>
    </row>
    <row r="122">
      <c r="B122" s="103"/>
      <c r="G122" s="104"/>
      <c r="I122" s="105"/>
    </row>
    <row r="123">
      <c r="B123" s="103"/>
      <c r="G123" s="104"/>
      <c r="I123" s="105"/>
    </row>
    <row r="124">
      <c r="B124" s="103"/>
      <c r="G124" s="104"/>
      <c r="I124" s="105"/>
    </row>
    <row r="125">
      <c r="B125" s="103"/>
      <c r="G125" s="104"/>
      <c r="I125" s="105"/>
    </row>
    <row r="126">
      <c r="B126" s="103"/>
      <c r="G126" s="104"/>
      <c r="I126" s="105"/>
    </row>
    <row r="127">
      <c r="B127" s="103"/>
      <c r="G127" s="104"/>
      <c r="I127" s="105"/>
    </row>
    <row r="128">
      <c r="B128" s="103"/>
      <c r="G128" s="104"/>
      <c r="I128" s="105"/>
    </row>
    <row r="129">
      <c r="B129" s="103"/>
      <c r="G129" s="104"/>
      <c r="I129" s="105"/>
    </row>
    <row r="130">
      <c r="B130" s="103"/>
      <c r="G130" s="104"/>
      <c r="I130" s="105"/>
    </row>
    <row r="131">
      <c r="B131" s="103"/>
      <c r="G131" s="104"/>
      <c r="I131" s="105"/>
    </row>
    <row r="132">
      <c r="B132" s="103"/>
      <c r="G132" s="104"/>
      <c r="I132" s="105"/>
    </row>
    <row r="133">
      <c r="B133" s="103"/>
      <c r="G133" s="104"/>
      <c r="I133" s="105"/>
    </row>
    <row r="134">
      <c r="B134" s="103"/>
      <c r="G134" s="104"/>
      <c r="I134" s="105"/>
    </row>
    <row r="135">
      <c r="B135" s="103"/>
      <c r="G135" s="104"/>
      <c r="I135" s="105"/>
    </row>
    <row r="136">
      <c r="B136" s="103"/>
      <c r="G136" s="104"/>
      <c r="I136" s="105"/>
    </row>
    <row r="137">
      <c r="B137" s="103"/>
      <c r="G137" s="104"/>
      <c r="I137" s="105"/>
    </row>
    <row r="138">
      <c r="B138" s="103"/>
      <c r="G138" s="104"/>
      <c r="I138" s="105"/>
    </row>
    <row r="139">
      <c r="B139" s="103"/>
      <c r="G139" s="104"/>
      <c r="I139" s="105"/>
    </row>
    <row r="140">
      <c r="B140" s="103"/>
      <c r="G140" s="104"/>
      <c r="I140" s="105"/>
    </row>
    <row r="141">
      <c r="B141" s="103"/>
      <c r="G141" s="104"/>
      <c r="I141" s="105"/>
    </row>
    <row r="142">
      <c r="B142" s="103"/>
      <c r="G142" s="104"/>
      <c r="I142" s="105"/>
    </row>
    <row r="143">
      <c r="B143" s="103"/>
      <c r="G143" s="104"/>
      <c r="I143" s="105"/>
    </row>
    <row r="144">
      <c r="B144" s="103"/>
      <c r="G144" s="104"/>
      <c r="I144" s="105"/>
    </row>
    <row r="145">
      <c r="B145" s="103"/>
      <c r="G145" s="104"/>
      <c r="I145" s="105"/>
    </row>
    <row r="146">
      <c r="B146" s="103"/>
      <c r="G146" s="104"/>
      <c r="I146" s="105"/>
    </row>
    <row r="147">
      <c r="B147" s="103"/>
      <c r="G147" s="104"/>
      <c r="I147" s="105"/>
    </row>
    <row r="148">
      <c r="B148" s="103"/>
      <c r="G148" s="104"/>
      <c r="I148" s="105"/>
    </row>
    <row r="149">
      <c r="B149" s="103"/>
      <c r="G149" s="104"/>
      <c r="I149" s="105"/>
    </row>
    <row r="150">
      <c r="B150" s="103"/>
      <c r="G150" s="104"/>
      <c r="I150" s="105"/>
    </row>
    <row r="151">
      <c r="B151" s="103"/>
      <c r="G151" s="104"/>
      <c r="I151" s="105"/>
    </row>
    <row r="152">
      <c r="B152" s="103"/>
      <c r="G152" s="104"/>
      <c r="I152" s="105"/>
    </row>
    <row r="153">
      <c r="B153" s="103"/>
      <c r="G153" s="104"/>
      <c r="I153" s="105"/>
    </row>
    <row r="154">
      <c r="B154" s="103"/>
      <c r="G154" s="104"/>
      <c r="I154" s="105"/>
    </row>
    <row r="155">
      <c r="B155" s="103"/>
      <c r="G155" s="104"/>
      <c r="I155" s="105"/>
    </row>
    <row r="156">
      <c r="B156" s="103"/>
      <c r="G156" s="104"/>
      <c r="I156" s="105"/>
    </row>
    <row r="157">
      <c r="B157" s="103"/>
      <c r="G157" s="104"/>
      <c r="I157" s="105"/>
    </row>
    <row r="158">
      <c r="B158" s="103"/>
      <c r="G158" s="104"/>
      <c r="I158" s="105"/>
    </row>
    <row r="159">
      <c r="B159" s="103"/>
      <c r="G159" s="104"/>
      <c r="I159" s="105"/>
    </row>
    <row r="160">
      <c r="B160" s="103"/>
      <c r="G160" s="104"/>
      <c r="I160" s="105"/>
    </row>
    <row r="161">
      <c r="B161" s="103"/>
      <c r="G161" s="104"/>
      <c r="I161" s="105"/>
    </row>
    <row r="162">
      <c r="B162" s="103"/>
      <c r="G162" s="104"/>
      <c r="I162" s="105"/>
    </row>
    <row r="163">
      <c r="B163" s="103"/>
      <c r="G163" s="104"/>
      <c r="I163" s="105"/>
    </row>
    <row r="164">
      <c r="B164" s="103"/>
      <c r="G164" s="104"/>
      <c r="I164" s="105"/>
    </row>
    <row r="165">
      <c r="B165" s="103"/>
      <c r="G165" s="104"/>
      <c r="I165" s="105"/>
    </row>
    <row r="166">
      <c r="B166" s="103"/>
      <c r="G166" s="104"/>
      <c r="I166" s="105"/>
    </row>
    <row r="167">
      <c r="B167" s="103"/>
      <c r="G167" s="104"/>
      <c r="I167" s="105"/>
    </row>
    <row r="168">
      <c r="B168" s="103"/>
      <c r="G168" s="104"/>
      <c r="I168" s="105"/>
    </row>
    <row r="169">
      <c r="B169" s="103"/>
      <c r="G169" s="104"/>
      <c r="I169" s="105"/>
    </row>
    <row r="170">
      <c r="B170" s="103"/>
      <c r="G170" s="104"/>
      <c r="I170" s="105"/>
    </row>
    <row r="171">
      <c r="B171" s="103"/>
      <c r="G171" s="104"/>
      <c r="I171" s="105"/>
    </row>
    <row r="172">
      <c r="B172" s="103"/>
      <c r="G172" s="104"/>
      <c r="I172" s="105"/>
    </row>
    <row r="173">
      <c r="B173" s="103"/>
      <c r="G173" s="104"/>
      <c r="I173" s="105"/>
    </row>
    <row r="174">
      <c r="B174" s="103"/>
      <c r="G174" s="104"/>
      <c r="I174" s="105"/>
    </row>
    <row r="175">
      <c r="B175" s="103"/>
      <c r="G175" s="104"/>
      <c r="I175" s="105"/>
    </row>
    <row r="176">
      <c r="B176" s="103"/>
      <c r="G176" s="104"/>
      <c r="I176" s="105"/>
    </row>
    <row r="177">
      <c r="B177" s="103"/>
      <c r="G177" s="104"/>
      <c r="I177" s="105"/>
    </row>
    <row r="178">
      <c r="B178" s="103"/>
      <c r="G178" s="104"/>
      <c r="I178" s="105"/>
    </row>
    <row r="179">
      <c r="B179" s="103"/>
      <c r="G179" s="104"/>
      <c r="I179" s="105"/>
    </row>
    <row r="180">
      <c r="B180" s="103"/>
      <c r="G180" s="104"/>
      <c r="I180" s="105"/>
    </row>
    <row r="181">
      <c r="B181" s="103"/>
      <c r="G181" s="104"/>
      <c r="I181" s="105"/>
    </row>
    <row r="182">
      <c r="B182" s="103"/>
      <c r="G182" s="104"/>
      <c r="I182" s="105"/>
    </row>
    <row r="183">
      <c r="B183" s="103"/>
      <c r="G183" s="104"/>
      <c r="I183" s="105"/>
    </row>
    <row r="184">
      <c r="B184" s="103"/>
      <c r="G184" s="104"/>
      <c r="I184" s="105"/>
    </row>
    <row r="185">
      <c r="B185" s="103"/>
      <c r="G185" s="104"/>
      <c r="I185" s="105"/>
    </row>
    <row r="186">
      <c r="B186" s="103"/>
      <c r="G186" s="104"/>
      <c r="I186" s="105"/>
    </row>
    <row r="187">
      <c r="B187" s="103"/>
      <c r="G187" s="104"/>
      <c r="I187" s="105"/>
    </row>
    <row r="188">
      <c r="B188" s="103"/>
      <c r="G188" s="104"/>
      <c r="I188" s="105"/>
    </row>
    <row r="189">
      <c r="B189" s="103"/>
      <c r="G189" s="104"/>
      <c r="I189" s="105"/>
    </row>
    <row r="190">
      <c r="B190" s="103"/>
      <c r="G190" s="104"/>
      <c r="I190" s="105"/>
    </row>
    <row r="191">
      <c r="B191" s="103"/>
      <c r="G191" s="104"/>
      <c r="I191" s="105"/>
    </row>
    <row r="192">
      <c r="B192" s="103"/>
      <c r="G192" s="104"/>
      <c r="I192" s="105"/>
    </row>
    <row r="193">
      <c r="B193" s="103"/>
      <c r="G193" s="104"/>
      <c r="I193" s="105"/>
    </row>
    <row r="194">
      <c r="B194" s="103"/>
      <c r="G194" s="104"/>
      <c r="I194" s="105"/>
    </row>
    <row r="195">
      <c r="B195" s="103"/>
      <c r="G195" s="104"/>
      <c r="I195" s="105"/>
    </row>
    <row r="196">
      <c r="B196" s="103"/>
      <c r="G196" s="104"/>
      <c r="I196" s="105"/>
    </row>
    <row r="197">
      <c r="B197" s="103"/>
      <c r="G197" s="104"/>
      <c r="I197" s="105"/>
    </row>
    <row r="198">
      <c r="B198" s="103"/>
      <c r="G198" s="104"/>
      <c r="I198" s="105"/>
    </row>
    <row r="199">
      <c r="B199" s="103"/>
      <c r="G199" s="104"/>
      <c r="I199" s="105"/>
    </row>
    <row r="200">
      <c r="B200" s="103"/>
      <c r="G200" s="104"/>
      <c r="I200" s="105"/>
    </row>
    <row r="201">
      <c r="B201" s="103"/>
      <c r="G201" s="104"/>
      <c r="I201" s="105"/>
    </row>
    <row r="202">
      <c r="B202" s="103"/>
      <c r="G202" s="104"/>
      <c r="I202" s="105"/>
    </row>
    <row r="203">
      <c r="B203" s="103"/>
      <c r="G203" s="104"/>
      <c r="I203" s="105"/>
    </row>
    <row r="204">
      <c r="B204" s="103"/>
      <c r="G204" s="104"/>
      <c r="I204" s="105"/>
    </row>
    <row r="205">
      <c r="B205" s="103"/>
      <c r="G205" s="104"/>
      <c r="I205" s="105"/>
    </row>
    <row r="206">
      <c r="B206" s="103"/>
      <c r="G206" s="104"/>
      <c r="I206" s="105"/>
    </row>
    <row r="207">
      <c r="B207" s="103"/>
      <c r="G207" s="104"/>
      <c r="I207" s="105"/>
    </row>
    <row r="208">
      <c r="B208" s="103"/>
      <c r="G208" s="104"/>
      <c r="I208" s="105"/>
    </row>
    <row r="209">
      <c r="B209" s="103"/>
      <c r="G209" s="104"/>
      <c r="I209" s="105"/>
    </row>
    <row r="210">
      <c r="B210" s="103"/>
      <c r="G210" s="104"/>
      <c r="I210" s="105"/>
    </row>
    <row r="211">
      <c r="B211" s="103"/>
      <c r="G211" s="104"/>
      <c r="I211" s="105"/>
    </row>
    <row r="212">
      <c r="B212" s="103"/>
      <c r="G212" s="104"/>
      <c r="I212" s="105"/>
    </row>
    <row r="213">
      <c r="B213" s="103"/>
      <c r="G213" s="104"/>
      <c r="I213" s="105"/>
    </row>
    <row r="214">
      <c r="B214" s="103"/>
      <c r="G214" s="104"/>
      <c r="I214" s="105"/>
    </row>
    <row r="215">
      <c r="B215" s="103"/>
      <c r="G215" s="104"/>
      <c r="I215" s="105"/>
    </row>
    <row r="216">
      <c r="B216" s="103"/>
      <c r="G216" s="104"/>
      <c r="I216" s="105"/>
    </row>
    <row r="217">
      <c r="B217" s="103"/>
      <c r="G217" s="104"/>
      <c r="I217" s="105"/>
    </row>
    <row r="218">
      <c r="B218" s="103"/>
      <c r="G218" s="104"/>
      <c r="I218" s="105"/>
    </row>
    <row r="219">
      <c r="B219" s="103"/>
      <c r="G219" s="104"/>
      <c r="I219" s="105"/>
    </row>
    <row r="220">
      <c r="B220" s="103"/>
      <c r="G220" s="104"/>
      <c r="I220" s="105"/>
    </row>
    <row r="221">
      <c r="B221" s="103"/>
      <c r="G221" s="104"/>
      <c r="I221" s="105"/>
    </row>
    <row r="222">
      <c r="B222" s="103"/>
      <c r="G222" s="104"/>
      <c r="I222" s="105"/>
    </row>
    <row r="223">
      <c r="B223" s="103"/>
      <c r="G223" s="104"/>
      <c r="I223" s="105"/>
    </row>
    <row r="224">
      <c r="B224" s="103"/>
      <c r="G224" s="104"/>
      <c r="I224" s="105"/>
    </row>
    <row r="225">
      <c r="B225" s="103"/>
      <c r="G225" s="104"/>
      <c r="I225" s="105"/>
    </row>
    <row r="226">
      <c r="B226" s="103"/>
      <c r="G226" s="104"/>
      <c r="I226" s="105"/>
    </row>
    <row r="227">
      <c r="B227" s="103"/>
      <c r="G227" s="104"/>
      <c r="I227" s="105"/>
    </row>
    <row r="228">
      <c r="B228" s="103"/>
      <c r="G228" s="104"/>
      <c r="I228" s="105"/>
    </row>
    <row r="229">
      <c r="B229" s="103"/>
      <c r="G229" s="104"/>
      <c r="I229" s="105"/>
    </row>
    <row r="230">
      <c r="B230" s="103"/>
      <c r="G230" s="104"/>
      <c r="I230" s="105"/>
    </row>
    <row r="231">
      <c r="B231" s="103"/>
      <c r="G231" s="104"/>
      <c r="I231" s="105"/>
    </row>
    <row r="232">
      <c r="B232" s="103"/>
      <c r="G232" s="104"/>
      <c r="I232" s="105"/>
    </row>
    <row r="233">
      <c r="B233" s="103"/>
      <c r="G233" s="104"/>
      <c r="I233" s="105"/>
    </row>
    <row r="234">
      <c r="B234" s="103"/>
      <c r="G234" s="104"/>
      <c r="I234" s="105"/>
    </row>
    <row r="235">
      <c r="B235" s="103"/>
      <c r="G235" s="104"/>
      <c r="I235" s="105"/>
    </row>
    <row r="236">
      <c r="B236" s="103"/>
      <c r="G236" s="104"/>
      <c r="I236" s="105"/>
    </row>
    <row r="237">
      <c r="B237" s="103"/>
      <c r="G237" s="104"/>
      <c r="I237" s="105"/>
    </row>
    <row r="238">
      <c r="B238" s="103"/>
      <c r="G238" s="104"/>
      <c r="I238" s="105"/>
    </row>
    <row r="239">
      <c r="B239" s="103"/>
      <c r="G239" s="104"/>
      <c r="I239" s="105"/>
    </row>
    <row r="240">
      <c r="B240" s="103"/>
      <c r="G240" s="104"/>
      <c r="I240" s="105"/>
    </row>
    <row r="241">
      <c r="B241" s="103"/>
      <c r="G241" s="104"/>
      <c r="I241" s="105"/>
    </row>
    <row r="242">
      <c r="B242" s="103"/>
      <c r="G242" s="104"/>
      <c r="I242" s="105"/>
    </row>
    <row r="243">
      <c r="B243" s="103"/>
      <c r="G243" s="104"/>
      <c r="I243" s="105"/>
    </row>
    <row r="244">
      <c r="B244" s="103"/>
      <c r="G244" s="104"/>
      <c r="I244" s="105"/>
    </row>
    <row r="245">
      <c r="B245" s="103"/>
      <c r="G245" s="104"/>
      <c r="I245" s="105"/>
    </row>
    <row r="246">
      <c r="B246" s="103"/>
      <c r="G246" s="104"/>
      <c r="I246" s="105"/>
    </row>
    <row r="247">
      <c r="B247" s="103"/>
      <c r="G247" s="104"/>
      <c r="I247" s="105"/>
    </row>
    <row r="248">
      <c r="B248" s="103"/>
      <c r="G248" s="104"/>
      <c r="I248" s="105"/>
    </row>
    <row r="249">
      <c r="B249" s="103"/>
      <c r="G249" s="104"/>
      <c r="I249" s="105"/>
    </row>
    <row r="250">
      <c r="B250" s="103"/>
      <c r="G250" s="104"/>
      <c r="I250" s="105"/>
    </row>
    <row r="251">
      <c r="B251" s="103"/>
      <c r="G251" s="104"/>
      <c r="I251" s="105"/>
    </row>
    <row r="252">
      <c r="B252" s="103"/>
      <c r="G252" s="104"/>
      <c r="I252" s="105"/>
    </row>
    <row r="253">
      <c r="B253" s="103"/>
      <c r="G253" s="104"/>
      <c r="I253" s="105"/>
    </row>
    <row r="254">
      <c r="B254" s="103"/>
      <c r="G254" s="104"/>
      <c r="I254" s="105"/>
    </row>
    <row r="255">
      <c r="B255" s="103"/>
      <c r="G255" s="104"/>
      <c r="I255" s="105"/>
    </row>
    <row r="256">
      <c r="B256" s="103"/>
      <c r="G256" s="104"/>
      <c r="I256" s="105"/>
    </row>
    <row r="257">
      <c r="B257" s="103"/>
      <c r="G257" s="104"/>
      <c r="I257" s="105"/>
    </row>
    <row r="258">
      <c r="B258" s="103"/>
      <c r="G258" s="104"/>
      <c r="I258" s="105"/>
    </row>
    <row r="259">
      <c r="B259" s="103"/>
      <c r="G259" s="104"/>
      <c r="I259" s="105"/>
    </row>
    <row r="260">
      <c r="B260" s="103"/>
      <c r="G260" s="104"/>
      <c r="I260" s="105"/>
    </row>
    <row r="261">
      <c r="B261" s="103"/>
      <c r="G261" s="104"/>
      <c r="I261" s="105"/>
    </row>
    <row r="262">
      <c r="B262" s="103"/>
      <c r="G262" s="104"/>
      <c r="I262" s="105"/>
    </row>
    <row r="263">
      <c r="B263" s="103"/>
      <c r="G263" s="104"/>
      <c r="I263" s="105"/>
    </row>
    <row r="264">
      <c r="B264" s="103"/>
      <c r="G264" s="104"/>
      <c r="I264" s="105"/>
    </row>
    <row r="265">
      <c r="B265" s="103"/>
      <c r="G265" s="104"/>
      <c r="I265" s="105"/>
    </row>
    <row r="266">
      <c r="B266" s="103"/>
      <c r="G266" s="104"/>
      <c r="I266" s="105"/>
    </row>
    <row r="267">
      <c r="B267" s="103"/>
      <c r="G267" s="104"/>
      <c r="I267" s="105"/>
    </row>
    <row r="268">
      <c r="B268" s="103"/>
      <c r="G268" s="104"/>
      <c r="I268" s="105"/>
    </row>
    <row r="269">
      <c r="B269" s="103"/>
      <c r="G269" s="104"/>
      <c r="I269" s="105"/>
    </row>
    <row r="270">
      <c r="B270" s="103"/>
      <c r="G270" s="104"/>
      <c r="I270" s="105"/>
    </row>
    <row r="271">
      <c r="B271" s="103"/>
      <c r="G271" s="104"/>
      <c r="I271" s="105"/>
    </row>
    <row r="272">
      <c r="B272" s="103"/>
      <c r="G272" s="104"/>
      <c r="I272" s="105"/>
    </row>
    <row r="273">
      <c r="B273" s="103"/>
      <c r="G273" s="104"/>
      <c r="I273" s="105"/>
    </row>
    <row r="274">
      <c r="B274" s="103"/>
      <c r="G274" s="104"/>
      <c r="I274" s="105"/>
    </row>
    <row r="275">
      <c r="B275" s="103"/>
      <c r="G275" s="104"/>
      <c r="I275" s="105"/>
    </row>
    <row r="276">
      <c r="B276" s="103"/>
      <c r="G276" s="104"/>
      <c r="I276" s="105"/>
    </row>
    <row r="277">
      <c r="B277" s="103"/>
      <c r="G277" s="104"/>
      <c r="I277" s="105"/>
    </row>
    <row r="278">
      <c r="B278" s="103"/>
      <c r="G278" s="104"/>
      <c r="I278" s="105"/>
    </row>
    <row r="279">
      <c r="B279" s="103"/>
      <c r="G279" s="104"/>
      <c r="I279" s="105"/>
    </row>
    <row r="280">
      <c r="B280" s="103"/>
      <c r="G280" s="104"/>
      <c r="I280" s="105"/>
    </row>
    <row r="281">
      <c r="B281" s="103"/>
      <c r="G281" s="104"/>
      <c r="I281" s="105"/>
    </row>
    <row r="282">
      <c r="B282" s="103"/>
      <c r="G282" s="104"/>
      <c r="I282" s="105"/>
    </row>
    <row r="283">
      <c r="B283" s="103"/>
      <c r="G283" s="104"/>
      <c r="I283" s="105"/>
    </row>
    <row r="284">
      <c r="B284" s="103"/>
      <c r="G284" s="104"/>
      <c r="I284" s="105"/>
    </row>
    <row r="285">
      <c r="B285" s="103"/>
      <c r="G285" s="104"/>
      <c r="I285" s="105"/>
    </row>
    <row r="286">
      <c r="B286" s="103"/>
      <c r="G286" s="104"/>
      <c r="I286" s="105"/>
    </row>
    <row r="287">
      <c r="B287" s="103"/>
      <c r="G287" s="104"/>
      <c r="I287" s="105"/>
    </row>
    <row r="288">
      <c r="B288" s="103"/>
      <c r="G288" s="104"/>
      <c r="I288" s="105"/>
    </row>
    <row r="289">
      <c r="B289" s="103"/>
      <c r="G289" s="104"/>
      <c r="I289" s="105"/>
    </row>
    <row r="290">
      <c r="B290" s="103"/>
      <c r="G290" s="104"/>
      <c r="I290" s="105"/>
    </row>
    <row r="291">
      <c r="B291" s="103"/>
      <c r="G291" s="104"/>
      <c r="I291" s="105"/>
    </row>
    <row r="292">
      <c r="B292" s="103"/>
      <c r="G292" s="104"/>
      <c r="I292" s="105"/>
    </row>
    <row r="293">
      <c r="B293" s="103"/>
      <c r="G293" s="104"/>
      <c r="I293" s="105"/>
    </row>
    <row r="294">
      <c r="B294" s="103"/>
      <c r="G294" s="104"/>
      <c r="I294" s="105"/>
    </row>
    <row r="295">
      <c r="B295" s="103"/>
      <c r="G295" s="104"/>
      <c r="I295" s="105"/>
    </row>
    <row r="296">
      <c r="B296" s="103"/>
      <c r="G296" s="104"/>
      <c r="I296" s="105"/>
    </row>
    <row r="297">
      <c r="B297" s="103"/>
      <c r="G297" s="104"/>
      <c r="I297" s="105"/>
    </row>
    <row r="298">
      <c r="B298" s="103"/>
      <c r="G298" s="104"/>
      <c r="I298" s="105"/>
    </row>
    <row r="299">
      <c r="B299" s="103"/>
      <c r="G299" s="104"/>
      <c r="I299" s="105"/>
    </row>
    <row r="300">
      <c r="B300" s="103"/>
      <c r="G300" s="104"/>
      <c r="I300" s="105"/>
    </row>
    <row r="301">
      <c r="B301" s="103"/>
      <c r="G301" s="104"/>
      <c r="I301" s="105"/>
    </row>
    <row r="302">
      <c r="B302" s="103"/>
      <c r="G302" s="104"/>
      <c r="I302" s="105"/>
    </row>
    <row r="303">
      <c r="B303" s="103"/>
      <c r="G303" s="104"/>
      <c r="I303" s="105"/>
    </row>
    <row r="304">
      <c r="B304" s="103"/>
      <c r="G304" s="104"/>
      <c r="I304" s="105"/>
    </row>
    <row r="305">
      <c r="B305" s="103"/>
      <c r="G305" s="104"/>
      <c r="I305" s="105"/>
    </row>
    <row r="306">
      <c r="B306" s="103"/>
      <c r="G306" s="104"/>
      <c r="I306" s="105"/>
    </row>
    <row r="307">
      <c r="B307" s="103"/>
      <c r="G307" s="104"/>
      <c r="I307" s="105"/>
    </row>
    <row r="308">
      <c r="B308" s="103"/>
      <c r="G308" s="104"/>
      <c r="I308" s="105"/>
    </row>
    <row r="309">
      <c r="B309" s="103"/>
      <c r="G309" s="104"/>
      <c r="I309" s="105"/>
    </row>
    <row r="310">
      <c r="B310" s="103"/>
      <c r="G310" s="104"/>
      <c r="I310" s="105"/>
    </row>
    <row r="311">
      <c r="B311" s="103"/>
      <c r="G311" s="104"/>
      <c r="I311" s="105"/>
    </row>
    <row r="312">
      <c r="B312" s="103"/>
      <c r="G312" s="104"/>
      <c r="I312" s="105"/>
    </row>
    <row r="313">
      <c r="B313" s="103"/>
      <c r="G313" s="104"/>
      <c r="I313" s="105"/>
    </row>
    <row r="314">
      <c r="B314" s="103"/>
      <c r="G314" s="104"/>
      <c r="I314" s="105"/>
    </row>
    <row r="315">
      <c r="B315" s="103"/>
      <c r="G315" s="104"/>
      <c r="I315" s="105"/>
    </row>
    <row r="316">
      <c r="B316" s="103"/>
      <c r="G316" s="104"/>
      <c r="I316" s="105"/>
    </row>
    <row r="317">
      <c r="B317" s="103"/>
      <c r="G317" s="104"/>
      <c r="I317" s="105"/>
    </row>
    <row r="318">
      <c r="B318" s="103"/>
      <c r="G318" s="104"/>
      <c r="I318" s="105"/>
    </row>
    <row r="319">
      <c r="B319" s="103"/>
      <c r="G319" s="104"/>
      <c r="I319" s="105"/>
    </row>
    <row r="320">
      <c r="B320" s="103"/>
      <c r="G320" s="104"/>
      <c r="I320" s="105"/>
    </row>
    <row r="321">
      <c r="B321" s="103"/>
      <c r="G321" s="104"/>
      <c r="I321" s="105"/>
    </row>
    <row r="322">
      <c r="B322" s="103"/>
      <c r="G322" s="104"/>
      <c r="I322" s="105"/>
    </row>
    <row r="323">
      <c r="B323" s="103"/>
      <c r="G323" s="104"/>
      <c r="I323" s="105"/>
    </row>
    <row r="324">
      <c r="B324" s="103"/>
      <c r="G324" s="104"/>
      <c r="I324" s="105"/>
    </row>
    <row r="325">
      <c r="B325" s="103"/>
      <c r="G325" s="104"/>
      <c r="I325" s="105"/>
    </row>
    <row r="326">
      <c r="B326" s="103"/>
      <c r="G326" s="104"/>
      <c r="I326" s="105"/>
    </row>
    <row r="327">
      <c r="B327" s="103"/>
      <c r="G327" s="104"/>
      <c r="I327" s="105"/>
    </row>
    <row r="328">
      <c r="B328" s="103"/>
      <c r="G328" s="104"/>
      <c r="I328" s="105"/>
    </row>
    <row r="329">
      <c r="B329" s="103"/>
      <c r="G329" s="104"/>
      <c r="I329" s="105"/>
    </row>
    <row r="330">
      <c r="B330" s="103"/>
      <c r="G330" s="104"/>
      <c r="I330" s="105"/>
    </row>
    <row r="331">
      <c r="B331" s="103"/>
      <c r="G331" s="104"/>
      <c r="I331" s="105"/>
    </row>
    <row r="332">
      <c r="B332" s="103"/>
      <c r="G332" s="104"/>
      <c r="I332" s="105"/>
    </row>
    <row r="333">
      <c r="B333" s="103"/>
      <c r="G333" s="104"/>
      <c r="I333" s="105"/>
    </row>
    <row r="334">
      <c r="B334" s="103"/>
      <c r="G334" s="104"/>
      <c r="I334" s="105"/>
    </row>
    <row r="335">
      <c r="B335" s="103"/>
      <c r="G335" s="104"/>
      <c r="I335" s="105"/>
    </row>
    <row r="336">
      <c r="B336" s="103"/>
      <c r="G336" s="104"/>
      <c r="I336" s="105"/>
    </row>
    <row r="337">
      <c r="B337" s="103"/>
      <c r="G337" s="104"/>
      <c r="I337" s="105"/>
    </row>
    <row r="338">
      <c r="B338" s="103"/>
      <c r="G338" s="104"/>
      <c r="I338" s="105"/>
    </row>
    <row r="339">
      <c r="B339" s="103"/>
      <c r="G339" s="104"/>
      <c r="I339" s="105"/>
    </row>
    <row r="340">
      <c r="B340" s="103"/>
      <c r="G340" s="104"/>
      <c r="I340" s="105"/>
    </row>
    <row r="341">
      <c r="B341" s="103"/>
      <c r="G341" s="104"/>
      <c r="I341" s="105"/>
    </row>
    <row r="342">
      <c r="B342" s="103"/>
      <c r="G342" s="104"/>
      <c r="I342" s="105"/>
    </row>
    <row r="343">
      <c r="B343" s="103"/>
      <c r="G343" s="104"/>
      <c r="I343" s="105"/>
    </row>
    <row r="344">
      <c r="B344" s="103"/>
      <c r="G344" s="104"/>
      <c r="I344" s="105"/>
    </row>
    <row r="345">
      <c r="B345" s="103"/>
      <c r="G345" s="104"/>
      <c r="I345" s="105"/>
    </row>
    <row r="346">
      <c r="B346" s="103"/>
      <c r="G346" s="104"/>
      <c r="I346" s="105"/>
    </row>
    <row r="347">
      <c r="B347" s="103"/>
      <c r="G347" s="104"/>
      <c r="I347" s="105"/>
    </row>
    <row r="348">
      <c r="B348" s="103"/>
      <c r="G348" s="104"/>
      <c r="I348" s="105"/>
    </row>
    <row r="349">
      <c r="B349" s="103"/>
      <c r="G349" s="104"/>
      <c r="I349" s="105"/>
    </row>
    <row r="350">
      <c r="B350" s="103"/>
      <c r="G350" s="104"/>
      <c r="I350" s="105"/>
    </row>
    <row r="351">
      <c r="B351" s="103"/>
      <c r="G351" s="104"/>
      <c r="I351" s="105"/>
    </row>
    <row r="352">
      <c r="B352" s="103"/>
      <c r="G352" s="104"/>
      <c r="I352" s="105"/>
    </row>
    <row r="353">
      <c r="B353" s="103"/>
      <c r="G353" s="104"/>
      <c r="I353" s="105"/>
    </row>
    <row r="354">
      <c r="B354" s="103"/>
      <c r="G354" s="104"/>
      <c r="I354" s="105"/>
    </row>
    <row r="355">
      <c r="B355" s="103"/>
      <c r="G355" s="104"/>
      <c r="I355" s="105"/>
    </row>
    <row r="356">
      <c r="B356" s="103"/>
      <c r="G356" s="104"/>
      <c r="I356" s="105"/>
    </row>
    <row r="357">
      <c r="B357" s="103"/>
      <c r="G357" s="104"/>
      <c r="I357" s="105"/>
    </row>
    <row r="358">
      <c r="B358" s="103"/>
      <c r="G358" s="104"/>
      <c r="I358" s="105"/>
    </row>
    <row r="359">
      <c r="B359" s="103"/>
      <c r="G359" s="104"/>
      <c r="I359" s="105"/>
    </row>
    <row r="360">
      <c r="B360" s="103"/>
      <c r="G360" s="104"/>
      <c r="I360" s="105"/>
    </row>
    <row r="361">
      <c r="B361" s="103"/>
      <c r="G361" s="104"/>
      <c r="I361" s="105"/>
    </row>
    <row r="362">
      <c r="B362" s="103"/>
      <c r="G362" s="104"/>
      <c r="I362" s="105"/>
    </row>
    <row r="363">
      <c r="B363" s="103"/>
      <c r="G363" s="104"/>
      <c r="I363" s="105"/>
    </row>
    <row r="364">
      <c r="B364" s="103"/>
      <c r="G364" s="104"/>
      <c r="I364" s="105"/>
    </row>
    <row r="365">
      <c r="B365" s="103"/>
      <c r="G365" s="104"/>
      <c r="I365" s="105"/>
    </row>
    <row r="366">
      <c r="B366" s="103"/>
      <c r="G366" s="104"/>
      <c r="I366" s="105"/>
    </row>
    <row r="367">
      <c r="B367" s="103"/>
      <c r="G367" s="104"/>
      <c r="I367" s="105"/>
    </row>
    <row r="368">
      <c r="B368" s="103"/>
      <c r="G368" s="104"/>
      <c r="I368" s="105"/>
    </row>
    <row r="369">
      <c r="B369" s="103"/>
      <c r="G369" s="104"/>
      <c r="I369" s="105"/>
    </row>
    <row r="370">
      <c r="B370" s="103"/>
      <c r="G370" s="104"/>
      <c r="I370" s="105"/>
    </row>
    <row r="371">
      <c r="B371" s="103"/>
      <c r="G371" s="104"/>
      <c r="I371" s="105"/>
    </row>
    <row r="372">
      <c r="B372" s="103"/>
      <c r="G372" s="104"/>
      <c r="I372" s="105"/>
    </row>
    <row r="373">
      <c r="B373" s="103"/>
      <c r="G373" s="104"/>
      <c r="I373" s="105"/>
    </row>
    <row r="374">
      <c r="B374" s="103"/>
      <c r="G374" s="104"/>
      <c r="I374" s="105"/>
    </row>
    <row r="375">
      <c r="B375" s="103"/>
      <c r="G375" s="104"/>
      <c r="I375" s="105"/>
    </row>
    <row r="376">
      <c r="B376" s="103"/>
      <c r="G376" s="104"/>
      <c r="I376" s="105"/>
    </row>
    <row r="377">
      <c r="B377" s="103"/>
      <c r="G377" s="104"/>
      <c r="I377" s="105"/>
    </row>
    <row r="378">
      <c r="B378" s="103"/>
      <c r="G378" s="104"/>
      <c r="I378" s="105"/>
    </row>
    <row r="379">
      <c r="B379" s="103"/>
      <c r="G379" s="104"/>
      <c r="I379" s="105"/>
    </row>
    <row r="380">
      <c r="B380" s="103"/>
      <c r="G380" s="104"/>
      <c r="I380" s="105"/>
    </row>
    <row r="381">
      <c r="B381" s="103"/>
      <c r="G381" s="104"/>
      <c r="I381" s="105"/>
    </row>
    <row r="382">
      <c r="B382" s="103"/>
      <c r="G382" s="104"/>
      <c r="I382" s="105"/>
    </row>
    <row r="383">
      <c r="B383" s="103"/>
      <c r="G383" s="104"/>
      <c r="I383" s="105"/>
    </row>
    <row r="384">
      <c r="B384" s="103"/>
      <c r="G384" s="104"/>
      <c r="I384" s="105"/>
    </row>
    <row r="385">
      <c r="B385" s="103"/>
      <c r="G385" s="104"/>
      <c r="I385" s="105"/>
    </row>
    <row r="386">
      <c r="B386" s="103"/>
      <c r="G386" s="104"/>
      <c r="I386" s="105"/>
    </row>
    <row r="387">
      <c r="B387" s="103"/>
      <c r="G387" s="104"/>
      <c r="I387" s="105"/>
    </row>
    <row r="388">
      <c r="B388" s="103"/>
      <c r="G388" s="104"/>
      <c r="I388" s="105"/>
    </row>
    <row r="389">
      <c r="B389" s="103"/>
      <c r="G389" s="104"/>
      <c r="I389" s="105"/>
    </row>
    <row r="390">
      <c r="B390" s="103"/>
      <c r="G390" s="104"/>
      <c r="I390" s="105"/>
    </row>
    <row r="391">
      <c r="B391" s="103"/>
      <c r="G391" s="104"/>
      <c r="I391" s="105"/>
    </row>
    <row r="392">
      <c r="B392" s="103"/>
      <c r="G392" s="104"/>
      <c r="I392" s="105"/>
    </row>
    <row r="393">
      <c r="B393" s="103"/>
      <c r="G393" s="104"/>
      <c r="I393" s="105"/>
    </row>
    <row r="394">
      <c r="B394" s="103"/>
      <c r="G394" s="104"/>
      <c r="I394" s="105"/>
    </row>
    <row r="395">
      <c r="B395" s="103"/>
      <c r="G395" s="104"/>
      <c r="I395" s="105"/>
    </row>
    <row r="396">
      <c r="B396" s="103"/>
      <c r="G396" s="104"/>
      <c r="I396" s="105"/>
    </row>
    <row r="397">
      <c r="B397" s="103"/>
      <c r="G397" s="104"/>
      <c r="I397" s="105"/>
    </row>
    <row r="398">
      <c r="B398" s="103"/>
      <c r="G398" s="104"/>
      <c r="I398" s="105"/>
    </row>
    <row r="399">
      <c r="B399" s="103"/>
      <c r="G399" s="104"/>
      <c r="I399" s="105"/>
    </row>
    <row r="400">
      <c r="B400" s="103"/>
      <c r="G400" s="104"/>
      <c r="I400" s="105"/>
    </row>
    <row r="401">
      <c r="B401" s="103"/>
      <c r="G401" s="104"/>
      <c r="I401" s="105"/>
    </row>
    <row r="402">
      <c r="B402" s="103"/>
      <c r="G402" s="104"/>
      <c r="I402" s="105"/>
    </row>
    <row r="403">
      <c r="B403" s="103"/>
      <c r="G403" s="104"/>
      <c r="I403" s="105"/>
    </row>
    <row r="404">
      <c r="B404" s="103"/>
      <c r="G404" s="104"/>
      <c r="I404" s="105"/>
    </row>
    <row r="405">
      <c r="B405" s="103"/>
      <c r="G405" s="104"/>
      <c r="I405" s="105"/>
    </row>
    <row r="406">
      <c r="B406" s="103"/>
      <c r="G406" s="104"/>
      <c r="I406" s="105"/>
    </row>
    <row r="407">
      <c r="B407" s="103"/>
      <c r="G407" s="104"/>
      <c r="I407" s="105"/>
    </row>
    <row r="408">
      <c r="B408" s="103"/>
      <c r="G408" s="104"/>
      <c r="I408" s="105"/>
    </row>
    <row r="409">
      <c r="B409" s="103"/>
      <c r="G409" s="104"/>
      <c r="I409" s="105"/>
    </row>
    <row r="410">
      <c r="B410" s="103"/>
      <c r="G410" s="104"/>
      <c r="I410" s="105"/>
    </row>
    <row r="411">
      <c r="B411" s="103"/>
      <c r="G411" s="104"/>
      <c r="I411" s="105"/>
    </row>
    <row r="412">
      <c r="B412" s="103"/>
      <c r="G412" s="104"/>
      <c r="I412" s="105"/>
    </row>
    <row r="413">
      <c r="B413" s="103"/>
      <c r="G413" s="104"/>
      <c r="I413" s="105"/>
    </row>
    <row r="414">
      <c r="B414" s="103"/>
      <c r="G414" s="104"/>
      <c r="I414" s="105"/>
    </row>
    <row r="415">
      <c r="B415" s="103"/>
      <c r="G415" s="104"/>
      <c r="I415" s="105"/>
    </row>
    <row r="416">
      <c r="B416" s="103"/>
      <c r="G416" s="104"/>
      <c r="I416" s="105"/>
    </row>
    <row r="417">
      <c r="B417" s="103"/>
      <c r="G417" s="104"/>
      <c r="I417" s="105"/>
    </row>
    <row r="418">
      <c r="B418" s="103"/>
      <c r="G418" s="104"/>
      <c r="I418" s="105"/>
    </row>
    <row r="419">
      <c r="B419" s="103"/>
      <c r="G419" s="104"/>
      <c r="I419" s="105"/>
    </row>
    <row r="420">
      <c r="B420" s="103"/>
      <c r="G420" s="104"/>
      <c r="I420" s="105"/>
    </row>
    <row r="421">
      <c r="B421" s="103"/>
      <c r="G421" s="104"/>
      <c r="I421" s="105"/>
    </row>
    <row r="422">
      <c r="B422" s="103"/>
      <c r="G422" s="104"/>
      <c r="I422" s="105"/>
    </row>
    <row r="423">
      <c r="B423" s="103"/>
      <c r="G423" s="104"/>
      <c r="I423" s="105"/>
    </row>
    <row r="424">
      <c r="B424" s="103"/>
      <c r="G424" s="104"/>
      <c r="I424" s="105"/>
    </row>
    <row r="425">
      <c r="B425" s="103"/>
      <c r="G425" s="104"/>
      <c r="I425" s="105"/>
    </row>
    <row r="426">
      <c r="B426" s="103"/>
      <c r="G426" s="104"/>
      <c r="I426" s="105"/>
    </row>
    <row r="427">
      <c r="B427" s="103"/>
      <c r="G427" s="104"/>
      <c r="I427" s="105"/>
    </row>
    <row r="428">
      <c r="B428" s="103"/>
      <c r="G428" s="104"/>
      <c r="I428" s="105"/>
    </row>
    <row r="429">
      <c r="B429" s="103"/>
      <c r="G429" s="104"/>
      <c r="I429" s="105"/>
    </row>
    <row r="430">
      <c r="B430" s="103"/>
      <c r="G430" s="104"/>
      <c r="I430" s="105"/>
    </row>
    <row r="431">
      <c r="B431" s="103"/>
      <c r="G431" s="104"/>
      <c r="I431" s="105"/>
    </row>
    <row r="432">
      <c r="B432" s="103"/>
      <c r="G432" s="104"/>
      <c r="I432" s="105"/>
    </row>
    <row r="433">
      <c r="B433" s="103"/>
      <c r="G433" s="104"/>
      <c r="I433" s="105"/>
    </row>
    <row r="434">
      <c r="B434" s="103"/>
      <c r="G434" s="104"/>
      <c r="I434" s="105"/>
    </row>
    <row r="435">
      <c r="B435" s="103"/>
      <c r="G435" s="104"/>
      <c r="I435" s="105"/>
    </row>
    <row r="436">
      <c r="B436" s="103"/>
      <c r="G436" s="104"/>
      <c r="I436" s="105"/>
    </row>
    <row r="437">
      <c r="B437" s="103"/>
      <c r="G437" s="104"/>
      <c r="I437" s="105"/>
    </row>
    <row r="438">
      <c r="B438" s="103"/>
      <c r="G438" s="104"/>
      <c r="I438" s="105"/>
    </row>
    <row r="439">
      <c r="B439" s="103"/>
      <c r="G439" s="104"/>
      <c r="I439" s="105"/>
    </row>
    <row r="440">
      <c r="B440" s="103"/>
      <c r="G440" s="104"/>
      <c r="I440" s="105"/>
    </row>
    <row r="441">
      <c r="B441" s="103"/>
      <c r="G441" s="104"/>
      <c r="I441" s="105"/>
    </row>
    <row r="442">
      <c r="B442" s="103"/>
      <c r="G442" s="104"/>
      <c r="I442" s="105"/>
    </row>
    <row r="443">
      <c r="B443" s="103"/>
      <c r="G443" s="104"/>
      <c r="I443" s="105"/>
    </row>
    <row r="444">
      <c r="B444" s="103"/>
      <c r="G444" s="104"/>
      <c r="I444" s="105"/>
    </row>
    <row r="445">
      <c r="B445" s="103"/>
      <c r="G445" s="104"/>
      <c r="I445" s="105"/>
    </row>
    <row r="446">
      <c r="B446" s="103"/>
      <c r="G446" s="104"/>
      <c r="I446" s="105"/>
    </row>
    <row r="447">
      <c r="B447" s="103"/>
      <c r="G447" s="104"/>
      <c r="I447" s="105"/>
    </row>
    <row r="448">
      <c r="B448" s="103"/>
      <c r="G448" s="104"/>
      <c r="I448" s="105"/>
    </row>
    <row r="449">
      <c r="B449" s="103"/>
      <c r="G449" s="104"/>
      <c r="I449" s="105"/>
    </row>
    <row r="450">
      <c r="B450" s="103"/>
      <c r="G450" s="104"/>
      <c r="I450" s="105"/>
    </row>
    <row r="451">
      <c r="B451" s="103"/>
      <c r="G451" s="104"/>
      <c r="I451" s="105"/>
    </row>
    <row r="452">
      <c r="B452" s="103"/>
      <c r="G452" s="104"/>
      <c r="I452" s="105"/>
    </row>
    <row r="453">
      <c r="B453" s="103"/>
      <c r="G453" s="104"/>
      <c r="I453" s="105"/>
    </row>
    <row r="454">
      <c r="B454" s="103"/>
      <c r="G454" s="104"/>
      <c r="I454" s="105"/>
    </row>
    <row r="455">
      <c r="B455" s="103"/>
      <c r="G455" s="104"/>
      <c r="I455" s="105"/>
    </row>
    <row r="456">
      <c r="B456" s="103"/>
      <c r="G456" s="104"/>
      <c r="I456" s="105"/>
    </row>
    <row r="457">
      <c r="B457" s="103"/>
      <c r="G457" s="104"/>
      <c r="I457" s="105"/>
    </row>
    <row r="458">
      <c r="B458" s="103"/>
      <c r="G458" s="104"/>
      <c r="I458" s="105"/>
    </row>
    <row r="459">
      <c r="B459" s="103"/>
      <c r="G459" s="104"/>
      <c r="I459" s="105"/>
    </row>
    <row r="460">
      <c r="B460" s="103"/>
      <c r="G460" s="104"/>
      <c r="I460" s="105"/>
    </row>
    <row r="461">
      <c r="B461" s="103"/>
      <c r="G461" s="104"/>
      <c r="I461" s="105"/>
    </row>
    <row r="462">
      <c r="B462" s="103"/>
      <c r="G462" s="104"/>
      <c r="I462" s="105"/>
    </row>
    <row r="463">
      <c r="B463" s="103"/>
      <c r="G463" s="104"/>
      <c r="I463" s="105"/>
    </row>
    <row r="464">
      <c r="B464" s="103"/>
      <c r="G464" s="104"/>
      <c r="I464" s="105"/>
    </row>
    <row r="465">
      <c r="B465" s="103"/>
      <c r="G465" s="104"/>
      <c r="I465" s="105"/>
    </row>
    <row r="466">
      <c r="B466" s="103"/>
      <c r="G466" s="104"/>
      <c r="I466" s="105"/>
    </row>
    <row r="467">
      <c r="B467" s="103"/>
      <c r="G467" s="104"/>
      <c r="I467" s="105"/>
    </row>
    <row r="468">
      <c r="B468" s="103"/>
      <c r="G468" s="104"/>
      <c r="I468" s="105"/>
    </row>
    <row r="469">
      <c r="B469" s="103"/>
      <c r="G469" s="104"/>
      <c r="I469" s="105"/>
    </row>
    <row r="470">
      <c r="B470" s="103"/>
      <c r="G470" s="104"/>
      <c r="I470" s="105"/>
    </row>
    <row r="471">
      <c r="B471" s="103"/>
      <c r="G471" s="104"/>
      <c r="I471" s="105"/>
    </row>
    <row r="472">
      <c r="B472" s="103"/>
      <c r="G472" s="104"/>
      <c r="I472" s="105"/>
    </row>
    <row r="473">
      <c r="B473" s="103"/>
      <c r="G473" s="104"/>
      <c r="I473" s="105"/>
    </row>
    <row r="474">
      <c r="B474" s="103"/>
      <c r="G474" s="104"/>
      <c r="I474" s="105"/>
    </row>
    <row r="475">
      <c r="B475" s="103"/>
      <c r="G475" s="104"/>
      <c r="I475" s="105"/>
    </row>
    <row r="476">
      <c r="B476" s="103"/>
      <c r="G476" s="104"/>
      <c r="I476" s="105"/>
    </row>
    <row r="477">
      <c r="B477" s="103"/>
      <c r="G477" s="104"/>
      <c r="I477" s="105"/>
    </row>
    <row r="478">
      <c r="B478" s="103"/>
      <c r="G478" s="104"/>
      <c r="I478" s="105"/>
    </row>
    <row r="479">
      <c r="B479" s="103"/>
      <c r="G479" s="104"/>
      <c r="I479" s="105"/>
    </row>
    <row r="480">
      <c r="B480" s="103"/>
      <c r="G480" s="104"/>
      <c r="I480" s="105"/>
    </row>
    <row r="481">
      <c r="B481" s="103"/>
      <c r="G481" s="104"/>
      <c r="I481" s="105"/>
    </row>
    <row r="482">
      <c r="B482" s="103"/>
      <c r="G482" s="104"/>
      <c r="I482" s="105"/>
    </row>
    <row r="483">
      <c r="B483" s="103"/>
      <c r="G483" s="104"/>
      <c r="I483" s="105"/>
    </row>
    <row r="484">
      <c r="B484" s="103"/>
      <c r="G484" s="104"/>
      <c r="I484" s="105"/>
    </row>
    <row r="485">
      <c r="B485" s="103"/>
      <c r="G485" s="104"/>
      <c r="I485" s="105"/>
    </row>
    <row r="486">
      <c r="B486" s="103"/>
      <c r="G486" s="104"/>
      <c r="I486" s="105"/>
    </row>
    <row r="487">
      <c r="B487" s="103"/>
      <c r="G487" s="104"/>
      <c r="I487" s="105"/>
    </row>
    <row r="488">
      <c r="B488" s="103"/>
      <c r="G488" s="104"/>
      <c r="I488" s="105"/>
    </row>
    <row r="489">
      <c r="B489" s="103"/>
      <c r="G489" s="104"/>
      <c r="I489" s="105"/>
    </row>
    <row r="490">
      <c r="B490" s="103"/>
      <c r="G490" s="104"/>
      <c r="I490" s="105"/>
    </row>
    <row r="491">
      <c r="B491" s="103"/>
      <c r="G491" s="104"/>
      <c r="I491" s="105"/>
    </row>
    <row r="492">
      <c r="B492" s="103"/>
      <c r="G492" s="104"/>
      <c r="I492" s="105"/>
    </row>
    <row r="493">
      <c r="B493" s="103"/>
      <c r="G493" s="104"/>
      <c r="I493" s="105"/>
    </row>
    <row r="494">
      <c r="B494" s="103"/>
      <c r="G494" s="104"/>
      <c r="I494" s="105"/>
    </row>
    <row r="495">
      <c r="B495" s="103"/>
      <c r="G495" s="104"/>
      <c r="I495" s="105"/>
    </row>
    <row r="496">
      <c r="B496" s="103"/>
      <c r="G496" s="104"/>
      <c r="I496" s="105"/>
    </row>
    <row r="497">
      <c r="B497" s="103"/>
      <c r="G497" s="104"/>
      <c r="I497" s="105"/>
    </row>
    <row r="498">
      <c r="B498" s="103"/>
      <c r="G498" s="104"/>
      <c r="I498" s="105"/>
    </row>
    <row r="499">
      <c r="B499" s="103"/>
      <c r="G499" s="104"/>
      <c r="I499" s="105"/>
    </row>
    <row r="500">
      <c r="B500" s="103"/>
      <c r="G500" s="104"/>
      <c r="I500" s="105"/>
    </row>
    <row r="501">
      <c r="B501" s="103"/>
      <c r="G501" s="104"/>
      <c r="I501" s="105"/>
    </row>
    <row r="502">
      <c r="B502" s="103"/>
      <c r="G502" s="104"/>
      <c r="I502" s="105"/>
    </row>
    <row r="503">
      <c r="B503" s="103"/>
      <c r="G503" s="104"/>
      <c r="I503" s="105"/>
    </row>
    <row r="504">
      <c r="B504" s="103"/>
      <c r="G504" s="104"/>
      <c r="I504" s="105"/>
    </row>
    <row r="505">
      <c r="B505" s="103"/>
      <c r="G505" s="104"/>
      <c r="I505" s="105"/>
    </row>
    <row r="506">
      <c r="B506" s="103"/>
      <c r="G506" s="104"/>
      <c r="I506" s="105"/>
    </row>
    <row r="507">
      <c r="B507" s="103"/>
      <c r="G507" s="104"/>
      <c r="I507" s="105"/>
    </row>
    <row r="508">
      <c r="B508" s="103"/>
      <c r="G508" s="104"/>
      <c r="I508" s="105"/>
    </row>
    <row r="509">
      <c r="B509" s="103"/>
      <c r="G509" s="104"/>
      <c r="I509" s="105"/>
    </row>
    <row r="510">
      <c r="B510" s="103"/>
      <c r="G510" s="104"/>
      <c r="I510" s="105"/>
    </row>
    <row r="511">
      <c r="B511" s="103"/>
      <c r="G511" s="104"/>
      <c r="I511" s="105"/>
    </row>
    <row r="512">
      <c r="B512" s="103"/>
      <c r="G512" s="104"/>
      <c r="I512" s="105"/>
    </row>
    <row r="513">
      <c r="B513" s="103"/>
      <c r="G513" s="104"/>
      <c r="I513" s="105"/>
    </row>
    <row r="514">
      <c r="B514" s="103"/>
      <c r="G514" s="104"/>
      <c r="I514" s="105"/>
    </row>
    <row r="515">
      <c r="B515" s="103"/>
      <c r="G515" s="104"/>
      <c r="I515" s="105"/>
    </row>
    <row r="516">
      <c r="B516" s="103"/>
      <c r="G516" s="104"/>
      <c r="I516" s="105"/>
    </row>
    <row r="517">
      <c r="B517" s="103"/>
      <c r="G517" s="104"/>
      <c r="I517" s="105"/>
    </row>
    <row r="518">
      <c r="B518" s="103"/>
      <c r="G518" s="104"/>
      <c r="I518" s="105"/>
    </row>
    <row r="519">
      <c r="B519" s="103"/>
      <c r="G519" s="104"/>
      <c r="I519" s="105"/>
    </row>
    <row r="520">
      <c r="B520" s="103"/>
      <c r="G520" s="104"/>
      <c r="I520" s="105"/>
    </row>
    <row r="521">
      <c r="B521" s="103"/>
      <c r="G521" s="104"/>
      <c r="I521" s="105"/>
    </row>
    <row r="522">
      <c r="B522" s="103"/>
      <c r="G522" s="104"/>
      <c r="I522" s="105"/>
    </row>
    <row r="523">
      <c r="B523" s="103"/>
      <c r="G523" s="104"/>
      <c r="I523" s="105"/>
    </row>
    <row r="524">
      <c r="B524" s="103"/>
      <c r="G524" s="104"/>
      <c r="I524" s="105"/>
    </row>
    <row r="525">
      <c r="B525" s="103"/>
      <c r="G525" s="104"/>
      <c r="I525" s="105"/>
    </row>
    <row r="526">
      <c r="B526" s="103"/>
      <c r="G526" s="104"/>
      <c r="I526" s="105"/>
    </row>
    <row r="527">
      <c r="B527" s="103"/>
      <c r="G527" s="104"/>
      <c r="I527" s="105"/>
    </row>
    <row r="528">
      <c r="B528" s="103"/>
      <c r="G528" s="104"/>
      <c r="I528" s="105"/>
    </row>
    <row r="529">
      <c r="B529" s="103"/>
      <c r="G529" s="104"/>
      <c r="I529" s="105"/>
    </row>
    <row r="530">
      <c r="B530" s="103"/>
      <c r="G530" s="104"/>
      <c r="I530" s="105"/>
    </row>
    <row r="531">
      <c r="B531" s="103"/>
      <c r="G531" s="104"/>
      <c r="I531" s="105"/>
    </row>
    <row r="532">
      <c r="B532" s="103"/>
      <c r="G532" s="104"/>
      <c r="I532" s="105"/>
    </row>
    <row r="533">
      <c r="B533" s="103"/>
      <c r="G533" s="104"/>
      <c r="I533" s="105"/>
    </row>
    <row r="534">
      <c r="B534" s="103"/>
      <c r="G534" s="104"/>
      <c r="I534" s="105"/>
    </row>
    <row r="535">
      <c r="B535" s="103"/>
      <c r="G535" s="104"/>
      <c r="I535" s="105"/>
    </row>
    <row r="536">
      <c r="B536" s="103"/>
      <c r="G536" s="104"/>
      <c r="I536" s="105"/>
    </row>
    <row r="537">
      <c r="B537" s="103"/>
      <c r="G537" s="104"/>
      <c r="I537" s="105"/>
    </row>
    <row r="538">
      <c r="B538" s="103"/>
      <c r="G538" s="104"/>
      <c r="I538" s="105"/>
    </row>
    <row r="539">
      <c r="B539" s="103"/>
      <c r="G539" s="104"/>
      <c r="I539" s="105"/>
    </row>
    <row r="540">
      <c r="B540" s="103"/>
      <c r="G540" s="104"/>
      <c r="I540" s="105"/>
    </row>
    <row r="541">
      <c r="B541" s="103"/>
      <c r="G541" s="104"/>
      <c r="I541" s="105"/>
    </row>
    <row r="542">
      <c r="B542" s="103"/>
      <c r="G542" s="104"/>
      <c r="I542" s="105"/>
    </row>
    <row r="543">
      <c r="B543" s="103"/>
      <c r="G543" s="104"/>
      <c r="I543" s="105"/>
    </row>
    <row r="544">
      <c r="B544" s="103"/>
      <c r="G544" s="104"/>
      <c r="I544" s="105"/>
    </row>
    <row r="545">
      <c r="B545" s="103"/>
      <c r="G545" s="104"/>
      <c r="I545" s="105"/>
    </row>
    <row r="546">
      <c r="B546" s="103"/>
      <c r="G546" s="104"/>
      <c r="I546" s="105"/>
    </row>
    <row r="547">
      <c r="B547" s="103"/>
      <c r="G547" s="104"/>
      <c r="I547" s="105"/>
    </row>
    <row r="548">
      <c r="B548" s="103"/>
      <c r="G548" s="104"/>
      <c r="I548" s="105"/>
    </row>
    <row r="549">
      <c r="B549" s="103"/>
      <c r="G549" s="104"/>
      <c r="I549" s="105"/>
    </row>
    <row r="550">
      <c r="B550" s="103"/>
      <c r="G550" s="104"/>
      <c r="I550" s="105"/>
    </row>
    <row r="551">
      <c r="B551" s="103"/>
      <c r="G551" s="104"/>
      <c r="I551" s="105"/>
    </row>
    <row r="552">
      <c r="B552" s="103"/>
      <c r="G552" s="104"/>
      <c r="I552" s="105"/>
    </row>
    <row r="553">
      <c r="B553" s="103"/>
      <c r="G553" s="104"/>
      <c r="I553" s="105"/>
    </row>
    <row r="554">
      <c r="B554" s="103"/>
      <c r="G554" s="104"/>
      <c r="I554" s="105"/>
    </row>
    <row r="555">
      <c r="B555" s="103"/>
      <c r="G555" s="104"/>
      <c r="I555" s="105"/>
    </row>
    <row r="556">
      <c r="B556" s="103"/>
      <c r="G556" s="104"/>
      <c r="I556" s="105"/>
    </row>
    <row r="557">
      <c r="B557" s="103"/>
      <c r="G557" s="104"/>
      <c r="I557" s="105"/>
    </row>
    <row r="558">
      <c r="B558" s="103"/>
      <c r="G558" s="104"/>
      <c r="I558" s="105"/>
    </row>
    <row r="559">
      <c r="B559" s="103"/>
      <c r="G559" s="104"/>
      <c r="I559" s="105"/>
    </row>
    <row r="560">
      <c r="B560" s="103"/>
      <c r="G560" s="104"/>
      <c r="I560" s="105"/>
    </row>
    <row r="561">
      <c r="B561" s="103"/>
      <c r="G561" s="104"/>
      <c r="I561" s="105"/>
    </row>
    <row r="562">
      <c r="B562" s="103"/>
      <c r="G562" s="104"/>
      <c r="I562" s="105"/>
    </row>
    <row r="563">
      <c r="B563" s="103"/>
      <c r="G563" s="104"/>
      <c r="I563" s="105"/>
    </row>
    <row r="564">
      <c r="B564" s="103"/>
      <c r="G564" s="104"/>
      <c r="I564" s="105"/>
    </row>
    <row r="565">
      <c r="B565" s="103"/>
      <c r="G565" s="104"/>
      <c r="I565" s="105"/>
    </row>
    <row r="566">
      <c r="B566" s="103"/>
      <c r="G566" s="104"/>
      <c r="I566" s="105"/>
    </row>
    <row r="567">
      <c r="B567" s="103"/>
      <c r="G567" s="104"/>
      <c r="I567" s="105"/>
    </row>
    <row r="568">
      <c r="B568" s="103"/>
      <c r="G568" s="104"/>
      <c r="I568" s="105"/>
    </row>
    <row r="569">
      <c r="B569" s="103"/>
      <c r="G569" s="104"/>
      <c r="I569" s="105"/>
    </row>
    <row r="570">
      <c r="B570" s="103"/>
      <c r="G570" s="104"/>
      <c r="I570" s="105"/>
    </row>
    <row r="571">
      <c r="B571" s="103"/>
      <c r="G571" s="104"/>
      <c r="I571" s="105"/>
    </row>
    <row r="572">
      <c r="B572" s="103"/>
      <c r="G572" s="104"/>
      <c r="I572" s="105"/>
    </row>
    <row r="573">
      <c r="B573" s="103"/>
      <c r="G573" s="104"/>
      <c r="I573" s="105"/>
    </row>
    <row r="574">
      <c r="B574" s="103"/>
      <c r="G574" s="104"/>
      <c r="I574" s="105"/>
    </row>
    <row r="575">
      <c r="B575" s="103"/>
      <c r="G575" s="104"/>
      <c r="I575" s="105"/>
    </row>
    <row r="576">
      <c r="B576" s="103"/>
      <c r="G576" s="104"/>
      <c r="I576" s="105"/>
    </row>
    <row r="577">
      <c r="B577" s="103"/>
      <c r="G577" s="104"/>
      <c r="I577" s="105"/>
    </row>
    <row r="578">
      <c r="B578" s="103"/>
      <c r="G578" s="104"/>
      <c r="I578" s="105"/>
    </row>
    <row r="579">
      <c r="B579" s="103"/>
      <c r="G579" s="104"/>
      <c r="I579" s="105"/>
    </row>
    <row r="580">
      <c r="B580" s="103"/>
      <c r="G580" s="104"/>
      <c r="I580" s="105"/>
    </row>
    <row r="581">
      <c r="B581" s="103"/>
      <c r="G581" s="104"/>
      <c r="I581" s="105"/>
    </row>
    <row r="582">
      <c r="B582" s="103"/>
      <c r="G582" s="104"/>
      <c r="I582" s="105"/>
    </row>
    <row r="583">
      <c r="B583" s="103"/>
      <c r="G583" s="104"/>
      <c r="I583" s="105"/>
    </row>
    <row r="584">
      <c r="B584" s="103"/>
      <c r="G584" s="104"/>
      <c r="I584" s="105"/>
    </row>
    <row r="585">
      <c r="B585" s="103"/>
      <c r="G585" s="104"/>
      <c r="I585" s="105"/>
    </row>
    <row r="586">
      <c r="B586" s="103"/>
      <c r="G586" s="104"/>
      <c r="I586" s="105"/>
    </row>
    <row r="587">
      <c r="B587" s="103"/>
      <c r="G587" s="104"/>
      <c r="I587" s="105"/>
    </row>
    <row r="588">
      <c r="B588" s="103"/>
      <c r="G588" s="104"/>
      <c r="I588" s="105"/>
    </row>
    <row r="589">
      <c r="B589" s="103"/>
      <c r="G589" s="104"/>
      <c r="I589" s="105"/>
    </row>
    <row r="590">
      <c r="B590" s="103"/>
      <c r="G590" s="104"/>
      <c r="I590" s="105"/>
    </row>
    <row r="591">
      <c r="B591" s="103"/>
      <c r="G591" s="104"/>
      <c r="I591" s="105"/>
    </row>
    <row r="592">
      <c r="B592" s="103"/>
      <c r="G592" s="104"/>
      <c r="I592" s="105"/>
    </row>
    <row r="593">
      <c r="B593" s="103"/>
      <c r="G593" s="104"/>
      <c r="I593" s="105"/>
    </row>
    <row r="594">
      <c r="B594" s="103"/>
      <c r="G594" s="104"/>
      <c r="I594" s="105"/>
    </row>
    <row r="595">
      <c r="B595" s="103"/>
      <c r="G595" s="104"/>
      <c r="I595" s="105"/>
    </row>
    <row r="596">
      <c r="B596" s="103"/>
      <c r="G596" s="104"/>
      <c r="I596" s="105"/>
    </row>
    <row r="597">
      <c r="B597" s="103"/>
      <c r="G597" s="104"/>
      <c r="I597" s="105"/>
    </row>
    <row r="598">
      <c r="B598" s="103"/>
      <c r="G598" s="104"/>
      <c r="I598" s="105"/>
    </row>
    <row r="599">
      <c r="B599" s="103"/>
      <c r="G599" s="104"/>
      <c r="I599" s="105"/>
    </row>
    <row r="600">
      <c r="B600" s="103"/>
      <c r="G600" s="104"/>
      <c r="I600" s="105"/>
    </row>
    <row r="601">
      <c r="B601" s="103"/>
      <c r="G601" s="104"/>
      <c r="I601" s="105"/>
    </row>
    <row r="602">
      <c r="B602" s="103"/>
      <c r="G602" s="104"/>
      <c r="I602" s="105"/>
    </row>
    <row r="603">
      <c r="B603" s="103"/>
      <c r="G603" s="104"/>
      <c r="I603" s="105"/>
    </row>
    <row r="604">
      <c r="B604" s="103"/>
      <c r="G604" s="104"/>
      <c r="I604" s="105"/>
    </row>
    <row r="605">
      <c r="B605" s="103"/>
      <c r="G605" s="104"/>
      <c r="I605" s="105"/>
    </row>
    <row r="606">
      <c r="B606" s="103"/>
      <c r="G606" s="104"/>
      <c r="I606" s="105"/>
    </row>
    <row r="607">
      <c r="B607" s="103"/>
      <c r="G607" s="104"/>
      <c r="I607" s="105"/>
    </row>
    <row r="608">
      <c r="B608" s="103"/>
      <c r="G608" s="104"/>
      <c r="I608" s="105"/>
    </row>
    <row r="609">
      <c r="B609" s="103"/>
      <c r="G609" s="104"/>
      <c r="I609" s="105"/>
    </row>
    <row r="610">
      <c r="B610" s="103"/>
      <c r="G610" s="104"/>
      <c r="I610" s="105"/>
    </row>
    <row r="611">
      <c r="B611" s="103"/>
      <c r="G611" s="104"/>
      <c r="I611" s="105"/>
    </row>
    <row r="612">
      <c r="B612" s="103"/>
      <c r="G612" s="104"/>
      <c r="I612" s="105"/>
    </row>
    <row r="613">
      <c r="B613" s="103"/>
      <c r="G613" s="104"/>
      <c r="I613" s="105"/>
    </row>
    <row r="614">
      <c r="B614" s="103"/>
      <c r="G614" s="104"/>
      <c r="I614" s="105"/>
    </row>
    <row r="615">
      <c r="B615" s="103"/>
      <c r="G615" s="104"/>
      <c r="I615" s="105"/>
    </row>
    <row r="616">
      <c r="B616" s="103"/>
      <c r="G616" s="104"/>
      <c r="I616" s="105"/>
    </row>
    <row r="617">
      <c r="B617" s="103"/>
      <c r="G617" s="104"/>
      <c r="I617" s="105"/>
    </row>
    <row r="618">
      <c r="B618" s="103"/>
      <c r="G618" s="104"/>
      <c r="I618" s="105"/>
    </row>
    <row r="619">
      <c r="B619" s="103"/>
      <c r="G619" s="104"/>
      <c r="I619" s="105"/>
    </row>
    <row r="620">
      <c r="B620" s="103"/>
      <c r="G620" s="104"/>
      <c r="I620" s="105"/>
    </row>
    <row r="621">
      <c r="B621" s="103"/>
      <c r="G621" s="104"/>
      <c r="I621" s="105"/>
    </row>
    <row r="622">
      <c r="B622" s="103"/>
      <c r="G622" s="104"/>
      <c r="I622" s="105"/>
    </row>
    <row r="623">
      <c r="B623" s="103"/>
      <c r="G623" s="104"/>
      <c r="I623" s="105"/>
    </row>
    <row r="624">
      <c r="B624" s="103"/>
      <c r="G624" s="104"/>
      <c r="I624" s="105"/>
    </row>
    <row r="625">
      <c r="B625" s="103"/>
      <c r="G625" s="104"/>
      <c r="I625" s="105"/>
    </row>
    <row r="626">
      <c r="B626" s="103"/>
      <c r="G626" s="104"/>
      <c r="I626" s="105"/>
    </row>
    <row r="627">
      <c r="B627" s="103"/>
      <c r="G627" s="104"/>
      <c r="I627" s="105"/>
    </row>
    <row r="628">
      <c r="B628" s="103"/>
      <c r="G628" s="104"/>
      <c r="I628" s="105"/>
    </row>
    <row r="629">
      <c r="B629" s="103"/>
      <c r="G629" s="104"/>
      <c r="I629" s="105"/>
    </row>
    <row r="630">
      <c r="B630" s="103"/>
      <c r="G630" s="104"/>
      <c r="I630" s="105"/>
    </row>
    <row r="631">
      <c r="B631" s="103"/>
      <c r="G631" s="104"/>
      <c r="I631" s="105"/>
    </row>
    <row r="632">
      <c r="B632" s="103"/>
      <c r="G632" s="104"/>
      <c r="I632" s="105"/>
    </row>
    <row r="633">
      <c r="B633" s="103"/>
      <c r="G633" s="104"/>
      <c r="I633" s="105"/>
    </row>
    <row r="634">
      <c r="B634" s="103"/>
      <c r="G634" s="104"/>
      <c r="I634" s="105"/>
    </row>
    <row r="635">
      <c r="B635" s="103"/>
      <c r="G635" s="104"/>
      <c r="I635" s="105"/>
    </row>
    <row r="636">
      <c r="B636" s="103"/>
      <c r="G636" s="104"/>
      <c r="I636" s="105"/>
    </row>
    <row r="637">
      <c r="B637" s="103"/>
      <c r="G637" s="104"/>
      <c r="I637" s="105"/>
    </row>
    <row r="638">
      <c r="B638" s="103"/>
      <c r="G638" s="104"/>
      <c r="I638" s="105"/>
    </row>
    <row r="639">
      <c r="B639" s="103"/>
      <c r="G639" s="104"/>
      <c r="I639" s="105"/>
    </row>
    <row r="640">
      <c r="B640" s="103"/>
      <c r="G640" s="104"/>
      <c r="I640" s="105"/>
    </row>
    <row r="641">
      <c r="B641" s="103"/>
      <c r="G641" s="104"/>
      <c r="I641" s="105"/>
    </row>
    <row r="642">
      <c r="B642" s="103"/>
      <c r="G642" s="104"/>
      <c r="I642" s="105"/>
    </row>
    <row r="643">
      <c r="B643" s="103"/>
      <c r="G643" s="104"/>
      <c r="I643" s="105"/>
    </row>
    <row r="644">
      <c r="B644" s="103"/>
      <c r="G644" s="104"/>
      <c r="I644" s="105"/>
    </row>
    <row r="645">
      <c r="B645" s="103"/>
      <c r="G645" s="104"/>
      <c r="I645" s="105"/>
    </row>
    <row r="646">
      <c r="B646" s="103"/>
      <c r="G646" s="104"/>
      <c r="I646" s="105"/>
    </row>
    <row r="647">
      <c r="B647" s="103"/>
      <c r="G647" s="104"/>
      <c r="I647" s="105"/>
    </row>
    <row r="648">
      <c r="B648" s="103"/>
      <c r="G648" s="104"/>
      <c r="I648" s="105"/>
    </row>
    <row r="649">
      <c r="B649" s="103"/>
      <c r="G649" s="104"/>
      <c r="I649" s="105"/>
    </row>
    <row r="650">
      <c r="B650" s="103"/>
      <c r="G650" s="104"/>
      <c r="I650" s="105"/>
    </row>
    <row r="651">
      <c r="B651" s="103"/>
      <c r="G651" s="104"/>
      <c r="I651" s="105"/>
    </row>
    <row r="652">
      <c r="B652" s="103"/>
      <c r="G652" s="104"/>
      <c r="I652" s="105"/>
    </row>
    <row r="653">
      <c r="B653" s="103"/>
      <c r="G653" s="104"/>
      <c r="I653" s="105"/>
    </row>
    <row r="654">
      <c r="B654" s="103"/>
      <c r="G654" s="104"/>
      <c r="I654" s="105"/>
    </row>
    <row r="655">
      <c r="B655" s="103"/>
      <c r="G655" s="104"/>
      <c r="I655" s="105"/>
    </row>
    <row r="656">
      <c r="B656" s="103"/>
      <c r="G656" s="104"/>
      <c r="I656" s="105"/>
    </row>
    <row r="657">
      <c r="B657" s="103"/>
      <c r="G657" s="104"/>
      <c r="I657" s="105"/>
    </row>
    <row r="658">
      <c r="B658" s="103"/>
      <c r="G658" s="104"/>
      <c r="I658" s="105"/>
    </row>
    <row r="659">
      <c r="B659" s="103"/>
      <c r="G659" s="104"/>
      <c r="I659" s="105"/>
    </row>
    <row r="660">
      <c r="B660" s="103"/>
      <c r="G660" s="104"/>
      <c r="I660" s="105"/>
    </row>
    <row r="661">
      <c r="B661" s="103"/>
      <c r="G661" s="104"/>
      <c r="I661" s="105"/>
    </row>
    <row r="662">
      <c r="B662" s="103"/>
      <c r="G662" s="104"/>
      <c r="I662" s="105"/>
    </row>
    <row r="663">
      <c r="B663" s="103"/>
      <c r="G663" s="104"/>
      <c r="I663" s="105"/>
    </row>
    <row r="664">
      <c r="B664" s="103"/>
      <c r="G664" s="104"/>
      <c r="I664" s="105"/>
    </row>
    <row r="665">
      <c r="B665" s="103"/>
      <c r="G665" s="104"/>
      <c r="I665" s="105"/>
    </row>
    <row r="666">
      <c r="B666" s="103"/>
      <c r="G666" s="104"/>
      <c r="I666" s="105"/>
    </row>
    <row r="667">
      <c r="B667" s="103"/>
      <c r="G667" s="104"/>
      <c r="I667" s="105"/>
    </row>
    <row r="668">
      <c r="B668" s="103"/>
      <c r="G668" s="104"/>
      <c r="I668" s="105"/>
    </row>
    <row r="669">
      <c r="B669" s="103"/>
      <c r="G669" s="104"/>
      <c r="I669" s="105"/>
    </row>
    <row r="670">
      <c r="B670" s="103"/>
      <c r="G670" s="104"/>
      <c r="I670" s="105"/>
    </row>
    <row r="671">
      <c r="B671" s="103"/>
      <c r="G671" s="104"/>
      <c r="I671" s="105"/>
    </row>
    <row r="672">
      <c r="B672" s="103"/>
      <c r="G672" s="104"/>
      <c r="I672" s="105"/>
    </row>
    <row r="673">
      <c r="B673" s="103"/>
      <c r="G673" s="104"/>
      <c r="I673" s="105"/>
    </row>
    <row r="674">
      <c r="B674" s="103"/>
      <c r="G674" s="104"/>
      <c r="I674" s="105"/>
    </row>
    <row r="675">
      <c r="B675" s="103"/>
      <c r="G675" s="104"/>
      <c r="I675" s="105"/>
    </row>
    <row r="676">
      <c r="B676" s="103"/>
      <c r="G676" s="104"/>
      <c r="I676" s="105"/>
    </row>
    <row r="677">
      <c r="B677" s="103"/>
      <c r="G677" s="104"/>
      <c r="I677" s="105"/>
    </row>
    <row r="678">
      <c r="B678" s="103"/>
      <c r="G678" s="104"/>
      <c r="I678" s="105"/>
    </row>
    <row r="679">
      <c r="B679" s="103"/>
      <c r="G679" s="104"/>
      <c r="I679" s="105"/>
    </row>
    <row r="680">
      <c r="B680" s="103"/>
      <c r="G680" s="104"/>
      <c r="I680" s="105"/>
    </row>
    <row r="681">
      <c r="B681" s="103"/>
      <c r="G681" s="104"/>
      <c r="I681" s="105"/>
    </row>
    <row r="682">
      <c r="B682" s="103"/>
      <c r="G682" s="104"/>
      <c r="I682" s="105"/>
    </row>
    <row r="683">
      <c r="B683" s="103"/>
      <c r="G683" s="104"/>
      <c r="I683" s="105"/>
    </row>
    <row r="684">
      <c r="B684" s="103"/>
      <c r="G684" s="104"/>
      <c r="I684" s="105"/>
    </row>
    <row r="685">
      <c r="B685" s="103"/>
      <c r="G685" s="104"/>
      <c r="I685" s="105"/>
    </row>
    <row r="686">
      <c r="B686" s="103"/>
      <c r="G686" s="104"/>
      <c r="I686" s="105"/>
    </row>
    <row r="687">
      <c r="B687" s="103"/>
      <c r="G687" s="104"/>
      <c r="I687" s="105"/>
    </row>
    <row r="688">
      <c r="B688" s="103"/>
      <c r="G688" s="104"/>
      <c r="I688" s="105"/>
    </row>
    <row r="689">
      <c r="B689" s="103"/>
      <c r="G689" s="104"/>
      <c r="I689" s="105"/>
    </row>
    <row r="690">
      <c r="B690" s="103"/>
      <c r="G690" s="104"/>
      <c r="I690" s="105"/>
    </row>
    <row r="691">
      <c r="B691" s="103"/>
      <c r="G691" s="104"/>
      <c r="I691" s="105"/>
    </row>
    <row r="692">
      <c r="B692" s="103"/>
      <c r="G692" s="104"/>
      <c r="I692" s="105"/>
    </row>
    <row r="693">
      <c r="B693" s="103"/>
      <c r="G693" s="104"/>
      <c r="I693" s="105"/>
    </row>
    <row r="694">
      <c r="B694" s="103"/>
      <c r="G694" s="104"/>
      <c r="I694" s="105"/>
    </row>
    <row r="695">
      <c r="B695" s="103"/>
      <c r="G695" s="104"/>
      <c r="I695" s="105"/>
    </row>
    <row r="696">
      <c r="B696" s="103"/>
      <c r="G696" s="104"/>
      <c r="I696" s="105"/>
    </row>
    <row r="697">
      <c r="B697" s="103"/>
      <c r="G697" s="104"/>
      <c r="I697" s="105"/>
    </row>
    <row r="698">
      <c r="B698" s="103"/>
      <c r="G698" s="104"/>
      <c r="I698" s="105"/>
    </row>
    <row r="699">
      <c r="B699" s="103"/>
      <c r="G699" s="104"/>
      <c r="I699" s="105"/>
    </row>
    <row r="700">
      <c r="B700" s="103"/>
      <c r="G700" s="104"/>
      <c r="I700" s="105"/>
    </row>
    <row r="701">
      <c r="B701" s="103"/>
      <c r="G701" s="104"/>
      <c r="I701" s="105"/>
    </row>
    <row r="702">
      <c r="B702" s="103"/>
      <c r="G702" s="104"/>
      <c r="I702" s="105"/>
    </row>
    <row r="703">
      <c r="B703" s="103"/>
      <c r="G703" s="104"/>
      <c r="I703" s="105"/>
    </row>
    <row r="704">
      <c r="B704" s="103"/>
      <c r="G704" s="104"/>
      <c r="I704" s="105"/>
    </row>
    <row r="705">
      <c r="B705" s="103"/>
      <c r="G705" s="104"/>
      <c r="I705" s="105"/>
    </row>
    <row r="706">
      <c r="B706" s="103"/>
      <c r="G706" s="104"/>
      <c r="I706" s="105"/>
    </row>
    <row r="707">
      <c r="B707" s="103"/>
      <c r="G707" s="104"/>
      <c r="I707" s="105"/>
    </row>
    <row r="708">
      <c r="B708" s="103"/>
      <c r="G708" s="104"/>
      <c r="I708" s="105"/>
    </row>
    <row r="709">
      <c r="B709" s="103"/>
      <c r="G709" s="104"/>
      <c r="I709" s="105"/>
    </row>
    <row r="710">
      <c r="B710" s="103"/>
      <c r="G710" s="104"/>
      <c r="I710" s="105"/>
    </row>
    <row r="711">
      <c r="B711" s="103"/>
      <c r="G711" s="104"/>
      <c r="I711" s="105"/>
    </row>
    <row r="712">
      <c r="B712" s="103"/>
      <c r="G712" s="104"/>
      <c r="I712" s="105"/>
    </row>
    <row r="713">
      <c r="B713" s="103"/>
      <c r="G713" s="104"/>
      <c r="I713" s="105"/>
    </row>
    <row r="714">
      <c r="B714" s="103"/>
      <c r="G714" s="104"/>
      <c r="I714" s="105"/>
    </row>
    <row r="715">
      <c r="B715" s="103"/>
      <c r="G715" s="104"/>
      <c r="I715" s="105"/>
    </row>
    <row r="716">
      <c r="B716" s="103"/>
      <c r="G716" s="104"/>
      <c r="I716" s="105"/>
    </row>
    <row r="717">
      <c r="B717" s="103"/>
      <c r="G717" s="104"/>
      <c r="I717" s="105"/>
    </row>
    <row r="718">
      <c r="B718" s="103"/>
      <c r="G718" s="104"/>
      <c r="I718" s="105"/>
    </row>
    <row r="719">
      <c r="B719" s="103"/>
      <c r="G719" s="104"/>
      <c r="I719" s="105"/>
    </row>
    <row r="720">
      <c r="B720" s="103"/>
      <c r="G720" s="104"/>
      <c r="I720" s="105"/>
    </row>
    <row r="721">
      <c r="B721" s="103"/>
      <c r="G721" s="104"/>
      <c r="I721" s="105"/>
    </row>
    <row r="722">
      <c r="B722" s="103"/>
      <c r="G722" s="104"/>
      <c r="I722" s="105"/>
    </row>
    <row r="723">
      <c r="B723" s="103"/>
      <c r="G723" s="104"/>
      <c r="I723" s="105"/>
    </row>
    <row r="724">
      <c r="B724" s="103"/>
      <c r="G724" s="104"/>
      <c r="I724" s="105"/>
    </row>
    <row r="725">
      <c r="B725" s="103"/>
      <c r="G725" s="104"/>
      <c r="I725" s="105"/>
    </row>
    <row r="726">
      <c r="B726" s="103"/>
      <c r="G726" s="104"/>
      <c r="I726" s="105"/>
    </row>
    <row r="727">
      <c r="B727" s="103"/>
      <c r="G727" s="104"/>
      <c r="I727" s="105"/>
    </row>
    <row r="728">
      <c r="B728" s="103"/>
      <c r="G728" s="104"/>
      <c r="I728" s="105"/>
    </row>
    <row r="729">
      <c r="B729" s="103"/>
      <c r="G729" s="104"/>
      <c r="I729" s="105"/>
    </row>
    <row r="730">
      <c r="B730" s="103"/>
      <c r="G730" s="104"/>
      <c r="I730" s="105"/>
    </row>
    <row r="731">
      <c r="B731" s="103"/>
      <c r="G731" s="104"/>
      <c r="I731" s="105"/>
    </row>
    <row r="732">
      <c r="B732" s="103"/>
      <c r="G732" s="104"/>
      <c r="I732" s="105"/>
    </row>
    <row r="733">
      <c r="B733" s="103"/>
      <c r="G733" s="104"/>
      <c r="I733" s="105"/>
    </row>
    <row r="734">
      <c r="B734" s="103"/>
      <c r="G734" s="104"/>
      <c r="I734" s="105"/>
    </row>
    <row r="735">
      <c r="B735" s="103"/>
      <c r="G735" s="104"/>
      <c r="I735" s="105"/>
    </row>
    <row r="736">
      <c r="B736" s="103"/>
      <c r="G736" s="104"/>
      <c r="I736" s="105"/>
    </row>
    <row r="737">
      <c r="B737" s="103"/>
      <c r="G737" s="104"/>
      <c r="I737" s="105"/>
    </row>
    <row r="738">
      <c r="B738" s="103"/>
      <c r="G738" s="104"/>
      <c r="I738" s="105"/>
    </row>
    <row r="739">
      <c r="B739" s="103"/>
      <c r="G739" s="104"/>
      <c r="I739" s="105"/>
    </row>
    <row r="740">
      <c r="B740" s="103"/>
      <c r="G740" s="104"/>
      <c r="I740" s="105"/>
    </row>
    <row r="741">
      <c r="B741" s="103"/>
      <c r="G741" s="104"/>
      <c r="I741" s="105"/>
    </row>
    <row r="742">
      <c r="B742" s="103"/>
      <c r="G742" s="104"/>
      <c r="I742" s="105"/>
    </row>
    <row r="743">
      <c r="B743" s="103"/>
      <c r="G743" s="104"/>
      <c r="I743" s="105"/>
    </row>
    <row r="744">
      <c r="B744" s="103"/>
      <c r="G744" s="104"/>
      <c r="I744" s="105"/>
    </row>
    <row r="745">
      <c r="B745" s="103"/>
      <c r="G745" s="104"/>
      <c r="I745" s="105"/>
    </row>
    <row r="746">
      <c r="B746" s="103"/>
      <c r="G746" s="104"/>
      <c r="I746" s="105"/>
    </row>
    <row r="747">
      <c r="B747" s="103"/>
      <c r="G747" s="104"/>
      <c r="I747" s="105"/>
    </row>
    <row r="748">
      <c r="B748" s="103"/>
      <c r="G748" s="104"/>
      <c r="I748" s="105"/>
    </row>
    <row r="749">
      <c r="B749" s="103"/>
      <c r="G749" s="104"/>
      <c r="I749" s="105"/>
    </row>
    <row r="750">
      <c r="B750" s="103"/>
      <c r="G750" s="104"/>
      <c r="I750" s="105"/>
    </row>
    <row r="751">
      <c r="B751" s="103"/>
      <c r="G751" s="104"/>
      <c r="I751" s="105"/>
    </row>
    <row r="752">
      <c r="B752" s="103"/>
      <c r="G752" s="104"/>
      <c r="I752" s="105"/>
    </row>
    <row r="753">
      <c r="B753" s="103"/>
      <c r="G753" s="104"/>
      <c r="I753" s="105"/>
    </row>
    <row r="754">
      <c r="B754" s="103"/>
      <c r="G754" s="104"/>
      <c r="I754" s="105"/>
    </row>
    <row r="755">
      <c r="B755" s="103"/>
      <c r="G755" s="104"/>
      <c r="I755" s="105"/>
    </row>
    <row r="756">
      <c r="B756" s="103"/>
      <c r="G756" s="104"/>
      <c r="I756" s="105"/>
    </row>
    <row r="757">
      <c r="B757" s="103"/>
      <c r="G757" s="104"/>
      <c r="I757" s="105"/>
    </row>
    <row r="758">
      <c r="B758" s="103"/>
      <c r="G758" s="104"/>
      <c r="I758" s="105"/>
    </row>
    <row r="759">
      <c r="B759" s="103"/>
      <c r="G759" s="104"/>
      <c r="I759" s="105"/>
    </row>
    <row r="760">
      <c r="B760" s="103"/>
      <c r="G760" s="104"/>
      <c r="I760" s="105"/>
    </row>
    <row r="761">
      <c r="B761" s="103"/>
      <c r="G761" s="104"/>
      <c r="I761" s="105"/>
    </row>
    <row r="762">
      <c r="B762" s="103"/>
      <c r="G762" s="104"/>
      <c r="I762" s="105"/>
    </row>
    <row r="763">
      <c r="B763" s="103"/>
      <c r="G763" s="104"/>
      <c r="I763" s="105"/>
    </row>
    <row r="764">
      <c r="B764" s="103"/>
      <c r="G764" s="104"/>
      <c r="I764" s="105"/>
    </row>
    <row r="765">
      <c r="B765" s="103"/>
      <c r="G765" s="104"/>
      <c r="I765" s="105"/>
    </row>
    <row r="766">
      <c r="B766" s="103"/>
      <c r="G766" s="104"/>
      <c r="I766" s="105"/>
    </row>
    <row r="767">
      <c r="B767" s="103"/>
      <c r="G767" s="104"/>
      <c r="I767" s="105"/>
    </row>
    <row r="768">
      <c r="B768" s="103"/>
      <c r="G768" s="104"/>
      <c r="I768" s="105"/>
    </row>
    <row r="769">
      <c r="B769" s="103"/>
      <c r="G769" s="104"/>
      <c r="I769" s="105"/>
    </row>
    <row r="770">
      <c r="B770" s="103"/>
      <c r="G770" s="104"/>
      <c r="I770" s="105"/>
    </row>
    <row r="771">
      <c r="B771" s="103"/>
      <c r="G771" s="104"/>
      <c r="I771" s="105"/>
    </row>
    <row r="772">
      <c r="B772" s="103"/>
      <c r="G772" s="104"/>
      <c r="I772" s="105"/>
    </row>
    <row r="773">
      <c r="B773" s="103"/>
      <c r="G773" s="104"/>
      <c r="I773" s="105"/>
    </row>
    <row r="774">
      <c r="B774" s="103"/>
      <c r="G774" s="104"/>
      <c r="I774" s="105"/>
    </row>
    <row r="775">
      <c r="B775" s="103"/>
      <c r="G775" s="104"/>
      <c r="I775" s="105"/>
    </row>
    <row r="776">
      <c r="B776" s="103"/>
      <c r="G776" s="104"/>
      <c r="I776" s="105"/>
    </row>
    <row r="777">
      <c r="B777" s="103"/>
      <c r="G777" s="104"/>
      <c r="I777" s="105"/>
    </row>
    <row r="778">
      <c r="B778" s="103"/>
      <c r="G778" s="104"/>
      <c r="I778" s="105"/>
    </row>
    <row r="779">
      <c r="B779" s="103"/>
      <c r="G779" s="104"/>
      <c r="I779" s="105"/>
    </row>
    <row r="780">
      <c r="B780" s="103"/>
      <c r="G780" s="104"/>
      <c r="I780" s="105"/>
    </row>
    <row r="781">
      <c r="B781" s="103"/>
      <c r="G781" s="104"/>
      <c r="I781" s="105"/>
    </row>
    <row r="782">
      <c r="B782" s="103"/>
      <c r="G782" s="104"/>
      <c r="I782" s="105"/>
    </row>
    <row r="783">
      <c r="B783" s="103"/>
      <c r="G783" s="104"/>
      <c r="I783" s="105"/>
    </row>
    <row r="784">
      <c r="B784" s="103"/>
      <c r="G784" s="104"/>
      <c r="I784" s="105"/>
    </row>
    <row r="785">
      <c r="B785" s="103"/>
      <c r="G785" s="104"/>
      <c r="I785" s="105"/>
    </row>
    <row r="786">
      <c r="B786" s="103"/>
      <c r="G786" s="104"/>
      <c r="I786" s="105"/>
    </row>
    <row r="787">
      <c r="B787" s="103"/>
      <c r="G787" s="104"/>
      <c r="I787" s="105"/>
    </row>
    <row r="788">
      <c r="B788" s="103"/>
      <c r="G788" s="104"/>
      <c r="I788" s="105"/>
    </row>
    <row r="789">
      <c r="B789" s="103"/>
      <c r="G789" s="104"/>
      <c r="I789" s="105"/>
    </row>
    <row r="790">
      <c r="B790" s="103"/>
      <c r="G790" s="104"/>
      <c r="I790" s="105"/>
    </row>
    <row r="791">
      <c r="B791" s="103"/>
      <c r="G791" s="104"/>
      <c r="I791" s="105"/>
    </row>
    <row r="792">
      <c r="B792" s="103"/>
      <c r="G792" s="104"/>
      <c r="I792" s="105"/>
    </row>
    <row r="793">
      <c r="B793" s="103"/>
      <c r="G793" s="104"/>
      <c r="I793" s="105"/>
    </row>
    <row r="794">
      <c r="B794" s="103"/>
      <c r="G794" s="104"/>
      <c r="I794" s="105"/>
    </row>
    <row r="795">
      <c r="B795" s="103"/>
      <c r="G795" s="104"/>
      <c r="I795" s="105"/>
    </row>
    <row r="796">
      <c r="B796" s="103"/>
      <c r="G796" s="104"/>
      <c r="I796" s="105"/>
    </row>
    <row r="797">
      <c r="B797" s="103"/>
      <c r="G797" s="104"/>
      <c r="I797" s="105"/>
    </row>
    <row r="798">
      <c r="B798" s="103"/>
      <c r="G798" s="104"/>
      <c r="I798" s="105"/>
    </row>
    <row r="799">
      <c r="B799" s="103"/>
      <c r="G799" s="104"/>
      <c r="I799" s="105"/>
    </row>
    <row r="800">
      <c r="B800" s="103"/>
      <c r="G800" s="104"/>
      <c r="I800" s="105"/>
    </row>
    <row r="801">
      <c r="B801" s="103"/>
      <c r="G801" s="104"/>
      <c r="I801" s="105"/>
    </row>
    <row r="802">
      <c r="B802" s="103"/>
      <c r="G802" s="104"/>
      <c r="I802" s="105"/>
    </row>
    <row r="803">
      <c r="B803" s="103"/>
      <c r="G803" s="104"/>
      <c r="I803" s="105"/>
    </row>
    <row r="804">
      <c r="B804" s="103"/>
      <c r="G804" s="104"/>
      <c r="I804" s="105"/>
    </row>
    <row r="805">
      <c r="B805" s="103"/>
      <c r="G805" s="104"/>
      <c r="I805" s="105"/>
    </row>
    <row r="806">
      <c r="B806" s="103"/>
      <c r="G806" s="104"/>
      <c r="I806" s="105"/>
    </row>
    <row r="807">
      <c r="B807" s="103"/>
      <c r="G807" s="104"/>
      <c r="I807" s="105"/>
    </row>
    <row r="808">
      <c r="B808" s="103"/>
      <c r="G808" s="104"/>
      <c r="I808" s="105"/>
    </row>
    <row r="809">
      <c r="B809" s="103"/>
      <c r="G809" s="104"/>
      <c r="I809" s="105"/>
    </row>
    <row r="810">
      <c r="B810" s="103"/>
      <c r="G810" s="104"/>
      <c r="I810" s="105"/>
    </row>
    <row r="811">
      <c r="B811" s="103"/>
      <c r="G811" s="104"/>
      <c r="I811" s="105"/>
    </row>
    <row r="812">
      <c r="B812" s="103"/>
      <c r="G812" s="104"/>
      <c r="I812" s="105"/>
    </row>
    <row r="813">
      <c r="B813" s="103"/>
      <c r="G813" s="104"/>
      <c r="I813" s="105"/>
    </row>
    <row r="814">
      <c r="B814" s="103"/>
      <c r="G814" s="104"/>
      <c r="I814" s="105"/>
    </row>
    <row r="815">
      <c r="B815" s="103"/>
      <c r="G815" s="104"/>
      <c r="I815" s="105"/>
    </row>
    <row r="816">
      <c r="B816" s="103"/>
      <c r="G816" s="104"/>
      <c r="I816" s="105"/>
    </row>
    <row r="817">
      <c r="B817" s="103"/>
      <c r="G817" s="104"/>
      <c r="I817" s="105"/>
    </row>
    <row r="818">
      <c r="B818" s="103"/>
      <c r="G818" s="104"/>
      <c r="I818" s="105"/>
    </row>
    <row r="819">
      <c r="B819" s="103"/>
      <c r="G819" s="104"/>
      <c r="I819" s="105"/>
    </row>
    <row r="820">
      <c r="B820" s="103"/>
      <c r="G820" s="104"/>
      <c r="I820" s="105"/>
    </row>
    <row r="821">
      <c r="B821" s="103"/>
      <c r="G821" s="104"/>
      <c r="I821" s="105"/>
    </row>
    <row r="822">
      <c r="B822" s="103"/>
      <c r="G822" s="104"/>
      <c r="I822" s="105"/>
    </row>
    <row r="823">
      <c r="B823" s="103"/>
      <c r="G823" s="104"/>
      <c r="I823" s="105"/>
    </row>
    <row r="824">
      <c r="B824" s="103"/>
      <c r="G824" s="104"/>
      <c r="I824" s="105"/>
    </row>
    <row r="825">
      <c r="B825" s="103"/>
      <c r="G825" s="104"/>
      <c r="I825" s="105"/>
    </row>
    <row r="826">
      <c r="B826" s="103"/>
      <c r="G826" s="104"/>
      <c r="I826" s="105"/>
    </row>
    <row r="827">
      <c r="B827" s="103"/>
      <c r="G827" s="104"/>
      <c r="I827" s="105"/>
    </row>
    <row r="828">
      <c r="B828" s="103"/>
      <c r="G828" s="104"/>
      <c r="I828" s="105"/>
    </row>
    <row r="829">
      <c r="B829" s="103"/>
      <c r="G829" s="104"/>
      <c r="I829" s="105"/>
    </row>
    <row r="830">
      <c r="B830" s="103"/>
      <c r="G830" s="104"/>
      <c r="I830" s="105"/>
    </row>
    <row r="831">
      <c r="B831" s="103"/>
      <c r="G831" s="104"/>
      <c r="I831" s="105"/>
    </row>
    <row r="832">
      <c r="B832" s="103"/>
      <c r="G832" s="104"/>
      <c r="I832" s="105"/>
    </row>
    <row r="833">
      <c r="B833" s="103"/>
      <c r="G833" s="104"/>
      <c r="I833" s="105"/>
    </row>
    <row r="834">
      <c r="B834" s="103"/>
      <c r="G834" s="104"/>
      <c r="I834" s="105"/>
    </row>
    <row r="835">
      <c r="B835" s="103"/>
      <c r="G835" s="104"/>
      <c r="I835" s="105"/>
    </row>
    <row r="836">
      <c r="B836" s="103"/>
      <c r="G836" s="104"/>
      <c r="I836" s="105"/>
    </row>
    <row r="837">
      <c r="B837" s="103"/>
      <c r="G837" s="104"/>
      <c r="I837" s="105"/>
    </row>
    <row r="838">
      <c r="B838" s="103"/>
      <c r="G838" s="104"/>
      <c r="I838" s="105"/>
    </row>
    <row r="839">
      <c r="B839" s="103"/>
      <c r="G839" s="104"/>
      <c r="I839" s="105"/>
    </row>
    <row r="840">
      <c r="B840" s="103"/>
      <c r="G840" s="104"/>
      <c r="I840" s="105"/>
    </row>
    <row r="841">
      <c r="B841" s="103"/>
      <c r="G841" s="104"/>
      <c r="I841" s="105"/>
    </row>
    <row r="842">
      <c r="B842" s="103"/>
      <c r="G842" s="104"/>
      <c r="I842" s="105"/>
    </row>
    <row r="843">
      <c r="B843" s="103"/>
      <c r="G843" s="104"/>
      <c r="I843" s="105"/>
    </row>
    <row r="844">
      <c r="B844" s="103"/>
      <c r="G844" s="104"/>
      <c r="I844" s="105"/>
    </row>
    <row r="845">
      <c r="B845" s="103"/>
      <c r="G845" s="104"/>
      <c r="I845" s="105"/>
    </row>
    <row r="846">
      <c r="B846" s="103"/>
      <c r="G846" s="104"/>
      <c r="I846" s="105"/>
    </row>
    <row r="847">
      <c r="B847" s="103"/>
      <c r="G847" s="104"/>
      <c r="I847" s="105"/>
    </row>
    <row r="848">
      <c r="B848" s="103"/>
      <c r="G848" s="104"/>
      <c r="I848" s="105"/>
    </row>
    <row r="849">
      <c r="B849" s="103"/>
      <c r="G849" s="104"/>
      <c r="I849" s="105"/>
    </row>
    <row r="850">
      <c r="B850" s="103"/>
      <c r="G850" s="104"/>
      <c r="I850" s="105"/>
    </row>
    <row r="851">
      <c r="B851" s="103"/>
      <c r="G851" s="104"/>
      <c r="I851" s="105"/>
    </row>
    <row r="852">
      <c r="B852" s="103"/>
      <c r="G852" s="104"/>
      <c r="I852" s="105"/>
    </row>
    <row r="853">
      <c r="B853" s="103"/>
      <c r="G853" s="104"/>
      <c r="I853" s="105"/>
    </row>
    <row r="854">
      <c r="B854" s="103"/>
      <c r="G854" s="104"/>
      <c r="I854" s="105"/>
    </row>
    <row r="855">
      <c r="B855" s="103"/>
      <c r="G855" s="104"/>
      <c r="I855" s="105"/>
    </row>
    <row r="856">
      <c r="B856" s="103"/>
      <c r="G856" s="104"/>
      <c r="I856" s="105"/>
    </row>
    <row r="857">
      <c r="B857" s="103"/>
      <c r="G857" s="104"/>
      <c r="I857" s="105"/>
    </row>
    <row r="858">
      <c r="B858" s="103"/>
      <c r="G858" s="104"/>
      <c r="I858" s="105"/>
    </row>
    <row r="859">
      <c r="B859" s="103"/>
      <c r="G859" s="104"/>
      <c r="I859" s="105"/>
    </row>
    <row r="860">
      <c r="B860" s="103"/>
      <c r="G860" s="104"/>
      <c r="I860" s="105"/>
    </row>
    <row r="861">
      <c r="B861" s="103"/>
      <c r="G861" s="104"/>
      <c r="I861" s="105"/>
    </row>
    <row r="862">
      <c r="B862" s="103"/>
      <c r="G862" s="104"/>
      <c r="I862" s="105"/>
    </row>
    <row r="863">
      <c r="B863" s="103"/>
      <c r="G863" s="104"/>
      <c r="I863" s="105"/>
    </row>
    <row r="864">
      <c r="B864" s="103"/>
      <c r="G864" s="104"/>
      <c r="I864" s="105"/>
    </row>
    <row r="865">
      <c r="B865" s="103"/>
      <c r="G865" s="104"/>
      <c r="I865" s="105"/>
    </row>
    <row r="866">
      <c r="B866" s="103"/>
      <c r="G866" s="104"/>
      <c r="I866" s="105"/>
    </row>
    <row r="867">
      <c r="B867" s="103"/>
      <c r="G867" s="104"/>
      <c r="I867" s="105"/>
    </row>
    <row r="868">
      <c r="B868" s="103"/>
      <c r="G868" s="104"/>
      <c r="I868" s="105"/>
    </row>
    <row r="869">
      <c r="B869" s="103"/>
      <c r="G869" s="104"/>
      <c r="I869" s="105"/>
    </row>
    <row r="870">
      <c r="B870" s="103"/>
      <c r="G870" s="104"/>
      <c r="I870" s="105"/>
    </row>
    <row r="871">
      <c r="B871" s="103"/>
      <c r="G871" s="104"/>
      <c r="I871" s="105"/>
    </row>
    <row r="872">
      <c r="B872" s="103"/>
      <c r="G872" s="104"/>
      <c r="I872" s="105"/>
    </row>
    <row r="873">
      <c r="B873" s="103"/>
      <c r="G873" s="104"/>
      <c r="I873" s="105"/>
    </row>
    <row r="874">
      <c r="B874" s="103"/>
      <c r="G874" s="104"/>
      <c r="I874" s="105"/>
    </row>
    <row r="875">
      <c r="B875" s="103"/>
      <c r="G875" s="104"/>
      <c r="I875" s="105"/>
    </row>
    <row r="876">
      <c r="B876" s="103"/>
      <c r="G876" s="104"/>
      <c r="I876" s="105"/>
    </row>
    <row r="877">
      <c r="B877" s="103"/>
      <c r="G877" s="104"/>
      <c r="I877" s="105"/>
    </row>
    <row r="878">
      <c r="B878" s="103"/>
      <c r="G878" s="104"/>
      <c r="I878" s="105"/>
    </row>
    <row r="879">
      <c r="B879" s="103"/>
      <c r="G879" s="104"/>
      <c r="I879" s="105"/>
    </row>
    <row r="880">
      <c r="B880" s="103"/>
      <c r="G880" s="104"/>
      <c r="I880" s="105"/>
    </row>
    <row r="881">
      <c r="B881" s="103"/>
      <c r="G881" s="104"/>
      <c r="I881" s="105"/>
    </row>
    <row r="882">
      <c r="B882" s="103"/>
      <c r="G882" s="104"/>
      <c r="I882" s="105"/>
    </row>
    <row r="883">
      <c r="B883" s="103"/>
      <c r="G883" s="104"/>
      <c r="I883" s="105"/>
    </row>
    <row r="884">
      <c r="B884" s="103"/>
      <c r="G884" s="104"/>
      <c r="I884" s="105"/>
    </row>
    <row r="885">
      <c r="B885" s="103"/>
      <c r="G885" s="104"/>
      <c r="I885" s="105"/>
    </row>
    <row r="886">
      <c r="B886" s="103"/>
      <c r="G886" s="104"/>
      <c r="I886" s="105"/>
    </row>
    <row r="887">
      <c r="B887" s="103"/>
      <c r="G887" s="104"/>
      <c r="I887" s="105"/>
    </row>
    <row r="888">
      <c r="B888" s="103"/>
      <c r="G888" s="104"/>
      <c r="I888" s="105"/>
    </row>
    <row r="889">
      <c r="B889" s="103"/>
      <c r="G889" s="104"/>
      <c r="I889" s="105"/>
    </row>
    <row r="890">
      <c r="B890" s="103"/>
      <c r="G890" s="104"/>
      <c r="I890" s="105"/>
    </row>
    <row r="891">
      <c r="B891" s="103"/>
      <c r="G891" s="104"/>
      <c r="I891" s="105"/>
    </row>
    <row r="892">
      <c r="B892" s="103"/>
      <c r="G892" s="104"/>
      <c r="I892" s="105"/>
    </row>
    <row r="893">
      <c r="B893" s="103"/>
      <c r="G893" s="104"/>
      <c r="I893" s="105"/>
    </row>
    <row r="894">
      <c r="B894" s="103"/>
      <c r="G894" s="104"/>
      <c r="I894" s="105"/>
    </row>
    <row r="895">
      <c r="B895" s="103"/>
      <c r="G895" s="104"/>
      <c r="I895" s="105"/>
    </row>
    <row r="896">
      <c r="B896" s="103"/>
      <c r="G896" s="104"/>
      <c r="I896" s="105"/>
    </row>
    <row r="897">
      <c r="B897" s="103"/>
      <c r="G897" s="104"/>
      <c r="I897" s="105"/>
    </row>
    <row r="898">
      <c r="B898" s="103"/>
      <c r="G898" s="104"/>
      <c r="I898" s="105"/>
    </row>
    <row r="899">
      <c r="B899" s="103"/>
      <c r="G899" s="104"/>
      <c r="I899" s="105"/>
    </row>
    <row r="900">
      <c r="B900" s="103"/>
      <c r="G900" s="104"/>
      <c r="I900" s="105"/>
    </row>
    <row r="901">
      <c r="B901" s="103"/>
      <c r="G901" s="104"/>
      <c r="I901" s="105"/>
    </row>
    <row r="902">
      <c r="B902" s="103"/>
      <c r="G902" s="104"/>
      <c r="I902" s="105"/>
    </row>
    <row r="903">
      <c r="B903" s="103"/>
      <c r="G903" s="104"/>
      <c r="I903" s="105"/>
    </row>
    <row r="904">
      <c r="B904" s="103"/>
      <c r="G904" s="104"/>
      <c r="I904" s="105"/>
    </row>
    <row r="905">
      <c r="B905" s="103"/>
      <c r="G905" s="104"/>
      <c r="I905" s="105"/>
    </row>
    <row r="906">
      <c r="B906" s="103"/>
      <c r="G906" s="104"/>
      <c r="I906" s="105"/>
    </row>
    <row r="907">
      <c r="B907" s="103"/>
      <c r="G907" s="104"/>
      <c r="I907" s="105"/>
    </row>
    <row r="908">
      <c r="B908" s="103"/>
      <c r="G908" s="104"/>
      <c r="I908" s="105"/>
    </row>
    <row r="909">
      <c r="B909" s="103"/>
      <c r="G909" s="104"/>
      <c r="I909" s="105"/>
    </row>
    <row r="910">
      <c r="B910" s="103"/>
      <c r="G910" s="104"/>
      <c r="I910" s="105"/>
    </row>
    <row r="911">
      <c r="B911" s="103"/>
      <c r="G911" s="104"/>
      <c r="I911" s="105"/>
    </row>
    <row r="912">
      <c r="B912" s="103"/>
      <c r="G912" s="104"/>
      <c r="I912" s="105"/>
    </row>
    <row r="913">
      <c r="B913" s="103"/>
      <c r="G913" s="104"/>
      <c r="I913" s="105"/>
    </row>
    <row r="914">
      <c r="B914" s="103"/>
      <c r="G914" s="104"/>
      <c r="I914" s="105"/>
    </row>
    <row r="915">
      <c r="B915" s="103"/>
      <c r="G915" s="104"/>
      <c r="I915" s="105"/>
    </row>
    <row r="916">
      <c r="B916" s="103"/>
      <c r="G916" s="104"/>
      <c r="I916" s="105"/>
    </row>
    <row r="917">
      <c r="B917" s="103"/>
      <c r="G917" s="104"/>
      <c r="I917" s="105"/>
    </row>
    <row r="918">
      <c r="B918" s="103"/>
      <c r="G918" s="104"/>
      <c r="I918" s="105"/>
    </row>
    <row r="919">
      <c r="B919" s="103"/>
      <c r="G919" s="104"/>
      <c r="I919" s="105"/>
    </row>
    <row r="920">
      <c r="B920" s="103"/>
      <c r="G920" s="104"/>
      <c r="I920" s="105"/>
    </row>
    <row r="921">
      <c r="B921" s="103"/>
      <c r="G921" s="104"/>
      <c r="I921" s="105"/>
    </row>
    <row r="922">
      <c r="B922" s="103"/>
      <c r="G922" s="104"/>
      <c r="I922" s="105"/>
    </row>
    <row r="923">
      <c r="B923" s="103"/>
      <c r="G923" s="104"/>
      <c r="I923" s="105"/>
    </row>
    <row r="924">
      <c r="B924" s="103"/>
      <c r="G924" s="104"/>
      <c r="I924" s="105"/>
    </row>
    <row r="925">
      <c r="B925" s="103"/>
      <c r="G925" s="104"/>
      <c r="I925" s="105"/>
    </row>
    <row r="926">
      <c r="B926" s="103"/>
      <c r="G926" s="104"/>
      <c r="I926" s="105"/>
    </row>
    <row r="927">
      <c r="B927" s="103"/>
      <c r="G927" s="104"/>
      <c r="I927" s="105"/>
    </row>
    <row r="928">
      <c r="B928" s="103"/>
      <c r="G928" s="104"/>
      <c r="I928" s="105"/>
    </row>
    <row r="929">
      <c r="B929" s="103"/>
      <c r="G929" s="104"/>
      <c r="I929" s="105"/>
    </row>
    <row r="930">
      <c r="B930" s="103"/>
      <c r="G930" s="104"/>
      <c r="I930" s="105"/>
    </row>
    <row r="931">
      <c r="B931" s="103"/>
      <c r="G931" s="104"/>
      <c r="I931" s="105"/>
    </row>
    <row r="932">
      <c r="B932" s="103"/>
      <c r="G932" s="104"/>
      <c r="I932" s="105"/>
    </row>
    <row r="933">
      <c r="B933" s="103"/>
      <c r="G933" s="104"/>
      <c r="I933" s="105"/>
    </row>
    <row r="934">
      <c r="B934" s="103"/>
      <c r="G934" s="104"/>
      <c r="I934" s="105"/>
    </row>
    <row r="935">
      <c r="B935" s="103"/>
      <c r="G935" s="104"/>
      <c r="I935" s="105"/>
    </row>
    <row r="936">
      <c r="B936" s="103"/>
      <c r="G936" s="104"/>
      <c r="I936" s="105"/>
    </row>
    <row r="937">
      <c r="B937" s="103"/>
      <c r="G937" s="104"/>
      <c r="I937" s="105"/>
    </row>
    <row r="938">
      <c r="B938" s="103"/>
      <c r="G938" s="104"/>
      <c r="I938" s="105"/>
    </row>
    <row r="939">
      <c r="B939" s="103"/>
      <c r="G939" s="104"/>
      <c r="I939" s="105"/>
    </row>
    <row r="940">
      <c r="B940" s="103"/>
      <c r="G940" s="104"/>
      <c r="I940" s="105"/>
    </row>
    <row r="941">
      <c r="B941" s="103"/>
      <c r="G941" s="104"/>
      <c r="I941" s="105"/>
    </row>
    <row r="942">
      <c r="B942" s="103"/>
      <c r="G942" s="104"/>
      <c r="I942" s="105"/>
    </row>
    <row r="943">
      <c r="B943" s="103"/>
      <c r="G943" s="104"/>
      <c r="I943" s="105"/>
    </row>
    <row r="944">
      <c r="B944" s="103"/>
      <c r="G944" s="104"/>
      <c r="I944" s="105"/>
    </row>
    <row r="945">
      <c r="B945" s="103"/>
      <c r="G945" s="104"/>
      <c r="I945" s="105"/>
    </row>
    <row r="946">
      <c r="B946" s="103"/>
      <c r="G946" s="104"/>
      <c r="I946" s="105"/>
    </row>
    <row r="947">
      <c r="B947" s="103"/>
      <c r="G947" s="104"/>
      <c r="I947" s="105"/>
    </row>
    <row r="948">
      <c r="B948" s="103"/>
      <c r="G948" s="104"/>
      <c r="I948" s="105"/>
    </row>
    <row r="949">
      <c r="B949" s="103"/>
      <c r="G949" s="104"/>
      <c r="I949" s="105"/>
    </row>
    <row r="950">
      <c r="B950" s="103"/>
      <c r="G950" s="104"/>
      <c r="I950" s="105"/>
    </row>
    <row r="951">
      <c r="B951" s="103"/>
      <c r="G951" s="104"/>
      <c r="I951" s="105"/>
    </row>
    <row r="952">
      <c r="B952" s="103"/>
      <c r="G952" s="104"/>
      <c r="I952" s="105"/>
    </row>
    <row r="953">
      <c r="B953" s="103"/>
      <c r="G953" s="104"/>
      <c r="I953" s="105"/>
    </row>
    <row r="954">
      <c r="B954" s="103"/>
      <c r="G954" s="104"/>
      <c r="I954" s="105"/>
    </row>
    <row r="955">
      <c r="B955" s="103"/>
      <c r="G955" s="104"/>
      <c r="I955" s="105"/>
    </row>
    <row r="956">
      <c r="B956" s="103"/>
      <c r="G956" s="104"/>
      <c r="I956" s="105"/>
    </row>
    <row r="957">
      <c r="B957" s="103"/>
      <c r="G957" s="104"/>
      <c r="I957" s="105"/>
    </row>
    <row r="958">
      <c r="B958" s="103"/>
      <c r="G958" s="104"/>
      <c r="I958" s="105"/>
    </row>
    <row r="959">
      <c r="B959" s="103"/>
      <c r="G959" s="104"/>
      <c r="I959" s="105"/>
    </row>
    <row r="960">
      <c r="B960" s="103"/>
      <c r="G960" s="104"/>
      <c r="I960" s="105"/>
    </row>
    <row r="961">
      <c r="B961" s="103"/>
      <c r="G961" s="104"/>
      <c r="I961" s="105"/>
    </row>
    <row r="962">
      <c r="B962" s="103"/>
      <c r="G962" s="104"/>
      <c r="I962" s="105"/>
    </row>
    <row r="963">
      <c r="B963" s="103"/>
      <c r="G963" s="104"/>
      <c r="I963" s="105"/>
    </row>
    <row r="964">
      <c r="B964" s="103"/>
      <c r="G964" s="104"/>
      <c r="I964" s="105"/>
    </row>
    <row r="965">
      <c r="B965" s="103"/>
      <c r="G965" s="104"/>
      <c r="I965" s="105"/>
    </row>
    <row r="966">
      <c r="B966" s="103"/>
      <c r="G966" s="104"/>
      <c r="I966" s="105"/>
    </row>
    <row r="967">
      <c r="B967" s="103"/>
      <c r="G967" s="104"/>
      <c r="I967" s="105"/>
    </row>
    <row r="968">
      <c r="B968" s="103"/>
      <c r="G968" s="104"/>
      <c r="I968" s="105"/>
    </row>
    <row r="969">
      <c r="B969" s="103"/>
      <c r="G969" s="104"/>
      <c r="I969" s="105"/>
    </row>
    <row r="970">
      <c r="B970" s="103"/>
      <c r="G970" s="104"/>
      <c r="I970" s="105"/>
    </row>
    <row r="971">
      <c r="B971" s="103"/>
      <c r="G971" s="104"/>
      <c r="I971" s="105"/>
    </row>
    <row r="972">
      <c r="B972" s="103"/>
      <c r="G972" s="104"/>
      <c r="I972" s="105"/>
    </row>
    <row r="973">
      <c r="B973" s="103"/>
      <c r="G973" s="104"/>
      <c r="I973" s="105"/>
    </row>
    <row r="974">
      <c r="B974" s="103"/>
      <c r="G974" s="104"/>
      <c r="I974" s="105"/>
    </row>
    <row r="975">
      <c r="B975" s="103"/>
      <c r="G975" s="104"/>
      <c r="I975" s="105"/>
    </row>
    <row r="976">
      <c r="B976" s="103"/>
      <c r="G976" s="104"/>
      <c r="I976" s="105"/>
    </row>
    <row r="977">
      <c r="B977" s="103"/>
      <c r="G977" s="104"/>
      <c r="I977" s="105"/>
    </row>
    <row r="978">
      <c r="B978" s="103"/>
      <c r="G978" s="104"/>
      <c r="I978" s="105"/>
    </row>
    <row r="979">
      <c r="B979" s="103"/>
      <c r="G979" s="104"/>
      <c r="I979" s="105"/>
    </row>
    <row r="980">
      <c r="B980" s="103"/>
      <c r="G980" s="104"/>
      <c r="I980" s="105"/>
    </row>
    <row r="981">
      <c r="B981" s="103"/>
      <c r="G981" s="104"/>
      <c r="I981" s="105"/>
    </row>
    <row r="982">
      <c r="B982" s="103"/>
      <c r="G982" s="104"/>
      <c r="I982" s="105"/>
    </row>
    <row r="983">
      <c r="B983" s="103"/>
      <c r="G983" s="104"/>
      <c r="I983" s="105"/>
    </row>
    <row r="984">
      <c r="B984" s="103"/>
      <c r="G984" s="104"/>
      <c r="I984" s="105"/>
    </row>
    <row r="985">
      <c r="B985" s="103"/>
      <c r="G985" s="104"/>
      <c r="I985" s="105"/>
    </row>
    <row r="986">
      <c r="B986" s="103"/>
      <c r="G986" s="104"/>
      <c r="I986" s="105"/>
    </row>
    <row r="987">
      <c r="B987" s="103"/>
      <c r="G987" s="104"/>
      <c r="I987" s="105"/>
    </row>
    <row r="988">
      <c r="B988" s="103"/>
      <c r="G988" s="104"/>
      <c r="I988" s="105"/>
    </row>
    <row r="989">
      <c r="B989" s="103"/>
      <c r="G989" s="104"/>
      <c r="I989" s="105"/>
    </row>
    <row r="990">
      <c r="B990" s="103"/>
      <c r="G990" s="104"/>
      <c r="I990" s="105"/>
    </row>
    <row r="991">
      <c r="B991" s="103"/>
      <c r="G991" s="104"/>
      <c r="I991" s="105"/>
    </row>
    <row r="992">
      <c r="B992" s="103"/>
      <c r="G992" s="104"/>
      <c r="I992" s="105"/>
    </row>
    <row r="993">
      <c r="B993" s="103"/>
      <c r="G993" s="104"/>
      <c r="I993" s="105"/>
    </row>
    <row r="994">
      <c r="B994" s="103"/>
      <c r="G994" s="104"/>
      <c r="I994" s="105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