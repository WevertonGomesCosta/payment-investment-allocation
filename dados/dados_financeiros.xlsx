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Gastos'!$A$1:$E$215</definedName>
    <definedName hidden="1" localSheetId="1" name="_xlnm._FilterDatabase">'Inventário de Lotes'!$A$1:$E$40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fQACDy/44e+hY5smQu6RtP1opOd4sqsnMxPojlYqi6U="/>
    </ext>
  </extLst>
</workbook>
</file>

<file path=xl/sharedStrings.xml><?xml version="1.0" encoding="utf-8"?>
<sst xmlns="http://schemas.openxmlformats.org/spreadsheetml/2006/main" count="1984" uniqueCount="415">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</sst>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722430028"/>
        <c:axId val="380539406"/>
      </c:barChart>
      <c:catAx>
        <c:axId val="7224300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80539406"/>
      </c:catAx>
      <c:valAx>
        <c:axId val="380539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2243002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350.01"/>
        <n v="98.98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6350.01</v>
      </c>
      <c r="G64" s="9"/>
      <c r="H64" s="28"/>
    </row>
    <row r="65" ht="14.25" customHeight="1">
      <c r="A65" s="23">
        <v>46132.0</v>
      </c>
      <c r="B65" s="8" t="s">
        <v>41</v>
      </c>
      <c r="C65" s="9">
        <v>98.98</v>
      </c>
      <c r="G65" s="9"/>
      <c r="H65" s="28"/>
    </row>
    <row r="66" ht="14.25" customHeight="1">
      <c r="A66" s="23">
        <v>46132.0</v>
      </c>
      <c r="B66" s="8" t="s">
        <v>38</v>
      </c>
      <c r="C66" s="9">
        <v>113.31</v>
      </c>
      <c r="G66" s="9"/>
      <c r="H66" s="28"/>
    </row>
    <row r="67" ht="14.25" customHeight="1">
      <c r="A67" s="1">
        <v>46141.0</v>
      </c>
      <c r="B67" s="8" t="s">
        <v>59</v>
      </c>
      <c r="C67" s="9">
        <v>530.0</v>
      </c>
      <c r="G67" s="9"/>
      <c r="H67" s="28"/>
    </row>
    <row r="68" ht="14.25" customHeight="1">
      <c r="A68" s="1">
        <v>46146.0</v>
      </c>
      <c r="B68" s="8" t="s">
        <v>39</v>
      </c>
      <c r="C68" s="9">
        <v>1500.0</v>
      </c>
      <c r="G68" s="9"/>
      <c r="H68" s="28"/>
    </row>
    <row r="69" ht="14.25" customHeight="1">
      <c r="A69" s="23">
        <v>46148.0</v>
      </c>
      <c r="B69" s="8" t="s">
        <v>49</v>
      </c>
      <c r="C69" s="9">
        <v>195.0</v>
      </c>
      <c r="G69" s="9"/>
      <c r="H69" s="28"/>
    </row>
    <row r="70" ht="14.25" customHeight="1">
      <c r="A70" s="23">
        <v>46148.0</v>
      </c>
      <c r="B70" s="8" t="s">
        <v>58</v>
      </c>
      <c r="C70" s="9">
        <v>950.0</v>
      </c>
      <c r="G70" s="9"/>
      <c r="H70" s="28"/>
    </row>
    <row r="71" ht="14.25" customHeight="1">
      <c r="A71" s="23">
        <v>46150.0</v>
      </c>
      <c r="B71" s="8" t="s">
        <v>50</v>
      </c>
      <c r="C71" s="9">
        <v>120.0</v>
      </c>
      <c r="G71" s="9"/>
      <c r="H71" s="28"/>
    </row>
    <row r="72" ht="14.25" customHeight="1">
      <c r="A72" s="1">
        <v>46152.0</v>
      </c>
      <c r="B72" s="2" t="s">
        <v>36</v>
      </c>
      <c r="C72" s="9">
        <v>65.0</v>
      </c>
      <c r="G72" s="9"/>
      <c r="H72" s="28"/>
    </row>
    <row r="73" ht="14.25" customHeight="1">
      <c r="A73" s="23">
        <v>46153.0</v>
      </c>
      <c r="B73" s="8" t="s">
        <v>41</v>
      </c>
      <c r="C73" s="9">
        <v>95.05</v>
      </c>
      <c r="G73" s="9"/>
      <c r="H73" s="28"/>
    </row>
    <row r="74" ht="14.25" customHeight="1">
      <c r="A74" s="23">
        <v>46154.0</v>
      </c>
      <c r="B74" s="8" t="s">
        <v>25</v>
      </c>
      <c r="C74" s="9">
        <v>981.95</v>
      </c>
      <c r="G74" s="9"/>
      <c r="H74" s="28"/>
    </row>
    <row r="75" ht="14.25" customHeight="1">
      <c r="A75" s="23">
        <v>46154.0</v>
      </c>
      <c r="B75" s="8" t="s">
        <v>33</v>
      </c>
      <c r="C75" s="3">
        <v>2831.4</v>
      </c>
      <c r="G75" s="9"/>
      <c r="H75" s="28"/>
    </row>
    <row r="76" ht="14.25" customHeight="1">
      <c r="A76" s="23">
        <v>46154.0</v>
      </c>
      <c r="B76" s="8" t="s">
        <v>42</v>
      </c>
      <c r="C76" s="9">
        <v>50.0</v>
      </c>
      <c r="G76" s="9"/>
      <c r="H76" s="28"/>
    </row>
    <row r="77" ht="14.25" customHeight="1">
      <c r="A77" s="23">
        <v>46157.0</v>
      </c>
      <c r="B77" s="8" t="s">
        <v>29</v>
      </c>
      <c r="C77" s="9">
        <v>132.4</v>
      </c>
      <c r="G77" s="9"/>
      <c r="H77" s="28"/>
    </row>
    <row r="78" ht="14.25" customHeight="1">
      <c r="A78" s="23">
        <v>46162.0</v>
      </c>
      <c r="B78" s="2" t="s">
        <v>23</v>
      </c>
      <c r="C78" s="9">
        <v>7200.0</v>
      </c>
      <c r="G78" s="9"/>
      <c r="H78" s="28"/>
    </row>
    <row r="79" ht="14.25" customHeight="1">
      <c r="A79" s="23">
        <v>46162.0</v>
      </c>
      <c r="B79" s="8" t="s">
        <v>38</v>
      </c>
      <c r="C79" s="9">
        <v>113.31</v>
      </c>
      <c r="G79" s="9"/>
      <c r="H79" s="28"/>
    </row>
    <row r="80" ht="14.25" customHeight="1">
      <c r="A80" s="1">
        <v>46175.0</v>
      </c>
      <c r="B80" s="8" t="s">
        <v>39</v>
      </c>
      <c r="C80" s="9">
        <v>580.0</v>
      </c>
      <c r="G80" s="9"/>
      <c r="H80" s="28"/>
    </row>
    <row r="81" ht="14.25" customHeight="1">
      <c r="A81" s="23">
        <v>46178.0</v>
      </c>
      <c r="B81" s="8" t="s">
        <v>49</v>
      </c>
      <c r="C81" s="9">
        <v>195.0</v>
      </c>
      <c r="G81" s="9"/>
      <c r="H81" s="28"/>
    </row>
    <row r="82" ht="14.25" customHeight="1">
      <c r="A82" s="23">
        <v>46178.0</v>
      </c>
      <c r="B82" s="8" t="s">
        <v>58</v>
      </c>
      <c r="C82" s="9">
        <v>950.0</v>
      </c>
      <c r="G82" s="9"/>
      <c r="H82" s="28"/>
    </row>
    <row r="83" ht="14.25" customHeight="1">
      <c r="A83" s="1">
        <v>46181.0</v>
      </c>
      <c r="B83" s="8" t="s">
        <v>50</v>
      </c>
      <c r="C83" s="9">
        <v>120.0</v>
      </c>
      <c r="G83" s="9"/>
      <c r="H83" s="28"/>
    </row>
    <row r="84" ht="14.25" customHeight="1">
      <c r="A84" s="1">
        <v>46183.0</v>
      </c>
      <c r="B84" s="2" t="s">
        <v>36</v>
      </c>
      <c r="C84" s="9">
        <v>65.0</v>
      </c>
      <c r="G84" s="9"/>
      <c r="H84" s="28"/>
    </row>
    <row r="85" ht="14.25" customHeight="1">
      <c r="A85" s="1">
        <v>46183.0</v>
      </c>
      <c r="B85" s="8" t="s">
        <v>42</v>
      </c>
      <c r="C85" s="9">
        <v>50.0</v>
      </c>
      <c r="G85" s="9"/>
      <c r="H85" s="28"/>
    </row>
    <row r="86" ht="14.25" customHeight="1">
      <c r="A86" s="1">
        <v>46183.0</v>
      </c>
      <c r="B86" s="8" t="s">
        <v>59</v>
      </c>
      <c r="C86" s="9">
        <v>530.0</v>
      </c>
      <c r="G86" s="9"/>
      <c r="H86" s="28"/>
    </row>
    <row r="87" ht="14.25" customHeight="1">
      <c r="A87" s="1">
        <v>46184.0</v>
      </c>
      <c r="B87" s="8" t="s">
        <v>41</v>
      </c>
      <c r="C87" s="9">
        <v>95.12</v>
      </c>
      <c r="G87" s="9"/>
      <c r="H87" s="28"/>
    </row>
    <row r="88" ht="14.25" customHeight="1">
      <c r="A88" s="23">
        <v>46185.0</v>
      </c>
      <c r="B88" s="8" t="s">
        <v>25</v>
      </c>
      <c r="C88" s="9">
        <v>981.95</v>
      </c>
      <c r="G88" s="9"/>
      <c r="H88" s="28"/>
    </row>
    <row r="89" ht="14.25" customHeight="1">
      <c r="A89" s="23">
        <v>46185.0</v>
      </c>
      <c r="B89" s="8" t="s">
        <v>33</v>
      </c>
      <c r="C89" s="3">
        <v>2831.4</v>
      </c>
      <c r="G89" s="9"/>
      <c r="H89" s="28"/>
    </row>
    <row r="90" ht="14.25" customHeight="1">
      <c r="A90" s="23">
        <v>46188.0</v>
      </c>
      <c r="B90" s="8" t="s">
        <v>29</v>
      </c>
      <c r="C90" s="9">
        <v>132.4</v>
      </c>
      <c r="G90" s="9"/>
      <c r="H90" s="28"/>
    </row>
    <row r="91" ht="14.25" customHeight="1">
      <c r="A91" s="23">
        <v>46192.0</v>
      </c>
      <c r="B91" s="2" t="s">
        <v>23</v>
      </c>
      <c r="C91" s="9">
        <v>7200.0</v>
      </c>
      <c r="G91" s="9"/>
      <c r="H91" s="28"/>
    </row>
    <row r="92" ht="14.25" customHeight="1">
      <c r="A92" s="23">
        <v>46192.0</v>
      </c>
      <c r="B92" s="8" t="s">
        <v>38</v>
      </c>
      <c r="C92" s="9">
        <v>113.31</v>
      </c>
      <c r="G92" s="9"/>
      <c r="H92" s="28"/>
    </row>
    <row r="93" ht="14.25" customHeight="1">
      <c r="A93" s="1">
        <v>46205.0</v>
      </c>
      <c r="B93" s="8" t="s">
        <v>39</v>
      </c>
      <c r="C93" s="9">
        <v>930.0</v>
      </c>
      <c r="G93" s="9"/>
      <c r="H93" s="28"/>
    </row>
    <row r="94" ht="14.25" customHeight="1">
      <c r="A94" s="23">
        <v>46209.0</v>
      </c>
      <c r="B94" s="8" t="s">
        <v>49</v>
      </c>
      <c r="C94" s="9">
        <v>195.0</v>
      </c>
      <c r="G94" s="9"/>
      <c r="H94" s="28"/>
    </row>
    <row r="95" ht="14.25" customHeight="1">
      <c r="A95" s="23">
        <v>46209.0</v>
      </c>
      <c r="B95" s="8" t="s">
        <v>58</v>
      </c>
      <c r="C95" s="9">
        <v>950.0</v>
      </c>
      <c r="G95" s="9"/>
      <c r="H95" s="28"/>
    </row>
    <row r="96" ht="14.25" customHeight="1">
      <c r="A96" s="23">
        <v>46211.0</v>
      </c>
      <c r="B96" s="8" t="s">
        <v>50</v>
      </c>
      <c r="C96" s="9">
        <v>120.0</v>
      </c>
      <c r="G96" s="9"/>
      <c r="H96" s="28"/>
    </row>
    <row r="97" ht="14.25" customHeight="1">
      <c r="A97" s="1">
        <v>46213.0</v>
      </c>
      <c r="B97" s="2" t="s">
        <v>36</v>
      </c>
      <c r="C97" s="9">
        <v>65.0</v>
      </c>
      <c r="G97" s="9"/>
      <c r="H97" s="28"/>
    </row>
    <row r="98" ht="14.25" customHeight="1">
      <c r="A98" s="23">
        <v>46216.0</v>
      </c>
      <c r="B98" s="8" t="s">
        <v>25</v>
      </c>
      <c r="C98" s="9">
        <v>981.95</v>
      </c>
      <c r="G98" s="9"/>
      <c r="H98" s="28"/>
    </row>
    <row r="99" ht="14.25" customHeight="1">
      <c r="A99" s="23">
        <v>46216.0</v>
      </c>
      <c r="B99" s="8" t="s">
        <v>41</v>
      </c>
      <c r="C99" s="9">
        <v>95.12</v>
      </c>
      <c r="G99" s="9"/>
      <c r="H99" s="28"/>
    </row>
    <row r="100" ht="14.25" customHeight="1">
      <c r="A100" s="23">
        <v>46216.0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46218.0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46218.0</v>
      </c>
      <c r="B102" s="8" t="s">
        <v>42</v>
      </c>
      <c r="C102" s="9">
        <v>50.0</v>
      </c>
      <c r="G102" s="9"/>
      <c r="H102" s="28"/>
    </row>
    <row r="103" ht="14.25" customHeight="1">
      <c r="A103" s="23">
        <v>46223.0</v>
      </c>
      <c r="B103" s="2" t="s">
        <v>23</v>
      </c>
      <c r="C103" s="9">
        <v>6800.0</v>
      </c>
      <c r="G103" s="9"/>
      <c r="H103" s="28"/>
    </row>
    <row r="104" ht="14.25" customHeight="1">
      <c r="A104" s="23">
        <v>46223.0</v>
      </c>
      <c r="B104" s="8" t="s">
        <v>38</v>
      </c>
      <c r="C104" s="9">
        <v>113.31</v>
      </c>
      <c r="G104" s="9"/>
      <c r="H104" s="28"/>
    </row>
    <row r="105" ht="14.25" customHeight="1">
      <c r="A105" s="1">
        <v>46237.0</v>
      </c>
      <c r="B105" s="8" t="s">
        <v>39</v>
      </c>
      <c r="C105" s="9">
        <v>1500.0</v>
      </c>
      <c r="G105" s="9"/>
      <c r="H105" s="28"/>
    </row>
    <row r="106" ht="14.25" customHeight="1">
      <c r="A106" s="23">
        <v>46239.0</v>
      </c>
      <c r="B106" s="8" t="s">
        <v>58</v>
      </c>
      <c r="C106" s="9">
        <v>950.0</v>
      </c>
      <c r="F106" s="26"/>
      <c r="G106" s="12"/>
      <c r="H106" s="21"/>
      <c r="I106" s="14"/>
      <c r="J106" s="14"/>
    </row>
    <row r="107" ht="14.25" customHeight="1">
      <c r="A107" s="23">
        <v>46240.0</v>
      </c>
      <c r="B107" s="8" t="s">
        <v>49</v>
      </c>
      <c r="C107" s="9">
        <v>195.0</v>
      </c>
      <c r="F107" s="26"/>
      <c r="G107" s="12"/>
      <c r="H107" s="21"/>
      <c r="I107" s="14"/>
      <c r="J107" s="14"/>
    </row>
    <row r="108" ht="14.25" customHeight="1">
      <c r="A108" s="23">
        <v>46240.0</v>
      </c>
      <c r="B108" s="8" t="s">
        <v>50</v>
      </c>
      <c r="C108" s="9">
        <v>120.0</v>
      </c>
      <c r="G108" s="9"/>
      <c r="H108" s="28"/>
    </row>
    <row r="109" ht="14.25" customHeight="1">
      <c r="A109" s="1">
        <v>46244.0</v>
      </c>
      <c r="B109" s="2" t="s">
        <v>36</v>
      </c>
      <c r="C109" s="9">
        <v>65.0</v>
      </c>
      <c r="G109" s="9"/>
      <c r="H109" s="28"/>
    </row>
    <row r="110" ht="14.25" customHeight="1">
      <c r="A110" s="23">
        <v>46245.0</v>
      </c>
      <c r="B110" s="8" t="s">
        <v>41</v>
      </c>
      <c r="C110" s="9">
        <v>95.12</v>
      </c>
      <c r="G110" s="9"/>
      <c r="H110" s="28"/>
    </row>
    <row r="111" ht="14.25" customHeight="1">
      <c r="A111" s="1">
        <v>46246.0</v>
      </c>
      <c r="B111" s="8" t="s">
        <v>25</v>
      </c>
      <c r="C111" s="9">
        <v>981.95</v>
      </c>
      <c r="G111" s="9"/>
      <c r="H111" s="28"/>
    </row>
    <row r="112" ht="14.25" customHeight="1">
      <c r="A112" s="1">
        <v>46246.0</v>
      </c>
      <c r="B112" s="8" t="s">
        <v>33</v>
      </c>
      <c r="C112" s="3">
        <v>2831.4</v>
      </c>
      <c r="G112" s="9"/>
      <c r="H112" s="28"/>
    </row>
    <row r="113" ht="14.25" customHeight="1">
      <c r="A113" s="1">
        <v>46246.0</v>
      </c>
      <c r="B113" s="8" t="s">
        <v>31</v>
      </c>
      <c r="C113" s="9">
        <v>460.0</v>
      </c>
      <c r="G113" s="9"/>
      <c r="H113" s="28"/>
    </row>
    <row r="114" ht="14.25" customHeight="1">
      <c r="A114" s="1">
        <v>46246.0</v>
      </c>
      <c r="B114" s="8" t="s">
        <v>42</v>
      </c>
      <c r="C114" s="9">
        <v>50.0</v>
      </c>
      <c r="G114" s="9"/>
      <c r="H114" s="28"/>
    </row>
    <row r="115" ht="14.25" customHeight="1">
      <c r="A115" s="1">
        <v>46246.0</v>
      </c>
      <c r="B115" s="8" t="s">
        <v>59</v>
      </c>
      <c r="C115" s="9">
        <v>530.0</v>
      </c>
      <c r="G115" s="9"/>
      <c r="H115" s="28"/>
    </row>
    <row r="116" ht="14.25" customHeight="1">
      <c r="A116" s="23">
        <v>46249.0</v>
      </c>
      <c r="B116" s="8" t="s">
        <v>29</v>
      </c>
      <c r="C116" s="9">
        <v>132.4</v>
      </c>
      <c r="G116" s="9"/>
      <c r="H116" s="28"/>
    </row>
    <row r="117" ht="14.25" customHeight="1">
      <c r="A117" s="23">
        <v>46254.0</v>
      </c>
      <c r="B117" s="2" t="s">
        <v>23</v>
      </c>
      <c r="C117" s="9">
        <v>5800.0</v>
      </c>
      <c r="G117" s="9"/>
      <c r="H117" s="28"/>
    </row>
    <row r="118" ht="14.25" customHeight="1">
      <c r="A118" s="23">
        <v>46254.0</v>
      </c>
      <c r="B118" s="8" t="s">
        <v>38</v>
      </c>
      <c r="C118" s="9">
        <v>113.31</v>
      </c>
      <c r="G118" s="9"/>
      <c r="H118" s="28"/>
    </row>
    <row r="119" ht="14.25" customHeight="1">
      <c r="A119" s="1">
        <v>46267.0</v>
      </c>
      <c r="B119" s="8" t="s">
        <v>39</v>
      </c>
      <c r="C119" s="9">
        <v>2000.0</v>
      </c>
      <c r="G119" s="9"/>
      <c r="H119" s="28"/>
    </row>
    <row r="120" ht="14.25" customHeight="1">
      <c r="A120" s="23">
        <v>46269.0</v>
      </c>
      <c r="B120" s="8" t="s">
        <v>58</v>
      </c>
      <c r="C120" s="9">
        <v>950.0</v>
      </c>
      <c r="G120" s="9"/>
      <c r="H120" s="28"/>
    </row>
    <row r="121" ht="14.25" customHeight="1">
      <c r="A121" s="23">
        <v>46271.0</v>
      </c>
      <c r="B121" s="8" t="s">
        <v>49</v>
      </c>
      <c r="C121" s="9">
        <v>195.0</v>
      </c>
      <c r="G121" s="9"/>
      <c r="H121" s="28"/>
    </row>
    <row r="122" ht="14.25" customHeight="1">
      <c r="A122" s="23">
        <v>46273.0</v>
      </c>
      <c r="B122" s="8" t="s">
        <v>50</v>
      </c>
      <c r="C122" s="9">
        <v>120.0</v>
      </c>
      <c r="G122" s="9"/>
      <c r="H122" s="28"/>
    </row>
    <row r="123" ht="14.25" customHeight="1">
      <c r="A123" s="23">
        <v>46273.0</v>
      </c>
      <c r="B123" s="8" t="s">
        <v>60</v>
      </c>
      <c r="C123" s="9">
        <v>90.0</v>
      </c>
      <c r="G123" s="9"/>
      <c r="H123" s="28"/>
    </row>
    <row r="124" ht="14.25" customHeight="1">
      <c r="A124" s="23">
        <v>46274.0</v>
      </c>
      <c r="B124" s="8" t="s">
        <v>42</v>
      </c>
      <c r="C124" s="9">
        <v>50.0</v>
      </c>
      <c r="G124" s="9"/>
      <c r="H124" s="28"/>
    </row>
    <row r="125" ht="14.25" customHeight="1">
      <c r="A125" s="1">
        <v>46275.0</v>
      </c>
      <c r="B125" s="2" t="s">
        <v>36</v>
      </c>
      <c r="C125" s="9">
        <v>65.0</v>
      </c>
      <c r="G125" s="9"/>
      <c r="H125" s="28"/>
    </row>
    <row r="126" ht="14.25" customHeight="1">
      <c r="A126" s="23">
        <v>46276.0</v>
      </c>
      <c r="B126" s="8" t="s">
        <v>25</v>
      </c>
      <c r="C126" s="9">
        <v>981.95</v>
      </c>
      <c r="G126" s="9"/>
      <c r="H126" s="28"/>
    </row>
    <row r="127" ht="14.25" customHeight="1">
      <c r="A127" s="23">
        <v>46276.0</v>
      </c>
      <c r="B127" s="8" t="s">
        <v>41</v>
      </c>
      <c r="C127" s="9">
        <v>95.12</v>
      </c>
      <c r="G127" s="9"/>
      <c r="H127" s="28"/>
    </row>
    <row r="128" ht="14.25" customHeight="1">
      <c r="A128" s="23">
        <v>46276.0</v>
      </c>
      <c r="B128" s="8" t="s">
        <v>33</v>
      </c>
      <c r="C128" s="3">
        <v>2831.4</v>
      </c>
      <c r="G128" s="9"/>
      <c r="H128" s="28"/>
    </row>
    <row r="129" ht="14.25" customHeight="1">
      <c r="A129" s="23">
        <v>46280.0</v>
      </c>
      <c r="B129" s="8" t="s">
        <v>29</v>
      </c>
      <c r="C129" s="9">
        <v>132.4</v>
      </c>
      <c r="G129" s="9"/>
      <c r="H129" s="28"/>
    </row>
    <row r="130" ht="14.25" customHeight="1">
      <c r="A130" s="23">
        <v>46285.0</v>
      </c>
      <c r="B130" s="2" t="s">
        <v>23</v>
      </c>
      <c r="C130" s="9">
        <v>6850.0</v>
      </c>
      <c r="G130" s="9"/>
      <c r="H130" s="28"/>
    </row>
    <row r="131" ht="14.25" customHeight="1">
      <c r="A131" s="23">
        <v>46286.0</v>
      </c>
      <c r="B131" s="8" t="s">
        <v>38</v>
      </c>
      <c r="C131" s="9">
        <v>113.31</v>
      </c>
      <c r="G131" s="9"/>
      <c r="H131" s="28"/>
    </row>
    <row r="132" ht="14.25" customHeight="1">
      <c r="A132" s="1">
        <v>46297.0</v>
      </c>
      <c r="B132" s="8" t="s">
        <v>39</v>
      </c>
      <c r="C132" s="9">
        <v>1800.0</v>
      </c>
      <c r="G132" s="9"/>
      <c r="H132" s="28"/>
    </row>
    <row r="133" ht="14.25" customHeight="1">
      <c r="A133" s="23">
        <v>46300.0</v>
      </c>
      <c r="B133" s="8" t="s">
        <v>58</v>
      </c>
      <c r="C133" s="9">
        <v>950.0</v>
      </c>
      <c r="G133" s="9"/>
      <c r="H133" s="28"/>
    </row>
    <row r="134" ht="14.25" customHeight="1">
      <c r="A134" s="23">
        <v>46301.0</v>
      </c>
      <c r="B134" s="8" t="s">
        <v>49</v>
      </c>
      <c r="C134" s="9">
        <v>195.0</v>
      </c>
      <c r="G134" s="9"/>
      <c r="H134" s="28"/>
    </row>
    <row r="135" ht="14.25" customHeight="1">
      <c r="A135" s="1">
        <v>46302.0</v>
      </c>
      <c r="B135" s="8" t="s">
        <v>59</v>
      </c>
      <c r="C135" s="9">
        <v>530.0</v>
      </c>
      <c r="G135" s="9"/>
      <c r="H135" s="28"/>
    </row>
    <row r="136" ht="14.25" customHeight="1">
      <c r="A136" s="1">
        <v>46303.0</v>
      </c>
      <c r="B136" s="8" t="s">
        <v>50</v>
      </c>
      <c r="C136" s="9">
        <v>120.0</v>
      </c>
      <c r="G136" s="9"/>
      <c r="H136" s="28"/>
    </row>
    <row r="137" ht="14.25" customHeight="1">
      <c r="A137" s="1">
        <v>46303.0</v>
      </c>
      <c r="B137" s="8" t="s">
        <v>60</v>
      </c>
      <c r="C137" s="9">
        <v>90.0</v>
      </c>
      <c r="G137" s="9"/>
      <c r="H137" s="28"/>
    </row>
    <row r="138" ht="14.25" customHeight="1">
      <c r="A138" s="1">
        <v>46303.0</v>
      </c>
      <c r="B138" s="8" t="s">
        <v>61</v>
      </c>
      <c r="C138" s="9">
        <v>119.8</v>
      </c>
      <c r="G138" s="9"/>
      <c r="H138" s="28"/>
    </row>
    <row r="139" ht="14.25" customHeight="1">
      <c r="A139" s="1">
        <v>46305.0</v>
      </c>
      <c r="B139" s="2" t="s">
        <v>36</v>
      </c>
      <c r="C139" s="9">
        <v>65.0</v>
      </c>
      <c r="G139" s="9"/>
      <c r="H139" s="28"/>
    </row>
    <row r="140" ht="14.25" customHeight="1">
      <c r="A140" s="23">
        <v>46308.0</v>
      </c>
      <c r="B140" s="8" t="s">
        <v>25</v>
      </c>
      <c r="C140" s="9">
        <v>981.95</v>
      </c>
      <c r="G140" s="9"/>
      <c r="H140" s="28"/>
    </row>
    <row r="141" ht="14.25" customHeight="1">
      <c r="A141" s="23">
        <v>46308.0</v>
      </c>
      <c r="B141" s="8" t="s">
        <v>41</v>
      </c>
      <c r="C141" s="9">
        <v>95.12</v>
      </c>
      <c r="G141" s="9"/>
      <c r="H141" s="28"/>
    </row>
    <row r="142" ht="14.25" customHeight="1">
      <c r="A142" s="23">
        <v>46308.0</v>
      </c>
      <c r="B142" s="8" t="s">
        <v>33</v>
      </c>
      <c r="C142" s="3">
        <v>2831.4</v>
      </c>
      <c r="G142" s="9"/>
      <c r="H142" s="28"/>
    </row>
    <row r="143" ht="14.25" customHeight="1">
      <c r="A143" s="23">
        <v>46308.0</v>
      </c>
      <c r="B143" s="8" t="s">
        <v>42</v>
      </c>
      <c r="C143" s="9">
        <v>50.0</v>
      </c>
      <c r="G143" s="9"/>
      <c r="H143" s="28"/>
    </row>
    <row r="144" ht="14.25" customHeight="1">
      <c r="A144" s="23">
        <v>46310.0</v>
      </c>
      <c r="B144" s="8" t="s">
        <v>29</v>
      </c>
      <c r="C144" s="9">
        <v>132.4</v>
      </c>
      <c r="G144" s="9"/>
      <c r="H144" s="28"/>
    </row>
    <row r="145" ht="14.25" customHeight="1">
      <c r="A145" s="1">
        <v>46315.0</v>
      </c>
      <c r="B145" s="2" t="s">
        <v>23</v>
      </c>
      <c r="C145" s="9">
        <v>6000.0</v>
      </c>
      <c r="G145" s="9"/>
      <c r="H145" s="28"/>
    </row>
    <row r="146" ht="14.25" customHeight="1">
      <c r="A146" s="1">
        <v>46315.0</v>
      </c>
      <c r="B146" s="8" t="s">
        <v>38</v>
      </c>
      <c r="C146" s="9">
        <v>113.31</v>
      </c>
      <c r="G146" s="9"/>
      <c r="H146" s="28"/>
    </row>
    <row r="147" ht="14.25" customHeight="1">
      <c r="A147" s="1">
        <v>46329.0</v>
      </c>
      <c r="B147" s="8" t="s">
        <v>39</v>
      </c>
      <c r="C147" s="9">
        <v>2200.0</v>
      </c>
      <c r="G147" s="9"/>
      <c r="H147" s="28"/>
    </row>
    <row r="148" ht="14.25" customHeight="1">
      <c r="A148" s="23">
        <v>46332.0</v>
      </c>
      <c r="B148" s="8" t="s">
        <v>49</v>
      </c>
      <c r="C148" s="9">
        <v>195.0</v>
      </c>
      <c r="G148" s="9"/>
      <c r="H148" s="28"/>
    </row>
    <row r="149" ht="14.25" customHeight="1">
      <c r="A149" s="23">
        <v>46332.0</v>
      </c>
      <c r="B149" s="8" t="s">
        <v>58</v>
      </c>
      <c r="C149" s="9">
        <v>950.0</v>
      </c>
      <c r="G149" s="9"/>
      <c r="H149" s="28"/>
    </row>
    <row r="150" ht="14.25" customHeight="1">
      <c r="A150" s="23">
        <v>46335.0</v>
      </c>
      <c r="B150" s="8" t="s">
        <v>50</v>
      </c>
      <c r="C150" s="9">
        <v>120.0</v>
      </c>
      <c r="G150" s="9"/>
      <c r="H150" s="28"/>
    </row>
    <row r="151" ht="14.25" customHeight="1">
      <c r="A151" s="23">
        <v>46335.0</v>
      </c>
      <c r="B151" s="8" t="s">
        <v>60</v>
      </c>
      <c r="C151" s="9">
        <v>90.0</v>
      </c>
      <c r="G151" s="9"/>
      <c r="H151" s="28"/>
    </row>
    <row r="152" ht="14.25" customHeight="1">
      <c r="A152" s="1">
        <v>46336.0</v>
      </c>
      <c r="B152" s="2" t="s">
        <v>36</v>
      </c>
      <c r="C152" s="9">
        <v>65.0</v>
      </c>
      <c r="G152" s="9"/>
      <c r="H152" s="28"/>
    </row>
    <row r="153" ht="14.25" customHeight="1">
      <c r="A153" s="23">
        <v>46337.0</v>
      </c>
      <c r="B153" s="8" t="s">
        <v>41</v>
      </c>
      <c r="C153" s="9">
        <v>95.12</v>
      </c>
      <c r="G153" s="9"/>
      <c r="H153" s="28"/>
    </row>
    <row r="154" ht="14.25" customHeight="1">
      <c r="A154" s="23">
        <v>46337.0</v>
      </c>
      <c r="B154" s="8" t="s">
        <v>42</v>
      </c>
      <c r="C154" s="9">
        <v>50.0</v>
      </c>
      <c r="G154" s="9"/>
      <c r="H154" s="28"/>
    </row>
    <row r="155" ht="14.25" customHeight="1">
      <c r="A155" s="23">
        <v>46338.0</v>
      </c>
      <c r="B155" s="8" t="s">
        <v>25</v>
      </c>
      <c r="C155" s="9">
        <v>981.95</v>
      </c>
      <c r="G155" s="9"/>
      <c r="H155" s="28"/>
    </row>
    <row r="156" ht="14.25" customHeight="1">
      <c r="A156" s="23">
        <v>46338.0</v>
      </c>
      <c r="B156" s="8" t="s">
        <v>33</v>
      </c>
      <c r="C156" s="3">
        <v>2831.4</v>
      </c>
      <c r="G156" s="9"/>
      <c r="H156" s="28"/>
    </row>
    <row r="157" ht="14.25" customHeight="1">
      <c r="A157" s="23">
        <v>46342.0</v>
      </c>
      <c r="B157" s="8" t="s">
        <v>29</v>
      </c>
      <c r="C157" s="9">
        <v>132.4</v>
      </c>
      <c r="G157" s="9"/>
      <c r="H157" s="28"/>
    </row>
    <row r="158" ht="14.25" customHeight="1">
      <c r="A158" s="23">
        <v>46346.0</v>
      </c>
      <c r="B158" s="2" t="s">
        <v>23</v>
      </c>
      <c r="C158" s="9">
        <v>5750.0</v>
      </c>
      <c r="G158" s="9"/>
      <c r="H158" s="28"/>
    </row>
    <row r="159" ht="14.25" customHeight="1">
      <c r="A159" s="23">
        <v>46346.0</v>
      </c>
      <c r="B159" s="8" t="s">
        <v>38</v>
      </c>
      <c r="C159" s="9">
        <v>113.31</v>
      </c>
      <c r="G159" s="9"/>
      <c r="H159" s="28"/>
    </row>
    <row r="160" ht="14.25" customHeight="1">
      <c r="A160" s="1">
        <v>46358.0</v>
      </c>
      <c r="B160" s="8" t="s">
        <v>39</v>
      </c>
      <c r="C160" s="9">
        <v>1880.0</v>
      </c>
      <c r="G160" s="9"/>
      <c r="H160" s="28"/>
    </row>
    <row r="161" ht="14.25" customHeight="1">
      <c r="A161" s="1">
        <v>46360.0</v>
      </c>
      <c r="B161" s="8" t="s">
        <v>58</v>
      </c>
      <c r="C161" s="9">
        <v>950.0</v>
      </c>
      <c r="G161" s="9"/>
      <c r="H161" s="28"/>
    </row>
    <row r="162" ht="14.25" customHeight="1">
      <c r="A162" s="23">
        <v>46363.0</v>
      </c>
      <c r="B162" s="8" t="s">
        <v>49</v>
      </c>
      <c r="C162" s="9">
        <v>195.0</v>
      </c>
      <c r="G162" s="9"/>
      <c r="H162" s="28"/>
    </row>
    <row r="163" ht="14.25" customHeight="1">
      <c r="A163" s="1">
        <v>46364.0</v>
      </c>
      <c r="B163" s="8" t="s">
        <v>50</v>
      </c>
      <c r="C163" s="9">
        <v>120.0</v>
      </c>
      <c r="G163" s="9"/>
      <c r="H163" s="28"/>
    </row>
    <row r="164" ht="14.25" customHeight="1">
      <c r="A164" s="23">
        <v>46365.0</v>
      </c>
      <c r="B164" s="8" t="s">
        <v>42</v>
      </c>
      <c r="C164" s="9">
        <v>50.0</v>
      </c>
      <c r="G164" s="9"/>
      <c r="H164" s="28"/>
    </row>
    <row r="165" ht="14.25" customHeight="1">
      <c r="A165" s="1">
        <v>46365.0</v>
      </c>
      <c r="B165" s="8" t="s">
        <v>59</v>
      </c>
      <c r="C165" s="9">
        <v>530.0</v>
      </c>
      <c r="G165" s="9"/>
      <c r="H165" s="28"/>
    </row>
    <row r="166" ht="14.25" customHeight="1">
      <c r="A166" s="1">
        <v>46366.0</v>
      </c>
      <c r="B166" s="2" t="s">
        <v>36</v>
      </c>
      <c r="C166" s="9">
        <v>65.0</v>
      </c>
      <c r="G166" s="9"/>
      <c r="H166" s="28"/>
    </row>
    <row r="167" ht="14.25" customHeight="1">
      <c r="A167" s="23">
        <v>46367.0</v>
      </c>
      <c r="B167" s="8" t="s">
        <v>25</v>
      </c>
      <c r="C167" s="9">
        <v>981.95</v>
      </c>
      <c r="G167" s="9"/>
      <c r="H167" s="28"/>
    </row>
    <row r="168" ht="14.25" customHeight="1">
      <c r="A168" s="23">
        <v>46367.0</v>
      </c>
      <c r="B168" s="8" t="s">
        <v>41</v>
      </c>
      <c r="C168" s="9">
        <v>95.12</v>
      </c>
      <c r="G168" s="9"/>
      <c r="H168" s="28"/>
    </row>
    <row r="169" ht="14.25" customHeight="1">
      <c r="A169" s="23">
        <v>46367.0</v>
      </c>
      <c r="B169" s="8" t="s">
        <v>33</v>
      </c>
      <c r="C169" s="3">
        <v>2831.4</v>
      </c>
      <c r="G169" s="9"/>
      <c r="H169" s="28"/>
    </row>
    <row r="170" ht="14.25" customHeight="1">
      <c r="A170" s="23">
        <v>46367.0</v>
      </c>
      <c r="B170" s="8" t="s">
        <v>62</v>
      </c>
      <c r="C170" s="9">
        <v>2900.0</v>
      </c>
      <c r="G170" s="9"/>
      <c r="H170" s="28"/>
    </row>
    <row r="171" ht="14.25" customHeight="1">
      <c r="A171" s="23">
        <v>46368.0</v>
      </c>
      <c r="B171" s="8" t="s">
        <v>29</v>
      </c>
      <c r="C171" s="9">
        <v>132.4</v>
      </c>
      <c r="G171" s="9"/>
      <c r="H171" s="28"/>
    </row>
    <row r="172" ht="14.25" customHeight="1">
      <c r="A172" s="23">
        <v>46376.0</v>
      </c>
      <c r="B172" s="2" t="s">
        <v>23</v>
      </c>
      <c r="C172" s="9">
        <v>6250.0</v>
      </c>
      <c r="G172" s="9"/>
      <c r="H172" s="28"/>
    </row>
    <row r="173" ht="14.25" customHeight="1">
      <c r="A173" s="23">
        <v>46377.0</v>
      </c>
      <c r="B173" s="8" t="s">
        <v>38</v>
      </c>
      <c r="C173" s="9">
        <v>113.31</v>
      </c>
      <c r="G173" s="9"/>
      <c r="H173" s="28"/>
    </row>
    <row r="174" ht="14.25" customHeight="1">
      <c r="A174" s="23">
        <v>46391.0</v>
      </c>
      <c r="B174" s="8" t="s">
        <v>39</v>
      </c>
      <c r="C174" s="9">
        <v>2000.0</v>
      </c>
      <c r="G174" s="9"/>
      <c r="H174" s="28"/>
    </row>
    <row r="175" ht="14.25" customHeight="1">
      <c r="A175" s="23">
        <v>46393.0</v>
      </c>
      <c r="B175" s="8" t="s">
        <v>49</v>
      </c>
      <c r="C175" s="9">
        <v>281.1</v>
      </c>
      <c r="G175" s="9"/>
      <c r="H175" s="28"/>
    </row>
    <row r="176" ht="14.25" customHeight="1">
      <c r="A176" s="23">
        <v>46393.0</v>
      </c>
      <c r="B176" s="8" t="s">
        <v>58</v>
      </c>
      <c r="C176" s="9">
        <v>950.0</v>
      </c>
      <c r="G176" s="9"/>
      <c r="H176" s="28"/>
    </row>
    <row r="177" ht="14.25" customHeight="1">
      <c r="A177" s="23">
        <v>46395.0</v>
      </c>
      <c r="B177" s="8" t="s">
        <v>50</v>
      </c>
      <c r="C177" s="9">
        <v>120.0</v>
      </c>
      <c r="G177" s="9"/>
      <c r="H177" s="28"/>
    </row>
    <row r="178" ht="14.25" customHeight="1">
      <c r="A178" s="1">
        <v>46397.0</v>
      </c>
      <c r="B178" s="2" t="s">
        <v>36</v>
      </c>
      <c r="C178" s="9">
        <v>65.0</v>
      </c>
      <c r="G178" s="9"/>
      <c r="H178" s="28"/>
    </row>
    <row r="179" ht="14.25" customHeight="1">
      <c r="A179" s="23">
        <v>46398.0</v>
      </c>
      <c r="B179" s="8" t="s">
        <v>41</v>
      </c>
      <c r="C179" s="9">
        <v>105.37</v>
      </c>
      <c r="G179" s="9"/>
      <c r="H179" s="28"/>
    </row>
    <row r="180" ht="14.25" customHeight="1">
      <c r="A180" s="23">
        <v>46399.0</v>
      </c>
      <c r="B180" s="8" t="s">
        <v>25</v>
      </c>
      <c r="C180" s="9">
        <v>983.13</v>
      </c>
      <c r="G180" s="9"/>
      <c r="H180" s="28"/>
    </row>
    <row r="181" ht="14.25" customHeight="1">
      <c r="A181" s="23">
        <v>46400.0</v>
      </c>
      <c r="B181" s="8" t="s">
        <v>42</v>
      </c>
      <c r="C181" s="9">
        <v>50.0</v>
      </c>
      <c r="G181" s="9"/>
      <c r="H181" s="28"/>
    </row>
    <row r="182" ht="14.25" customHeight="1">
      <c r="A182" s="23">
        <v>46403.0</v>
      </c>
      <c r="B182" s="8" t="s">
        <v>29</v>
      </c>
      <c r="C182" s="9">
        <v>135.89</v>
      </c>
      <c r="G182" s="9"/>
      <c r="H182" s="28"/>
    </row>
    <row r="183" ht="14.25" customHeight="1">
      <c r="A183" s="23">
        <v>46407.0</v>
      </c>
      <c r="B183" s="2" t="s">
        <v>23</v>
      </c>
      <c r="C183" s="9">
        <v>7796.0</v>
      </c>
      <c r="G183" s="9"/>
      <c r="H183" s="28"/>
    </row>
    <row r="184" ht="14.25" customHeight="1">
      <c r="A184" s="23">
        <v>46407.0</v>
      </c>
      <c r="B184" s="8" t="s">
        <v>38</v>
      </c>
      <c r="C184" s="9">
        <v>102.36</v>
      </c>
      <c r="G184" s="9"/>
      <c r="H184" s="28"/>
    </row>
    <row r="185" ht="14.25" customHeight="1">
      <c r="A185" s="23">
        <v>46420.0</v>
      </c>
      <c r="B185" s="8" t="s">
        <v>39</v>
      </c>
      <c r="C185" s="9">
        <v>1800.0</v>
      </c>
      <c r="G185" s="9"/>
      <c r="H185" s="28"/>
    </row>
    <row r="186" ht="14.25" customHeight="1">
      <c r="A186" s="23">
        <v>46422.0</v>
      </c>
      <c r="B186" s="8" t="s">
        <v>49</v>
      </c>
      <c r="C186" s="9">
        <v>195.05</v>
      </c>
      <c r="G186" s="9"/>
      <c r="H186" s="28"/>
    </row>
    <row r="187" ht="14.25" customHeight="1">
      <c r="A187" s="23">
        <v>46422.0</v>
      </c>
      <c r="B187" s="8" t="s">
        <v>58</v>
      </c>
      <c r="C187" s="9">
        <v>950.0</v>
      </c>
      <c r="G187" s="9"/>
      <c r="H187" s="28"/>
    </row>
    <row r="188" ht="14.25" customHeight="1">
      <c r="A188" s="23">
        <v>46426.0</v>
      </c>
      <c r="B188" s="8" t="s">
        <v>50</v>
      </c>
      <c r="C188" s="9">
        <v>120.0</v>
      </c>
      <c r="G188" s="9"/>
      <c r="H188" s="28"/>
    </row>
    <row r="189" ht="14.25" customHeight="1">
      <c r="A189" s="1">
        <v>46428.0</v>
      </c>
      <c r="B189" s="2" t="s">
        <v>36</v>
      </c>
      <c r="C189" s="9">
        <v>65.0</v>
      </c>
      <c r="G189" s="9"/>
      <c r="H189" s="28"/>
    </row>
    <row r="190" ht="14.25" customHeight="1">
      <c r="A190" s="23">
        <v>46428.0</v>
      </c>
      <c r="B190" s="8" t="s">
        <v>42</v>
      </c>
      <c r="C190" s="9">
        <v>50.0</v>
      </c>
      <c r="E190" s="2"/>
      <c r="G190" s="9"/>
      <c r="H190" s="28"/>
    </row>
    <row r="191" ht="14.25" customHeight="1">
      <c r="A191" s="23">
        <v>46428.0</v>
      </c>
      <c r="B191" s="8" t="s">
        <v>59</v>
      </c>
      <c r="C191" s="9">
        <v>530.0</v>
      </c>
      <c r="G191" s="9"/>
      <c r="H191" s="28"/>
    </row>
    <row r="192" ht="14.25" customHeight="1">
      <c r="A192" s="23">
        <v>46429.0</v>
      </c>
      <c r="B192" s="8" t="s">
        <v>41</v>
      </c>
      <c r="C192" s="9">
        <v>95.12</v>
      </c>
      <c r="G192" s="9"/>
      <c r="H192" s="28"/>
    </row>
    <row r="193" ht="14.25" customHeight="1">
      <c r="A193" s="23">
        <v>46430.0</v>
      </c>
      <c r="B193" s="8" t="s">
        <v>25</v>
      </c>
      <c r="C193" s="9">
        <v>981.95</v>
      </c>
      <c r="G193" s="9"/>
      <c r="H193" s="28"/>
    </row>
    <row r="194" ht="14.25" customHeight="1">
      <c r="A194" s="23">
        <v>46430.0</v>
      </c>
      <c r="B194" s="23" t="s">
        <v>27</v>
      </c>
      <c r="C194" s="9">
        <v>1407.65</v>
      </c>
      <c r="G194" s="9"/>
      <c r="H194" s="28"/>
    </row>
    <row r="195" ht="14.25" customHeight="1">
      <c r="A195" s="23">
        <v>46433.0</v>
      </c>
      <c r="B195" s="8" t="s">
        <v>29</v>
      </c>
      <c r="C195" s="9">
        <v>132.4</v>
      </c>
      <c r="G195" s="9"/>
      <c r="H195" s="28"/>
    </row>
    <row r="196" ht="14.25" customHeight="1">
      <c r="A196" s="23">
        <v>46437.0</v>
      </c>
      <c r="B196" s="2" t="s">
        <v>23</v>
      </c>
      <c r="C196" s="9">
        <v>6004.07</v>
      </c>
      <c r="G196" s="9"/>
      <c r="H196" s="28"/>
    </row>
    <row r="197" ht="14.25" customHeight="1">
      <c r="A197" s="23">
        <v>46437.0</v>
      </c>
      <c r="B197" s="8" t="s">
        <v>38</v>
      </c>
      <c r="C197" s="9">
        <v>113.31</v>
      </c>
      <c r="G197" s="9"/>
      <c r="H197" s="28"/>
    </row>
    <row r="198" ht="14.25" customHeight="1">
      <c r="A198" s="23">
        <v>46437.0</v>
      </c>
      <c r="B198" s="8" t="s">
        <v>33</v>
      </c>
      <c r="C198" s="9">
        <v>2831.4</v>
      </c>
      <c r="G198" s="9"/>
      <c r="H198" s="28"/>
    </row>
    <row r="199" ht="14.25" customHeight="1">
      <c r="A199" s="23">
        <v>46437.0</v>
      </c>
      <c r="B199" s="8" t="s">
        <v>31</v>
      </c>
      <c r="C199" s="9">
        <v>460.0</v>
      </c>
      <c r="G199" s="9"/>
      <c r="H199" s="28"/>
    </row>
    <row r="200" ht="14.25" customHeight="1">
      <c r="A200" s="1">
        <v>46448.0</v>
      </c>
      <c r="B200" s="8" t="s">
        <v>39</v>
      </c>
      <c r="C200" s="9">
        <v>1771.95</v>
      </c>
      <c r="G200" s="9"/>
      <c r="H200" s="28"/>
    </row>
    <row r="201" ht="14.25" customHeight="1">
      <c r="A201" s="1">
        <v>46451.0</v>
      </c>
      <c r="B201" s="8" t="s">
        <v>6</v>
      </c>
      <c r="C201" s="9">
        <v>64.89</v>
      </c>
      <c r="G201" s="9"/>
      <c r="H201" s="28"/>
    </row>
    <row r="202" ht="14.25" customHeight="1">
      <c r="A202" s="1">
        <v>46451.0</v>
      </c>
      <c r="B202" s="8" t="s">
        <v>63</v>
      </c>
      <c r="C202" s="9">
        <v>141.8</v>
      </c>
      <c r="G202" s="9"/>
      <c r="H202" s="28"/>
    </row>
    <row r="203" ht="14.25" customHeight="1">
      <c r="A203" s="1">
        <v>46452.0</v>
      </c>
      <c r="B203" s="8" t="s">
        <v>49</v>
      </c>
      <c r="C203" s="9">
        <v>136.15</v>
      </c>
      <c r="G203" s="9"/>
      <c r="H203" s="28"/>
    </row>
    <row r="204" ht="14.25" customHeight="1">
      <c r="A204" s="1">
        <v>46452.0</v>
      </c>
      <c r="B204" s="8" t="s">
        <v>58</v>
      </c>
      <c r="C204" s="9">
        <v>800.0</v>
      </c>
      <c r="G204" s="9"/>
      <c r="H204" s="28"/>
    </row>
    <row r="205" ht="14.25" customHeight="1">
      <c r="A205" s="1">
        <v>46455.0</v>
      </c>
      <c r="B205" s="8" t="s">
        <v>40</v>
      </c>
      <c r="C205" s="9">
        <v>57.89</v>
      </c>
      <c r="G205" s="9"/>
      <c r="H205" s="28"/>
    </row>
    <row r="206" ht="14.25" customHeight="1">
      <c r="A206" s="1">
        <v>46456.0</v>
      </c>
      <c r="B206" s="2" t="s">
        <v>37</v>
      </c>
      <c r="C206" s="9">
        <v>1336.73</v>
      </c>
      <c r="G206" s="9"/>
      <c r="H206" s="28"/>
    </row>
    <row r="207" ht="14.25" customHeight="1">
      <c r="A207" s="1">
        <v>46456.0</v>
      </c>
      <c r="B207" s="2" t="s">
        <v>36</v>
      </c>
      <c r="C207" s="9">
        <v>65.0</v>
      </c>
      <c r="G207" s="9"/>
      <c r="H207" s="28"/>
    </row>
    <row r="208" ht="14.25" customHeight="1">
      <c r="A208" s="1">
        <v>46457.0</v>
      </c>
      <c r="B208" s="8" t="s">
        <v>41</v>
      </c>
      <c r="C208" s="9">
        <v>86.15</v>
      </c>
      <c r="G208" s="9"/>
      <c r="H208" s="28"/>
    </row>
    <row r="209" ht="14.25" customHeight="1">
      <c r="A209" s="1">
        <v>46457.0</v>
      </c>
      <c r="B209" s="8" t="s">
        <v>42</v>
      </c>
      <c r="C209" s="9">
        <v>50.0</v>
      </c>
      <c r="G209" s="9"/>
      <c r="H209" s="28"/>
    </row>
    <row r="210" ht="14.25" customHeight="1">
      <c r="A210" s="23">
        <v>46458.0</v>
      </c>
      <c r="B210" s="8" t="s">
        <v>25</v>
      </c>
      <c r="C210" s="9">
        <v>981.22</v>
      </c>
      <c r="G210" s="9"/>
      <c r="H210" s="28"/>
    </row>
    <row r="211" ht="14.25" customHeight="1">
      <c r="A211" s="23">
        <v>46458.0</v>
      </c>
      <c r="B211" s="8" t="s">
        <v>33</v>
      </c>
      <c r="C211" s="3">
        <v>2831.4</v>
      </c>
      <c r="G211" s="9"/>
      <c r="H211" s="28"/>
    </row>
    <row r="212" ht="14.25" customHeight="1">
      <c r="A212" s="1">
        <v>46462.0</v>
      </c>
      <c r="B212" s="8" t="s">
        <v>29</v>
      </c>
      <c r="C212" s="9">
        <v>132.4</v>
      </c>
      <c r="G212" s="9"/>
      <c r="H212" s="28"/>
    </row>
    <row r="213" ht="14.25" customHeight="1">
      <c r="A213" s="1">
        <v>46466.0</v>
      </c>
      <c r="B213" s="2" t="s">
        <v>23</v>
      </c>
      <c r="C213" s="9">
        <v>7494.55</v>
      </c>
      <c r="G213" s="9"/>
      <c r="H213" s="28"/>
    </row>
    <row r="214" ht="14.25" customHeight="1">
      <c r="A214" s="1">
        <v>46466.0</v>
      </c>
      <c r="B214" s="8" t="s">
        <v>38</v>
      </c>
      <c r="C214" s="9">
        <v>87.84</v>
      </c>
      <c r="G214" s="9"/>
      <c r="H214" s="28"/>
    </row>
    <row r="215" ht="14.25" customHeight="1">
      <c r="A215" s="1">
        <v>46477.0</v>
      </c>
      <c r="B215" s="8" t="s">
        <v>34</v>
      </c>
      <c r="C215" s="9">
        <v>35.62</v>
      </c>
      <c r="G215" s="9"/>
      <c r="H215" s="28"/>
    </row>
    <row r="216" ht="14.25" customHeight="1">
      <c r="A216" s="23"/>
      <c r="B216" s="23"/>
      <c r="C216" s="9"/>
      <c r="G216" s="9"/>
      <c r="H216" s="28"/>
    </row>
    <row r="217" ht="14.25" customHeight="1">
      <c r="A217" s="23"/>
      <c r="B217" s="23"/>
      <c r="C217" s="9"/>
      <c r="G217" s="9"/>
      <c r="H217" s="28"/>
    </row>
    <row r="218" ht="14.25" customHeight="1">
      <c r="A218" s="23"/>
      <c r="B218" s="23"/>
      <c r="C218" s="9"/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9"/>
      <c r="B316" s="29"/>
      <c r="C316" s="30"/>
      <c r="G316" s="9"/>
      <c r="H316" s="28"/>
    </row>
    <row r="317" ht="14.25" customHeight="1">
      <c r="A317" s="29"/>
      <c r="B317" s="29"/>
      <c r="C317" s="30"/>
      <c r="G317" s="9"/>
      <c r="H317" s="28"/>
    </row>
    <row r="318" ht="14.25" customHeight="1">
      <c r="A318" s="29"/>
      <c r="B318" s="29"/>
      <c r="C318" s="30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3"/>
    </row>
    <row r="393" ht="14.25" customHeight="1">
      <c r="A393" s="23"/>
    </row>
    <row r="394" ht="14.25" customHeight="1">
      <c r="A394" s="23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autoFilter ref="$A$1:$E$215">
    <sortState ref="A1:E215">
      <sortCondition ref="E1:E215"/>
      <sortCondition ref="A1:A215"/>
      <sortCondition ref="B1:B215"/>
      <sortCondition ref="C1:C215"/>
      <sortCondition ref="D1:D21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64</v>
      </c>
      <c r="B1" s="32" t="s">
        <v>65</v>
      </c>
      <c r="C1" s="33" t="s">
        <v>66</v>
      </c>
      <c r="D1" s="34" t="s">
        <v>67</v>
      </c>
      <c r="E1" s="34" t="s">
        <v>68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69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69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69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69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69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69</v>
      </c>
    </row>
    <row r="8" ht="14.25" customHeight="1">
      <c r="A8" s="2" t="s">
        <v>70</v>
      </c>
      <c r="B8" s="35">
        <v>46084.0</v>
      </c>
      <c r="C8" s="35">
        <v>46084.0</v>
      </c>
      <c r="D8" s="22">
        <v>3000.0</v>
      </c>
      <c r="E8" s="36" t="s">
        <v>71</v>
      </c>
    </row>
    <row r="9" ht="14.25" customHeight="1">
      <c r="A9" s="2" t="s">
        <v>72</v>
      </c>
      <c r="B9" s="35">
        <v>46085.0</v>
      </c>
      <c r="C9" s="35">
        <v>46085.0</v>
      </c>
      <c r="D9" s="22">
        <v>3000.0</v>
      </c>
      <c r="E9" s="36" t="s">
        <v>71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73</v>
      </c>
    </row>
    <row r="11" ht="14.25" customHeight="1">
      <c r="A11" s="2" t="s">
        <v>74</v>
      </c>
      <c r="B11" s="35">
        <v>46087.0</v>
      </c>
      <c r="C11" s="35">
        <v>46087.0</v>
      </c>
      <c r="D11" s="22">
        <v>8587.0</v>
      </c>
      <c r="E11" s="37" t="s">
        <v>75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73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76</v>
      </c>
    </row>
    <row r="17" ht="14.25" customHeight="1">
      <c r="A17" s="2" t="s">
        <v>77</v>
      </c>
      <c r="B17" s="23">
        <v>46145.0</v>
      </c>
      <c r="C17" s="9"/>
      <c r="D17" s="9">
        <v>7000.0</v>
      </c>
      <c r="E17" s="38"/>
    </row>
    <row r="18" ht="14.25" customHeight="1">
      <c r="A18" s="2" t="s">
        <v>78</v>
      </c>
      <c r="B18" s="23">
        <v>46148.0</v>
      </c>
      <c r="C18" s="9"/>
      <c r="D18" s="9">
        <v>3600.0</v>
      </c>
      <c r="E18" s="38"/>
    </row>
    <row r="19" ht="14.25" customHeight="1">
      <c r="A19" s="2" t="s">
        <v>79</v>
      </c>
      <c r="B19" s="23">
        <v>46148.0</v>
      </c>
      <c r="C19" s="9"/>
      <c r="D19" s="9">
        <v>5680.0</v>
      </c>
      <c r="E19" s="38"/>
    </row>
    <row r="20" ht="14.25" customHeight="1">
      <c r="A20" s="2" t="s">
        <v>80</v>
      </c>
      <c r="B20" s="23">
        <v>46175.0</v>
      </c>
      <c r="C20" s="9"/>
      <c r="D20" s="9">
        <v>7000.0</v>
      </c>
      <c r="E20" s="38"/>
    </row>
    <row r="21" ht="14.25" customHeight="1">
      <c r="A21" s="27" t="s">
        <v>81</v>
      </c>
      <c r="B21" s="23">
        <v>46178.0</v>
      </c>
      <c r="C21" s="19"/>
      <c r="D21" s="19">
        <v>1800.0</v>
      </c>
      <c r="E21" s="38"/>
    </row>
    <row r="22" ht="14.25" customHeight="1">
      <c r="A22" s="2" t="s">
        <v>82</v>
      </c>
      <c r="B22" s="23">
        <v>46178.0</v>
      </c>
      <c r="C22" s="9"/>
      <c r="D22" s="9">
        <v>5680.0</v>
      </c>
      <c r="E22" s="38"/>
    </row>
    <row r="23" ht="14.25" customHeight="1">
      <c r="A23" s="2" t="s">
        <v>83</v>
      </c>
      <c r="B23" s="23">
        <v>46205.0</v>
      </c>
      <c r="C23" s="9"/>
      <c r="D23" s="9">
        <v>7000.0</v>
      </c>
      <c r="E23" s="38"/>
    </row>
    <row r="24" ht="14.25" customHeight="1">
      <c r="A24" s="2" t="s">
        <v>84</v>
      </c>
      <c r="B24" s="23">
        <v>46208.0</v>
      </c>
      <c r="C24" s="9"/>
      <c r="D24" s="9">
        <v>5680.0</v>
      </c>
      <c r="E24" s="38"/>
    </row>
    <row r="25" ht="14.25" customHeight="1">
      <c r="A25" s="2" t="s">
        <v>85</v>
      </c>
      <c r="B25" s="23">
        <v>46235.0</v>
      </c>
      <c r="C25" s="9"/>
      <c r="D25" s="9">
        <v>7000.0</v>
      </c>
      <c r="E25" s="38"/>
    </row>
    <row r="26" ht="14.25" customHeight="1">
      <c r="A26" s="2" t="s">
        <v>86</v>
      </c>
      <c r="B26" s="23">
        <v>46238.0</v>
      </c>
      <c r="C26" s="9"/>
      <c r="D26" s="9">
        <v>5680.0</v>
      </c>
      <c r="E26" s="38"/>
    </row>
    <row r="27" ht="14.25" customHeight="1">
      <c r="A27" s="2" t="s">
        <v>87</v>
      </c>
      <c r="B27" s="23">
        <v>46266.0</v>
      </c>
      <c r="C27" s="9"/>
      <c r="D27" s="9">
        <v>7000.0</v>
      </c>
      <c r="E27" s="38"/>
    </row>
    <row r="28" ht="14.25" customHeight="1">
      <c r="A28" s="2" t="s">
        <v>88</v>
      </c>
      <c r="B28" s="23">
        <v>46269.0</v>
      </c>
      <c r="C28" s="9"/>
      <c r="D28" s="9">
        <v>5680.0</v>
      </c>
      <c r="E28" s="38"/>
    </row>
    <row r="29" ht="14.25" customHeight="1">
      <c r="A29" s="2" t="s">
        <v>89</v>
      </c>
      <c r="B29" s="23">
        <v>46297.0</v>
      </c>
      <c r="C29" s="9"/>
      <c r="D29" s="9">
        <v>7000.0</v>
      </c>
      <c r="E29" s="38"/>
    </row>
    <row r="30" ht="14.25" customHeight="1">
      <c r="A30" s="2" t="s">
        <v>90</v>
      </c>
      <c r="B30" s="23">
        <v>46300.0</v>
      </c>
      <c r="C30" s="9"/>
      <c r="D30" s="9">
        <v>5680.0</v>
      </c>
      <c r="E30" s="38"/>
    </row>
    <row r="31" ht="14.25" customHeight="1">
      <c r="A31" s="2" t="s">
        <v>91</v>
      </c>
      <c r="B31" s="23">
        <v>46328.0</v>
      </c>
      <c r="C31" s="9"/>
      <c r="D31" s="9">
        <v>7000.0</v>
      </c>
      <c r="E31" s="38"/>
    </row>
    <row r="32" ht="14.25" customHeight="1">
      <c r="A32" s="2" t="s">
        <v>92</v>
      </c>
      <c r="B32" s="23">
        <v>46331.0</v>
      </c>
      <c r="C32" s="9"/>
      <c r="D32" s="9">
        <v>5680.0</v>
      </c>
      <c r="E32" s="38"/>
    </row>
    <row r="33" ht="14.25" customHeight="1">
      <c r="A33" s="2" t="s">
        <v>93</v>
      </c>
      <c r="B33" s="23">
        <v>46359.0</v>
      </c>
      <c r="C33" s="9"/>
      <c r="D33" s="9">
        <v>7000.0</v>
      </c>
      <c r="E33" s="38"/>
    </row>
    <row r="34" ht="14.25" customHeight="1">
      <c r="A34" s="2" t="s">
        <v>94</v>
      </c>
      <c r="B34" s="23">
        <v>46362.0</v>
      </c>
      <c r="C34" s="9"/>
      <c r="D34" s="9">
        <v>5680.0</v>
      </c>
      <c r="E34" s="38"/>
    </row>
    <row r="35" ht="14.25" customHeight="1">
      <c r="A35" s="2" t="s">
        <v>95</v>
      </c>
      <c r="B35" s="23">
        <v>46390.0</v>
      </c>
      <c r="C35" s="9"/>
      <c r="D35" s="9">
        <v>7000.0</v>
      </c>
      <c r="E35" s="38"/>
    </row>
    <row r="36" ht="14.25" customHeight="1">
      <c r="A36" s="2" t="s">
        <v>96</v>
      </c>
      <c r="B36" s="23">
        <v>46393.0</v>
      </c>
      <c r="C36" s="9"/>
      <c r="D36" s="9">
        <v>5680.0</v>
      </c>
      <c r="E36" s="38"/>
    </row>
    <row r="37" ht="14.25" customHeight="1">
      <c r="A37" s="2" t="s">
        <v>97</v>
      </c>
      <c r="B37" s="23">
        <v>46421.0</v>
      </c>
      <c r="C37" s="9"/>
      <c r="D37" s="9">
        <v>7000.0</v>
      </c>
      <c r="E37" s="38"/>
    </row>
    <row r="38" ht="14.25" customHeight="1">
      <c r="A38" s="2" t="s">
        <v>98</v>
      </c>
      <c r="B38" s="23">
        <v>46424.0</v>
      </c>
      <c r="C38" s="9"/>
      <c r="D38" s="9">
        <v>5680.0</v>
      </c>
      <c r="E38" s="38"/>
    </row>
    <row r="39" ht="14.25" customHeight="1">
      <c r="A39" s="2" t="s">
        <v>99</v>
      </c>
      <c r="B39" s="23">
        <v>46449.0</v>
      </c>
      <c r="C39" s="9"/>
      <c r="D39" s="9">
        <v>7000.0</v>
      </c>
      <c r="E39" s="38"/>
    </row>
    <row r="40" ht="14.25" customHeight="1">
      <c r="A40" s="2" t="s">
        <v>100</v>
      </c>
      <c r="B40" s="23">
        <v>46452.0</v>
      </c>
      <c r="C40" s="9"/>
      <c r="D40" s="9">
        <v>5680.0</v>
      </c>
      <c r="E40" s="38"/>
    </row>
    <row r="41" ht="14.25" customHeight="1">
      <c r="A41" s="2"/>
      <c r="B41" s="23"/>
      <c r="C41" s="9"/>
      <c r="D41" s="9"/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B239" s="23"/>
      <c r="E239" s="36"/>
    </row>
    <row r="240" ht="14.25" customHeight="1">
      <c r="B240" s="23"/>
      <c r="E240" s="36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40">
    <sortState ref="A1:E40">
      <sortCondition ref="B1:B40"/>
      <sortCondition ref="A1:A40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101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102</v>
      </c>
    </row>
    <row r="2" ht="15.75" customHeight="1">
      <c r="J2" s="47" t="s">
        <v>103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104</v>
      </c>
      <c r="B3" s="49" t="s">
        <v>105</v>
      </c>
      <c r="C3" s="49" t="s">
        <v>106</v>
      </c>
      <c r="D3" s="49" t="s">
        <v>107</v>
      </c>
      <c r="E3" s="49" t="s">
        <v>108</v>
      </c>
      <c r="F3" s="49" t="s">
        <v>109</v>
      </c>
      <c r="G3" s="49" t="s">
        <v>110</v>
      </c>
      <c r="J3" s="50" t="s">
        <v>111</v>
      </c>
      <c r="K3" s="51">
        <f>SUM(B4:B123)</f>
        <v>210236.61</v>
      </c>
      <c r="M3" s="8" t="s">
        <v>112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113</v>
      </c>
      <c r="K4" s="51">
        <f>SUM(C4:C123)</f>
        <v>211129.41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114</v>
      </c>
      <c r="K5" s="51">
        <f>SUMIFS(D4:D123,A4:A123,"&lt;="&amp;EOMONTH(TODAY(),0)+1-1,A4:A123,"&lt;&gt;")</f>
        <v>14794.36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19882.49</v>
      </c>
      <c r="C6" s="53">
        <f>IF($A6="","",SUMIFS('Inventário de Lotes'!$D:$D,'Inventário de Lotes'!$B:$B,"&gt;="&amp;$A6,'Inventário de Lotes'!$B:$B,"&lt;"&amp;EDATE($A6,1)))</f>
        <v>17162.38</v>
      </c>
      <c r="D6" s="53">
        <f t="shared" si="1"/>
        <v>-2720.11</v>
      </c>
      <c r="E6" s="54">
        <f>IF($A6="","",COUNTIFS('Todos os Gastos'!$A:$A,"&gt;="&amp;$A6,'Todos os Gastos'!$A:$A,"&lt;"&amp;EDATE($A6,1)))</f>
        <v>27</v>
      </c>
      <c r="F6" s="54">
        <f>IF($A6="","",COUNTIFS('Inventário de Lotes'!$B:$B,"&gt;="&amp;$A6,'Inventário de Lotes'!$B:$B,"&lt;"&amp;EDATE($A6,1)))</f>
        <v>4</v>
      </c>
      <c r="G6" s="53">
        <f t="shared" si="2"/>
        <v>14794.36</v>
      </c>
      <c r="J6" s="50" t="s">
        <v>115</v>
      </c>
      <c r="K6" s="51">
        <f>G17</f>
        <v>892.8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16840.25</v>
      </c>
      <c r="J7" s="50" t="s">
        <v>116</v>
      </c>
      <c r="K7" s="51">
        <f>SUMIFS(D4:D123,A4:A123,"&gt;="&amp;EOMONTH(TODAY(),-1)+1,A4:A123,"&lt;"&amp;EDATE(EOMONTH(TODAY(),-1)+1,1))</f>
        <v>-2720.11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17476.07</v>
      </c>
      <c r="J8" s="50" t="s">
        <v>117</v>
      </c>
      <c r="K8" s="51">
        <f>AVERAGEIF(D4:D123,"&lt;&gt;",D4:D123)</f>
        <v>63.77142857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16891.89</v>
      </c>
      <c r="J9" s="50" t="s">
        <v>118</v>
      </c>
      <c r="K9" s="51">
        <f>MAX(B4:B123)</f>
        <v>19882.49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15747.71</v>
      </c>
      <c r="J10" s="50" t="s">
        <v>119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13953.53</v>
      </c>
      <c r="J11" s="50" t="s">
        <v>120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12559.55</v>
      </c>
      <c r="J12" s="50" t="s">
        <v>121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11665.37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7251.19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7342.34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4286.39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892.8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122</v>
      </c>
      <c r="B1" s="60" t="s">
        <v>123</v>
      </c>
      <c r="C1" s="60" t="s">
        <v>124</v>
      </c>
      <c r="D1" s="60" t="s">
        <v>125</v>
      </c>
      <c r="E1" s="60" t="s">
        <v>126</v>
      </c>
      <c r="F1" s="60" t="s">
        <v>127</v>
      </c>
      <c r="G1" s="60" t="s">
        <v>128</v>
      </c>
      <c r="H1" s="60" t="s">
        <v>129</v>
      </c>
      <c r="I1" s="60" t="s">
        <v>130</v>
      </c>
      <c r="J1" s="60" t="s">
        <v>131</v>
      </c>
      <c r="K1" s="60" t="s">
        <v>132</v>
      </c>
      <c r="L1" s="60" t="s">
        <v>133</v>
      </c>
      <c r="M1" s="60" t="s">
        <v>134</v>
      </c>
      <c r="N1" s="60" t="s">
        <v>135</v>
      </c>
      <c r="O1" s="60" t="s">
        <v>136</v>
      </c>
      <c r="P1" s="60" t="s">
        <v>137</v>
      </c>
      <c r="Q1" s="60" t="s">
        <v>138</v>
      </c>
      <c r="R1" s="60" t="s">
        <v>139</v>
      </c>
      <c r="S1" s="60" t="s">
        <v>140</v>
      </c>
      <c r="T1" s="60" t="s">
        <v>141</v>
      </c>
      <c r="U1" s="60" t="s">
        <v>142</v>
      </c>
      <c r="V1" s="60" t="s">
        <v>143</v>
      </c>
      <c r="W1" s="60" t="s">
        <v>144</v>
      </c>
      <c r="X1" s="60" t="s">
        <v>145</v>
      </c>
      <c r="Y1" s="60" t="s">
        <v>146</v>
      </c>
      <c r="Z1" s="60" t="s">
        <v>147</v>
      </c>
      <c r="AA1" s="61" t="s">
        <v>148</v>
      </c>
      <c r="AB1" s="61" t="s">
        <v>149</v>
      </c>
      <c r="AC1" s="61" t="s">
        <v>150</v>
      </c>
      <c r="AD1" s="61" t="s">
        <v>151</v>
      </c>
      <c r="AE1" s="61" t="s">
        <v>152</v>
      </c>
      <c r="AF1" s="61" t="s">
        <v>153</v>
      </c>
      <c r="AG1" s="61" t="s">
        <v>154</v>
      </c>
      <c r="AH1" s="61" t="s">
        <v>155</v>
      </c>
      <c r="AI1" s="61" t="s">
        <v>156</v>
      </c>
      <c r="AJ1" s="61" t="s">
        <v>157</v>
      </c>
      <c r="AK1" s="61" t="s">
        <v>158</v>
      </c>
      <c r="AL1" s="62" t="s">
        <v>159</v>
      </c>
      <c r="AM1" s="62" t="s">
        <v>160</v>
      </c>
      <c r="AN1" s="62" t="s">
        <v>161</v>
      </c>
      <c r="AO1" s="62" t="s">
        <v>162</v>
      </c>
      <c r="AP1" s="62" t="s">
        <v>163</v>
      </c>
      <c r="AQ1" s="62" t="s">
        <v>164</v>
      </c>
      <c r="AR1" s="62" t="s">
        <v>165</v>
      </c>
      <c r="AS1" s="62" t="s">
        <v>166</v>
      </c>
      <c r="AT1" s="62" t="s">
        <v>167</v>
      </c>
      <c r="AU1" s="62" t="s">
        <v>168</v>
      </c>
      <c r="AV1" s="62" t="s">
        <v>169</v>
      </c>
      <c r="AW1" s="62" t="s">
        <v>170</v>
      </c>
    </row>
    <row r="2">
      <c r="A2" s="42" t="s">
        <v>171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172</v>
      </c>
      <c r="H2" s="63" t="s">
        <v>173</v>
      </c>
      <c r="I2" s="64"/>
      <c r="J2" s="42" t="s">
        <v>174</v>
      </c>
      <c r="K2" s="42" t="s">
        <v>175</v>
      </c>
      <c r="L2" s="65"/>
      <c r="M2" s="65"/>
      <c r="N2" s="65"/>
      <c r="O2" s="65"/>
      <c r="P2" s="42" t="s">
        <v>172</v>
      </c>
      <c r="Q2" s="42" t="s">
        <v>176</v>
      </c>
      <c r="R2" s="42" t="s">
        <v>172</v>
      </c>
      <c r="S2" s="42" t="s">
        <v>177</v>
      </c>
      <c r="T2" s="42" t="s">
        <v>178</v>
      </c>
      <c r="U2" s="64"/>
      <c r="V2" s="42" t="s">
        <v>179</v>
      </c>
      <c r="W2" s="64"/>
      <c r="X2" s="66" t="s">
        <v>180</v>
      </c>
      <c r="Y2" s="67" t="s">
        <v>181</v>
      </c>
      <c r="Z2" s="66" t="s">
        <v>182</v>
      </c>
      <c r="AA2" s="68" t="s">
        <v>174</v>
      </c>
      <c r="AB2" s="68" t="s">
        <v>183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184</v>
      </c>
      <c r="AQ2" s="68" t="s">
        <v>185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186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172</v>
      </c>
      <c r="H3" s="63" t="s">
        <v>187</v>
      </c>
      <c r="I3" s="64"/>
      <c r="J3" s="42" t="s">
        <v>172</v>
      </c>
      <c r="K3" s="42" t="s">
        <v>188</v>
      </c>
      <c r="L3" s="64"/>
      <c r="M3" s="64"/>
      <c r="N3" s="64"/>
      <c r="O3" s="64"/>
      <c r="P3" s="42" t="s">
        <v>174</v>
      </c>
      <c r="Q3" s="42" t="s">
        <v>189</v>
      </c>
      <c r="R3" s="42" t="s">
        <v>174</v>
      </c>
      <c r="S3" s="42" t="s">
        <v>190</v>
      </c>
      <c r="T3" s="72" t="s">
        <v>191</v>
      </c>
      <c r="U3" s="64"/>
      <c r="V3" s="42" t="s">
        <v>179</v>
      </c>
      <c r="W3" s="64"/>
      <c r="X3" s="66" t="s">
        <v>180</v>
      </c>
      <c r="Y3" s="73" t="s">
        <v>192</v>
      </c>
      <c r="Z3" s="66" t="s">
        <v>182</v>
      </c>
      <c r="AA3" s="68" t="s">
        <v>172</v>
      </c>
      <c r="AB3" s="68" t="s">
        <v>193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194</v>
      </c>
      <c r="AQ3" s="68" t="s">
        <v>195</v>
      </c>
      <c r="AR3" s="75"/>
      <c r="AS3" s="74"/>
      <c r="AT3" s="75"/>
      <c r="AU3" s="75"/>
      <c r="AV3" s="74"/>
      <c r="AW3" s="74"/>
    </row>
    <row r="4">
      <c r="A4" s="42" t="s">
        <v>196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172</v>
      </c>
      <c r="H4" s="63" t="s">
        <v>187</v>
      </c>
      <c r="I4" s="64"/>
      <c r="J4" s="42" t="s">
        <v>172</v>
      </c>
      <c r="K4" s="42" t="s">
        <v>188</v>
      </c>
      <c r="L4" s="64"/>
      <c r="M4" s="64"/>
      <c r="N4" s="64"/>
      <c r="O4" s="64"/>
      <c r="P4" s="42" t="s">
        <v>174</v>
      </c>
      <c r="Q4" s="42" t="s">
        <v>189</v>
      </c>
      <c r="R4" s="42" t="s">
        <v>174</v>
      </c>
      <c r="S4" s="42" t="s">
        <v>190</v>
      </c>
      <c r="T4" s="72" t="s">
        <v>191</v>
      </c>
      <c r="U4" s="64"/>
      <c r="V4" s="42" t="s">
        <v>179</v>
      </c>
      <c r="W4" s="64"/>
      <c r="X4" s="66" t="s">
        <v>180</v>
      </c>
      <c r="Y4" s="73" t="s">
        <v>192</v>
      </c>
      <c r="Z4" s="66" t="s">
        <v>182</v>
      </c>
      <c r="AA4" s="68" t="s">
        <v>172</v>
      </c>
      <c r="AB4" s="68" t="s">
        <v>193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194</v>
      </c>
      <c r="AQ4" s="68" t="s">
        <v>195</v>
      </c>
      <c r="AR4" s="75"/>
      <c r="AS4" s="74"/>
      <c r="AT4" s="75"/>
      <c r="AU4" s="75"/>
      <c r="AV4" s="74"/>
      <c r="AW4" s="74"/>
    </row>
    <row r="5">
      <c r="A5" s="42" t="s">
        <v>197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172</v>
      </c>
      <c r="H5" s="63" t="s">
        <v>173</v>
      </c>
      <c r="I5" s="64"/>
      <c r="J5" s="42" t="s">
        <v>174</v>
      </c>
      <c r="K5" s="42" t="s">
        <v>188</v>
      </c>
      <c r="L5" s="65"/>
      <c r="M5" s="65"/>
      <c r="N5" s="65"/>
      <c r="O5" s="65"/>
      <c r="P5" s="42" t="s">
        <v>172</v>
      </c>
      <c r="Q5" s="42" t="s">
        <v>189</v>
      </c>
      <c r="R5" s="42" t="s">
        <v>174</v>
      </c>
      <c r="S5" s="42" t="s">
        <v>198</v>
      </c>
      <c r="T5" s="42" t="s">
        <v>199</v>
      </c>
      <c r="U5" s="64"/>
      <c r="V5" s="42" t="s">
        <v>200</v>
      </c>
      <c r="W5" s="64"/>
      <c r="X5" s="66" t="s">
        <v>180</v>
      </c>
      <c r="Y5" s="67" t="s">
        <v>181</v>
      </c>
      <c r="Z5" s="66" t="s">
        <v>182</v>
      </c>
      <c r="AA5" s="68" t="s">
        <v>174</v>
      </c>
      <c r="AB5" s="68" t="s">
        <v>183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194</v>
      </c>
      <c r="AQ5" s="68" t="s">
        <v>195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201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172</v>
      </c>
      <c r="H6" s="63" t="s">
        <v>173</v>
      </c>
      <c r="I6" s="64"/>
      <c r="J6" s="42" t="s">
        <v>174</v>
      </c>
      <c r="K6" s="42" t="s">
        <v>188</v>
      </c>
      <c r="L6" s="65"/>
      <c r="M6" s="65"/>
      <c r="N6" s="65"/>
      <c r="O6" s="65"/>
      <c r="P6" s="42" t="s">
        <v>172</v>
      </c>
      <c r="Q6" s="42" t="s">
        <v>189</v>
      </c>
      <c r="R6" s="42" t="s">
        <v>174</v>
      </c>
      <c r="S6" s="42" t="s">
        <v>202</v>
      </c>
      <c r="T6" s="42" t="s">
        <v>199</v>
      </c>
      <c r="U6" s="64"/>
      <c r="V6" s="42" t="s">
        <v>203</v>
      </c>
      <c r="W6" s="64"/>
      <c r="X6" s="66" t="s">
        <v>180</v>
      </c>
      <c r="Y6" s="67" t="s">
        <v>181</v>
      </c>
      <c r="Z6" s="66" t="s">
        <v>182</v>
      </c>
      <c r="AA6" s="68" t="s">
        <v>174</v>
      </c>
      <c r="AB6" s="68" t="s">
        <v>183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194</v>
      </c>
      <c r="AQ6" s="68" t="s">
        <v>195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204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172</v>
      </c>
      <c r="H7" s="63" t="s">
        <v>173</v>
      </c>
      <c r="I7" s="64"/>
      <c r="J7" s="42" t="s">
        <v>174</v>
      </c>
      <c r="K7" s="42" t="s">
        <v>188</v>
      </c>
      <c r="L7" s="65"/>
      <c r="M7" s="65"/>
      <c r="N7" s="65"/>
      <c r="O7" s="65"/>
      <c r="P7" s="42" t="s">
        <v>172</v>
      </c>
      <c r="Q7" s="42" t="s">
        <v>189</v>
      </c>
      <c r="R7" s="42" t="s">
        <v>174</v>
      </c>
      <c r="S7" s="42" t="s">
        <v>205</v>
      </c>
      <c r="T7" s="42" t="s">
        <v>199</v>
      </c>
      <c r="U7" s="64"/>
      <c r="V7" s="42" t="s">
        <v>200</v>
      </c>
      <c r="W7" s="64"/>
      <c r="X7" s="66" t="s">
        <v>180</v>
      </c>
      <c r="Y7" s="67" t="s">
        <v>181</v>
      </c>
      <c r="Z7" s="66" t="s">
        <v>182</v>
      </c>
      <c r="AA7" s="68" t="s">
        <v>174</v>
      </c>
      <c r="AB7" s="68" t="s">
        <v>183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194</v>
      </c>
      <c r="AQ7" s="68" t="s">
        <v>195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206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172</v>
      </c>
      <c r="H8" s="63" t="s">
        <v>173</v>
      </c>
      <c r="I8" s="64"/>
      <c r="J8" s="42" t="s">
        <v>174</v>
      </c>
      <c r="K8" s="42" t="s">
        <v>188</v>
      </c>
      <c r="L8" s="65"/>
      <c r="M8" s="65"/>
      <c r="N8" s="65"/>
      <c r="O8" s="65"/>
      <c r="P8" s="42" t="s">
        <v>172</v>
      </c>
      <c r="Q8" s="42" t="s">
        <v>189</v>
      </c>
      <c r="R8" s="42" t="s">
        <v>174</v>
      </c>
      <c r="S8" s="42" t="s">
        <v>205</v>
      </c>
      <c r="T8" s="42" t="s">
        <v>199</v>
      </c>
      <c r="U8" s="64"/>
      <c r="V8" s="42" t="s">
        <v>200</v>
      </c>
      <c r="W8" s="64"/>
      <c r="X8" s="66" t="s">
        <v>180</v>
      </c>
      <c r="Y8" s="67" t="s">
        <v>181</v>
      </c>
      <c r="Z8" s="66" t="s">
        <v>182</v>
      </c>
      <c r="AA8" s="68" t="s">
        <v>174</v>
      </c>
      <c r="AB8" s="68" t="s">
        <v>183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194</v>
      </c>
      <c r="AQ8" s="68" t="s">
        <v>195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207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172</v>
      </c>
      <c r="H9" s="63" t="s">
        <v>173</v>
      </c>
      <c r="I9" s="64"/>
      <c r="J9" s="42" t="s">
        <v>174</v>
      </c>
      <c r="K9" s="42" t="s">
        <v>188</v>
      </c>
      <c r="L9" s="65"/>
      <c r="M9" s="65"/>
      <c r="N9" s="65"/>
      <c r="O9" s="65"/>
      <c r="P9" s="42" t="s">
        <v>172</v>
      </c>
      <c r="Q9" s="42" t="s">
        <v>189</v>
      </c>
      <c r="R9" s="42" t="s">
        <v>174</v>
      </c>
      <c r="S9" s="42" t="s">
        <v>202</v>
      </c>
      <c r="T9" s="42" t="s">
        <v>199</v>
      </c>
      <c r="U9" s="64"/>
      <c r="V9" s="42" t="s">
        <v>203</v>
      </c>
      <c r="W9" s="64"/>
      <c r="X9" s="66" t="s">
        <v>180</v>
      </c>
      <c r="Y9" s="67" t="s">
        <v>181</v>
      </c>
      <c r="Z9" s="66" t="s">
        <v>182</v>
      </c>
      <c r="AA9" s="68" t="s">
        <v>174</v>
      </c>
      <c r="AB9" s="68" t="s">
        <v>183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194</v>
      </c>
      <c r="AQ9" s="68" t="s">
        <v>195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208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172</v>
      </c>
      <c r="H10" s="63" t="s">
        <v>173</v>
      </c>
      <c r="I10" s="64"/>
      <c r="J10" s="42" t="s">
        <v>174</v>
      </c>
      <c r="K10" s="42" t="s">
        <v>188</v>
      </c>
      <c r="L10" s="65"/>
      <c r="M10" s="65"/>
      <c r="N10" s="65"/>
      <c r="O10" s="65"/>
      <c r="P10" s="42" t="s">
        <v>172</v>
      </c>
      <c r="Q10" s="42" t="s">
        <v>189</v>
      </c>
      <c r="R10" s="42" t="s">
        <v>174</v>
      </c>
      <c r="S10" s="42" t="s">
        <v>202</v>
      </c>
      <c r="T10" s="42" t="s">
        <v>199</v>
      </c>
      <c r="U10" s="64"/>
      <c r="V10" s="42" t="s">
        <v>203</v>
      </c>
      <c r="W10" s="64"/>
      <c r="X10" s="66" t="s">
        <v>180</v>
      </c>
      <c r="Y10" s="67" t="s">
        <v>181</v>
      </c>
      <c r="Z10" s="66" t="s">
        <v>182</v>
      </c>
      <c r="AA10" s="68" t="s">
        <v>174</v>
      </c>
      <c r="AB10" s="68" t="s">
        <v>183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194</v>
      </c>
      <c r="AQ10" s="68" t="s">
        <v>195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209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172</v>
      </c>
      <c r="H11" s="72" t="s">
        <v>210</v>
      </c>
      <c r="I11" s="64"/>
      <c r="J11" s="42" t="s">
        <v>174</v>
      </c>
      <c r="K11" s="42" t="s">
        <v>188</v>
      </c>
      <c r="L11" s="65"/>
      <c r="M11" s="65"/>
      <c r="N11" s="65"/>
      <c r="O11" s="65"/>
      <c r="P11" s="42" t="s">
        <v>172</v>
      </c>
      <c r="Q11" s="42" t="s">
        <v>189</v>
      </c>
      <c r="R11" s="42" t="s">
        <v>174</v>
      </c>
      <c r="S11" s="42" t="s">
        <v>211</v>
      </c>
      <c r="T11" s="42" t="s">
        <v>199</v>
      </c>
      <c r="U11" s="64"/>
      <c r="V11" s="42" t="s">
        <v>200</v>
      </c>
      <c r="W11" s="64"/>
      <c r="X11" s="66" t="s">
        <v>180</v>
      </c>
      <c r="Y11" s="67" t="s">
        <v>181</v>
      </c>
      <c r="Z11" s="66" t="s">
        <v>182</v>
      </c>
      <c r="AA11" s="68" t="s">
        <v>174</v>
      </c>
      <c r="AB11" s="68" t="s">
        <v>183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194</v>
      </c>
      <c r="AQ11" s="68" t="s">
        <v>195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212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172</v>
      </c>
      <c r="H12" s="72" t="s">
        <v>213</v>
      </c>
      <c r="I12" s="64"/>
      <c r="J12" s="42" t="s">
        <v>174</v>
      </c>
      <c r="K12" s="42" t="s">
        <v>188</v>
      </c>
      <c r="L12" s="65"/>
      <c r="M12" s="65"/>
      <c r="N12" s="65"/>
      <c r="O12" s="65"/>
      <c r="P12" s="42" t="s">
        <v>172</v>
      </c>
      <c r="Q12" s="42" t="s">
        <v>214</v>
      </c>
      <c r="R12" s="42" t="s">
        <v>174</v>
      </c>
      <c r="S12" s="42" t="s">
        <v>215</v>
      </c>
      <c r="T12" s="42" t="s">
        <v>199</v>
      </c>
      <c r="U12" s="64"/>
      <c r="V12" s="42" t="s">
        <v>200</v>
      </c>
      <c r="W12" s="64"/>
      <c r="X12" s="66" t="s">
        <v>180</v>
      </c>
      <c r="Y12" s="67" t="s">
        <v>181</v>
      </c>
      <c r="Z12" s="66" t="s">
        <v>182</v>
      </c>
      <c r="AA12" s="68" t="s">
        <v>174</v>
      </c>
      <c r="AB12" s="68" t="s">
        <v>183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194</v>
      </c>
      <c r="AQ12" s="68" t="s">
        <v>195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216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172</v>
      </c>
      <c r="H13" s="72" t="s">
        <v>213</v>
      </c>
      <c r="I13" s="64"/>
      <c r="J13" s="42" t="s">
        <v>174</v>
      </c>
      <c r="K13" s="42" t="s">
        <v>188</v>
      </c>
      <c r="L13" s="65"/>
      <c r="M13" s="65"/>
      <c r="N13" s="65"/>
      <c r="O13" s="65"/>
      <c r="P13" s="42" t="s">
        <v>172</v>
      </c>
      <c r="Q13" s="42" t="s">
        <v>214</v>
      </c>
      <c r="R13" s="42" t="s">
        <v>174</v>
      </c>
      <c r="S13" s="42" t="s">
        <v>217</v>
      </c>
      <c r="T13" s="42" t="s">
        <v>199</v>
      </c>
      <c r="U13" s="64"/>
      <c r="V13" s="42" t="s">
        <v>200</v>
      </c>
      <c r="W13" s="64"/>
      <c r="X13" s="66" t="s">
        <v>180</v>
      </c>
      <c r="Y13" s="67" t="s">
        <v>181</v>
      </c>
      <c r="Z13" s="66" t="s">
        <v>182</v>
      </c>
      <c r="AA13" s="68" t="s">
        <v>174</v>
      </c>
      <c r="AB13" s="68" t="s">
        <v>183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194</v>
      </c>
      <c r="AQ13" s="68" t="s">
        <v>195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218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172</v>
      </c>
      <c r="H14" s="63" t="s">
        <v>219</v>
      </c>
      <c r="I14" s="64"/>
      <c r="J14" s="42" t="s">
        <v>174</v>
      </c>
      <c r="K14" s="42" t="s">
        <v>188</v>
      </c>
      <c r="L14" s="65"/>
      <c r="M14" s="65"/>
      <c r="N14" s="65"/>
      <c r="O14" s="65"/>
      <c r="P14" s="42" t="s">
        <v>172</v>
      </c>
      <c r="Q14" s="42" t="s">
        <v>220</v>
      </c>
      <c r="R14" s="42" t="s">
        <v>174</v>
      </c>
      <c r="S14" s="42" t="s">
        <v>221</v>
      </c>
      <c r="T14" s="42" t="s">
        <v>199</v>
      </c>
      <c r="U14" s="64"/>
      <c r="V14" s="42" t="s">
        <v>200</v>
      </c>
      <c r="W14" s="64"/>
      <c r="X14" s="76" t="s">
        <v>222</v>
      </c>
      <c r="Y14" s="67" t="s">
        <v>181</v>
      </c>
      <c r="Z14" s="76" t="s">
        <v>223</v>
      </c>
      <c r="AA14" s="68" t="s">
        <v>174</v>
      </c>
      <c r="AB14" s="68" t="s">
        <v>224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194</v>
      </c>
      <c r="AQ14" s="68" t="s">
        <v>195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225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172</v>
      </c>
      <c r="H15" s="63" t="s">
        <v>219</v>
      </c>
      <c r="I15" s="64"/>
      <c r="J15" s="42" t="s">
        <v>174</v>
      </c>
      <c r="K15" s="42" t="s">
        <v>188</v>
      </c>
      <c r="L15" s="65"/>
      <c r="M15" s="65"/>
      <c r="N15" s="65"/>
      <c r="O15" s="65"/>
      <c r="P15" s="42" t="s">
        <v>172</v>
      </c>
      <c r="Q15" s="42" t="s">
        <v>226</v>
      </c>
      <c r="R15" s="42" t="s">
        <v>174</v>
      </c>
      <c r="S15" s="42" t="s">
        <v>202</v>
      </c>
      <c r="T15" s="42" t="s">
        <v>199</v>
      </c>
      <c r="U15" s="64"/>
      <c r="V15" s="42" t="s">
        <v>203</v>
      </c>
      <c r="W15" s="64"/>
      <c r="X15" s="66" t="s">
        <v>180</v>
      </c>
      <c r="Y15" s="67" t="s">
        <v>181</v>
      </c>
      <c r="Z15" s="66" t="s">
        <v>182</v>
      </c>
      <c r="AA15" s="68" t="s">
        <v>174</v>
      </c>
      <c r="AB15" s="68" t="s">
        <v>183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194</v>
      </c>
      <c r="AQ15" s="68" t="s">
        <v>195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227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172</v>
      </c>
      <c r="H16" s="63" t="s">
        <v>219</v>
      </c>
      <c r="I16" s="64"/>
      <c r="J16" s="42" t="s">
        <v>174</v>
      </c>
      <c r="K16" s="42" t="s">
        <v>188</v>
      </c>
      <c r="L16" s="65"/>
      <c r="M16" s="65"/>
      <c r="N16" s="65"/>
      <c r="O16" s="65"/>
      <c r="P16" s="42" t="s">
        <v>172</v>
      </c>
      <c r="Q16" s="42" t="s">
        <v>226</v>
      </c>
      <c r="R16" s="42" t="s">
        <v>174</v>
      </c>
      <c r="S16" s="42" t="s">
        <v>205</v>
      </c>
      <c r="T16" s="42" t="s">
        <v>199</v>
      </c>
      <c r="U16" s="64"/>
      <c r="V16" s="42" t="s">
        <v>200</v>
      </c>
      <c r="W16" s="64"/>
      <c r="X16" s="66" t="s">
        <v>180</v>
      </c>
      <c r="Y16" s="67" t="s">
        <v>181</v>
      </c>
      <c r="Z16" s="66" t="s">
        <v>182</v>
      </c>
      <c r="AA16" s="68" t="s">
        <v>174</v>
      </c>
      <c r="AB16" s="68" t="s">
        <v>183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194</v>
      </c>
      <c r="AQ16" s="68" t="s">
        <v>195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228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172</v>
      </c>
      <c r="H17" s="63" t="s">
        <v>219</v>
      </c>
      <c r="I17" s="64"/>
      <c r="J17" s="42" t="s">
        <v>174</v>
      </c>
      <c r="K17" s="42" t="s">
        <v>188</v>
      </c>
      <c r="L17" s="65"/>
      <c r="M17" s="65"/>
      <c r="N17" s="65"/>
      <c r="O17" s="65"/>
      <c r="P17" s="42" t="s">
        <v>172</v>
      </c>
      <c r="Q17" s="42" t="s">
        <v>226</v>
      </c>
      <c r="R17" s="42" t="s">
        <v>174</v>
      </c>
      <c r="S17" s="42" t="s">
        <v>202</v>
      </c>
      <c r="T17" s="42" t="s">
        <v>199</v>
      </c>
      <c r="U17" s="64"/>
      <c r="V17" s="42" t="s">
        <v>203</v>
      </c>
      <c r="W17" s="64"/>
      <c r="X17" s="66" t="s">
        <v>180</v>
      </c>
      <c r="Y17" s="67" t="s">
        <v>181</v>
      </c>
      <c r="Z17" s="66" t="s">
        <v>182</v>
      </c>
      <c r="AA17" s="68" t="s">
        <v>174</v>
      </c>
      <c r="AB17" s="68" t="s">
        <v>183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194</v>
      </c>
      <c r="AQ17" s="68" t="s">
        <v>195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229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172</v>
      </c>
      <c r="H18" s="63" t="s">
        <v>219</v>
      </c>
      <c r="I18" s="64"/>
      <c r="J18" s="42" t="s">
        <v>174</v>
      </c>
      <c r="K18" s="42" t="s">
        <v>188</v>
      </c>
      <c r="L18" s="65"/>
      <c r="M18" s="65"/>
      <c r="N18" s="65"/>
      <c r="O18" s="65"/>
      <c r="P18" s="42" t="s">
        <v>172</v>
      </c>
      <c r="Q18" s="42" t="s">
        <v>226</v>
      </c>
      <c r="R18" s="42" t="s">
        <v>174</v>
      </c>
      <c r="S18" s="42" t="s">
        <v>205</v>
      </c>
      <c r="T18" s="42" t="s">
        <v>199</v>
      </c>
      <c r="U18" s="64"/>
      <c r="V18" s="42" t="s">
        <v>200</v>
      </c>
      <c r="W18" s="64"/>
      <c r="X18" s="76" t="s">
        <v>222</v>
      </c>
      <c r="Y18" s="67" t="s">
        <v>181</v>
      </c>
      <c r="Z18" s="76" t="s">
        <v>182</v>
      </c>
      <c r="AA18" s="68" t="s">
        <v>174</v>
      </c>
      <c r="AB18" s="68" t="s">
        <v>183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194</v>
      </c>
      <c r="AQ18" s="68" t="s">
        <v>195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230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172</v>
      </c>
      <c r="H19" s="63" t="s">
        <v>219</v>
      </c>
      <c r="I19" s="64"/>
      <c r="J19" s="42" t="s">
        <v>174</v>
      </c>
      <c r="K19" s="42" t="s">
        <v>188</v>
      </c>
      <c r="L19" s="65"/>
      <c r="M19" s="65"/>
      <c r="N19" s="65"/>
      <c r="O19" s="65"/>
      <c r="P19" s="42" t="s">
        <v>172</v>
      </c>
      <c r="Q19" s="42" t="s">
        <v>231</v>
      </c>
      <c r="R19" s="42" t="s">
        <v>174</v>
      </c>
      <c r="S19" s="42" t="s">
        <v>205</v>
      </c>
      <c r="T19" s="42" t="s">
        <v>199</v>
      </c>
      <c r="U19" s="64"/>
      <c r="V19" s="42" t="s">
        <v>200</v>
      </c>
      <c r="W19" s="64"/>
      <c r="X19" s="66" t="s">
        <v>180</v>
      </c>
      <c r="Y19" s="67" t="s">
        <v>181</v>
      </c>
      <c r="Z19" s="66" t="s">
        <v>182</v>
      </c>
      <c r="AA19" s="68" t="s">
        <v>174</v>
      </c>
      <c r="AB19" s="68" t="s">
        <v>183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194</v>
      </c>
      <c r="AQ19" s="68" t="s">
        <v>195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232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172</v>
      </c>
      <c r="H20" s="63" t="s">
        <v>219</v>
      </c>
      <c r="I20" s="64"/>
      <c r="J20" s="42" t="s">
        <v>174</v>
      </c>
      <c r="K20" s="42" t="s">
        <v>188</v>
      </c>
      <c r="L20" s="65"/>
      <c r="M20" s="65"/>
      <c r="N20" s="65"/>
      <c r="O20" s="65"/>
      <c r="P20" s="42" t="s">
        <v>172</v>
      </c>
      <c r="Q20" s="42" t="s">
        <v>231</v>
      </c>
      <c r="R20" s="42" t="s">
        <v>174</v>
      </c>
      <c r="S20" s="42" t="s">
        <v>205</v>
      </c>
      <c r="T20" s="42" t="s">
        <v>199</v>
      </c>
      <c r="U20" s="64"/>
      <c r="V20" s="42" t="s">
        <v>200</v>
      </c>
      <c r="W20" s="64"/>
      <c r="X20" s="66" t="s">
        <v>180</v>
      </c>
      <c r="Y20" s="67" t="s">
        <v>181</v>
      </c>
      <c r="Z20" s="66" t="s">
        <v>182</v>
      </c>
      <c r="AA20" s="68" t="s">
        <v>174</v>
      </c>
      <c r="AB20" s="68" t="s">
        <v>183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194</v>
      </c>
      <c r="AQ20" s="68" t="s">
        <v>195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233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172</v>
      </c>
      <c r="H21" s="63" t="s">
        <v>219</v>
      </c>
      <c r="I21" s="64"/>
      <c r="J21" s="42" t="s">
        <v>174</v>
      </c>
      <c r="K21" s="42" t="s">
        <v>188</v>
      </c>
      <c r="L21" s="65"/>
      <c r="M21" s="65"/>
      <c r="N21" s="65"/>
      <c r="O21" s="65"/>
      <c r="P21" s="42" t="s">
        <v>172</v>
      </c>
      <c r="Q21" s="42" t="s">
        <v>231</v>
      </c>
      <c r="R21" s="42" t="s">
        <v>174</v>
      </c>
      <c r="S21" s="42" t="s">
        <v>202</v>
      </c>
      <c r="T21" s="42" t="s">
        <v>199</v>
      </c>
      <c r="U21" s="64"/>
      <c r="V21" s="42" t="s">
        <v>203</v>
      </c>
      <c r="W21" s="64"/>
      <c r="X21" s="66" t="s">
        <v>180</v>
      </c>
      <c r="Y21" s="67" t="s">
        <v>181</v>
      </c>
      <c r="Z21" s="66" t="s">
        <v>182</v>
      </c>
      <c r="AA21" s="68" t="s">
        <v>174</v>
      </c>
      <c r="AB21" s="68" t="s">
        <v>183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194</v>
      </c>
      <c r="AQ21" s="68" t="s">
        <v>195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234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172</v>
      </c>
      <c r="H22" s="63" t="s">
        <v>219</v>
      </c>
      <c r="I22" s="64"/>
      <c r="J22" s="42" t="s">
        <v>174</v>
      </c>
      <c r="K22" s="42" t="s">
        <v>188</v>
      </c>
      <c r="L22" s="65"/>
      <c r="M22" s="65"/>
      <c r="N22" s="65"/>
      <c r="O22" s="65"/>
      <c r="P22" s="42" t="s">
        <v>172</v>
      </c>
      <c r="Q22" s="42" t="s">
        <v>231</v>
      </c>
      <c r="R22" s="42" t="s">
        <v>174</v>
      </c>
      <c r="S22" s="42" t="s">
        <v>202</v>
      </c>
      <c r="T22" s="42" t="s">
        <v>199</v>
      </c>
      <c r="U22" s="64"/>
      <c r="V22" s="42" t="s">
        <v>203</v>
      </c>
      <c r="W22" s="64"/>
      <c r="X22" s="66" t="s">
        <v>180</v>
      </c>
      <c r="Y22" s="67" t="s">
        <v>181</v>
      </c>
      <c r="Z22" s="66" t="s">
        <v>182</v>
      </c>
      <c r="AA22" s="68" t="s">
        <v>174</v>
      </c>
      <c r="AB22" s="68" t="s">
        <v>183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194</v>
      </c>
      <c r="AQ22" s="68" t="s">
        <v>195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235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172</v>
      </c>
      <c r="H23" s="63" t="s">
        <v>219</v>
      </c>
      <c r="I23" s="63">
        <v>5.0E8</v>
      </c>
      <c r="J23" s="42" t="s">
        <v>174</v>
      </c>
      <c r="K23" s="42" t="s">
        <v>188</v>
      </c>
      <c r="L23" s="65"/>
      <c r="M23" s="65"/>
      <c r="N23" s="65"/>
      <c r="O23" s="65"/>
      <c r="P23" s="42" t="s">
        <v>172</v>
      </c>
      <c r="Q23" s="42" t="s">
        <v>236</v>
      </c>
      <c r="R23" s="42" t="s">
        <v>174</v>
      </c>
      <c r="S23" s="42" t="s">
        <v>237</v>
      </c>
      <c r="T23" s="42" t="s">
        <v>199</v>
      </c>
      <c r="U23" s="64"/>
      <c r="V23" s="42" t="s">
        <v>179</v>
      </c>
      <c r="W23" s="64"/>
      <c r="X23" s="76" t="s">
        <v>222</v>
      </c>
      <c r="Y23" s="77" t="s">
        <v>238</v>
      </c>
      <c r="Z23" s="76" t="s">
        <v>223</v>
      </c>
      <c r="AA23" s="68" t="s">
        <v>174</v>
      </c>
      <c r="AB23" s="68" t="s">
        <v>224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194</v>
      </c>
      <c r="AQ23" s="68" t="s">
        <v>195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239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172</v>
      </c>
      <c r="H24" s="63" t="s">
        <v>213</v>
      </c>
      <c r="I24" s="64"/>
      <c r="J24" s="42" t="s">
        <v>174</v>
      </c>
      <c r="K24" s="42" t="s">
        <v>188</v>
      </c>
      <c r="L24" s="65"/>
      <c r="M24" s="65"/>
      <c r="N24" s="65"/>
      <c r="O24" s="65"/>
      <c r="P24" s="42" t="s">
        <v>172</v>
      </c>
      <c r="Q24" s="42" t="s">
        <v>240</v>
      </c>
      <c r="R24" s="42" t="s">
        <v>174</v>
      </c>
      <c r="S24" s="42" t="s">
        <v>241</v>
      </c>
      <c r="T24" s="42" t="s">
        <v>242</v>
      </c>
      <c r="U24" s="64"/>
      <c r="V24" s="42" t="s">
        <v>200</v>
      </c>
      <c r="W24" s="64"/>
      <c r="X24" s="66" t="s">
        <v>180</v>
      </c>
      <c r="Y24" s="67" t="s">
        <v>181</v>
      </c>
      <c r="Z24" s="66" t="s">
        <v>182</v>
      </c>
      <c r="AA24" s="68" t="s">
        <v>174</v>
      </c>
      <c r="AB24" s="68" t="s">
        <v>193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194</v>
      </c>
      <c r="AQ24" s="68" t="s">
        <v>195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243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172</v>
      </c>
      <c r="H25" s="63" t="s">
        <v>213</v>
      </c>
      <c r="I25" s="64"/>
      <c r="J25" s="42" t="s">
        <v>174</v>
      </c>
      <c r="K25" s="42" t="s">
        <v>188</v>
      </c>
      <c r="L25" s="65"/>
      <c r="M25" s="65"/>
      <c r="N25" s="65"/>
      <c r="O25" s="65"/>
      <c r="P25" s="42" t="s">
        <v>172</v>
      </c>
      <c r="Q25" s="42" t="s">
        <v>189</v>
      </c>
      <c r="R25" s="42" t="s">
        <v>174</v>
      </c>
      <c r="S25" s="42" t="s">
        <v>244</v>
      </c>
      <c r="T25" s="42" t="s">
        <v>245</v>
      </c>
      <c r="U25" s="64"/>
      <c r="V25" s="42" t="s">
        <v>179</v>
      </c>
      <c r="W25" s="64"/>
      <c r="X25" s="66" t="s">
        <v>180</v>
      </c>
      <c r="Y25" s="67" t="s">
        <v>181</v>
      </c>
      <c r="Z25" s="66" t="s">
        <v>223</v>
      </c>
      <c r="AA25" s="68" t="s">
        <v>174</v>
      </c>
      <c r="AB25" s="68" t="s">
        <v>183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194</v>
      </c>
      <c r="AQ25" s="68" t="s">
        <v>195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246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172</v>
      </c>
      <c r="H26" s="63" t="s">
        <v>247</v>
      </c>
      <c r="I26" s="64"/>
      <c r="J26" s="42" t="s">
        <v>174</v>
      </c>
      <c r="K26" s="42" t="s">
        <v>188</v>
      </c>
      <c r="L26" s="65"/>
      <c r="M26" s="65"/>
      <c r="N26" s="65"/>
      <c r="O26" s="65"/>
      <c r="P26" s="42" t="s">
        <v>172</v>
      </c>
      <c r="Q26" s="42" t="s">
        <v>189</v>
      </c>
      <c r="R26" s="42" t="s">
        <v>174</v>
      </c>
      <c r="S26" s="42" t="s">
        <v>248</v>
      </c>
      <c r="T26" s="42" t="s">
        <v>249</v>
      </c>
      <c r="U26" s="64"/>
      <c r="V26" s="42" t="s">
        <v>179</v>
      </c>
      <c r="W26" s="64"/>
      <c r="X26" s="78" t="s">
        <v>250</v>
      </c>
      <c r="Y26" s="67" t="s">
        <v>181</v>
      </c>
      <c r="Z26" s="78" t="s">
        <v>223</v>
      </c>
      <c r="AA26" s="68" t="s">
        <v>174</v>
      </c>
      <c r="AB26" s="68" t="s">
        <v>251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194</v>
      </c>
      <c r="AQ26" s="68" t="s">
        <v>195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252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172</v>
      </c>
      <c r="H27" s="63" t="s">
        <v>247</v>
      </c>
      <c r="I27" s="64"/>
      <c r="J27" s="42" t="s">
        <v>174</v>
      </c>
      <c r="K27" s="42" t="s">
        <v>188</v>
      </c>
      <c r="L27" s="65"/>
      <c r="M27" s="65"/>
      <c r="N27" s="65"/>
      <c r="O27" s="65"/>
      <c r="P27" s="42" t="s">
        <v>172</v>
      </c>
      <c r="Q27" s="42" t="s">
        <v>220</v>
      </c>
      <c r="R27" s="42" t="s">
        <v>174</v>
      </c>
      <c r="S27" s="42" t="s">
        <v>253</v>
      </c>
      <c r="T27" s="42" t="s">
        <v>254</v>
      </c>
      <c r="U27" s="64"/>
      <c r="V27" s="42" t="s">
        <v>200</v>
      </c>
      <c r="W27" s="64"/>
      <c r="X27" s="66" t="s">
        <v>180</v>
      </c>
      <c r="Y27" s="67" t="s">
        <v>181</v>
      </c>
      <c r="Z27" s="66" t="s">
        <v>223</v>
      </c>
      <c r="AA27" s="68" t="s">
        <v>174</v>
      </c>
      <c r="AB27" s="68" t="s">
        <v>224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194</v>
      </c>
      <c r="AQ27" s="68" t="s">
        <v>195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255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172</v>
      </c>
      <c r="H28" s="63" t="s">
        <v>173</v>
      </c>
      <c r="I28" s="63">
        <v>500000.0</v>
      </c>
      <c r="J28" s="42" t="s">
        <v>174</v>
      </c>
      <c r="K28" s="42" t="s">
        <v>188</v>
      </c>
      <c r="L28" s="65"/>
      <c r="M28" s="65"/>
      <c r="N28" s="65"/>
      <c r="O28" s="65"/>
      <c r="P28" s="42" t="s">
        <v>172</v>
      </c>
      <c r="Q28" s="42" t="s">
        <v>189</v>
      </c>
      <c r="R28" s="42" t="s">
        <v>174</v>
      </c>
      <c r="S28" s="42" t="s">
        <v>256</v>
      </c>
      <c r="T28" s="42" t="s">
        <v>254</v>
      </c>
      <c r="U28" s="64"/>
      <c r="V28" s="42" t="s">
        <v>200</v>
      </c>
      <c r="W28" s="64"/>
      <c r="X28" s="76" t="s">
        <v>222</v>
      </c>
      <c r="Y28" s="77" t="s">
        <v>238</v>
      </c>
      <c r="Z28" s="76" t="s">
        <v>223</v>
      </c>
      <c r="AA28" s="68" t="s">
        <v>174</v>
      </c>
      <c r="AB28" s="68" t="s">
        <v>193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194</v>
      </c>
      <c r="AQ28" s="68" t="s">
        <v>195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257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172</v>
      </c>
      <c r="H29" s="63" t="s">
        <v>173</v>
      </c>
      <c r="I29" s="63">
        <v>500000.0</v>
      </c>
      <c r="J29" s="42" t="s">
        <v>174</v>
      </c>
      <c r="K29" s="42" t="s">
        <v>188</v>
      </c>
      <c r="L29" s="65"/>
      <c r="M29" s="65"/>
      <c r="N29" s="65"/>
      <c r="O29" s="65"/>
      <c r="P29" s="42" t="s">
        <v>172</v>
      </c>
      <c r="Q29" s="42" t="s">
        <v>189</v>
      </c>
      <c r="R29" s="42" t="s">
        <v>174</v>
      </c>
      <c r="S29" s="42" t="s">
        <v>258</v>
      </c>
      <c r="T29" s="42" t="s">
        <v>254</v>
      </c>
      <c r="U29" s="64"/>
      <c r="V29" s="42" t="s">
        <v>200</v>
      </c>
      <c r="W29" s="64"/>
      <c r="X29" s="76" t="s">
        <v>222</v>
      </c>
      <c r="Y29" s="77" t="s">
        <v>238</v>
      </c>
      <c r="Z29" s="76" t="s">
        <v>223</v>
      </c>
      <c r="AA29" s="68" t="s">
        <v>174</v>
      </c>
      <c r="AB29" s="68" t="s">
        <v>183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194</v>
      </c>
      <c r="AQ29" s="68" t="s">
        <v>195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259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172</v>
      </c>
      <c r="H30" s="63" t="s">
        <v>173</v>
      </c>
      <c r="I30" s="63">
        <v>500000.0</v>
      </c>
      <c r="J30" s="42" t="s">
        <v>174</v>
      </c>
      <c r="K30" s="42" t="s">
        <v>188</v>
      </c>
      <c r="L30" s="65"/>
      <c r="M30" s="65"/>
      <c r="N30" s="65"/>
      <c r="O30" s="65"/>
      <c r="P30" s="42" t="s">
        <v>172</v>
      </c>
      <c r="Q30" s="42" t="s">
        <v>189</v>
      </c>
      <c r="R30" s="42" t="s">
        <v>174</v>
      </c>
      <c r="S30" s="42" t="s">
        <v>260</v>
      </c>
      <c r="T30" s="42" t="s">
        <v>254</v>
      </c>
      <c r="U30" s="64"/>
      <c r="V30" s="42" t="s">
        <v>200</v>
      </c>
      <c r="W30" s="64"/>
      <c r="X30" s="76" t="s">
        <v>222</v>
      </c>
      <c r="Y30" s="77" t="s">
        <v>238</v>
      </c>
      <c r="Z30" s="76" t="s">
        <v>223</v>
      </c>
      <c r="AA30" s="68" t="s">
        <v>174</v>
      </c>
      <c r="AB30" s="68" t="s">
        <v>183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194</v>
      </c>
      <c r="AQ30" s="68" t="s">
        <v>195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261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172</v>
      </c>
      <c r="H31" s="63" t="s">
        <v>173</v>
      </c>
      <c r="I31" s="63">
        <v>500000.0</v>
      </c>
      <c r="J31" s="42" t="s">
        <v>174</v>
      </c>
      <c r="K31" s="42" t="s">
        <v>188</v>
      </c>
      <c r="L31" s="65"/>
      <c r="M31" s="65"/>
      <c r="N31" s="65"/>
      <c r="O31" s="65"/>
      <c r="P31" s="42" t="s">
        <v>172</v>
      </c>
      <c r="Q31" s="42" t="s">
        <v>189</v>
      </c>
      <c r="R31" s="42" t="s">
        <v>174</v>
      </c>
      <c r="S31" s="42" t="s">
        <v>262</v>
      </c>
      <c r="T31" s="42" t="s">
        <v>254</v>
      </c>
      <c r="U31" s="64"/>
      <c r="V31" s="42" t="s">
        <v>200</v>
      </c>
      <c r="W31" s="64"/>
      <c r="X31" s="76" t="s">
        <v>222</v>
      </c>
      <c r="Y31" s="77" t="s">
        <v>238</v>
      </c>
      <c r="Z31" s="76" t="s">
        <v>223</v>
      </c>
      <c r="AA31" s="68" t="s">
        <v>174</v>
      </c>
      <c r="AB31" s="68" t="s">
        <v>183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194</v>
      </c>
      <c r="AQ31" s="68" t="s">
        <v>195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76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172</v>
      </c>
      <c r="H32" s="63" t="s">
        <v>173</v>
      </c>
      <c r="I32" s="63">
        <v>20000.0</v>
      </c>
      <c r="J32" s="42" t="s">
        <v>174</v>
      </c>
      <c r="K32" s="42" t="s">
        <v>188</v>
      </c>
      <c r="L32" s="65"/>
      <c r="M32" s="65"/>
      <c r="N32" s="65"/>
      <c r="O32" s="65"/>
      <c r="P32" s="42" t="s">
        <v>172</v>
      </c>
      <c r="Q32" s="42" t="s">
        <v>189</v>
      </c>
      <c r="R32" s="42" t="s">
        <v>174</v>
      </c>
      <c r="S32" s="42" t="s">
        <v>263</v>
      </c>
      <c r="T32" s="42" t="s">
        <v>254</v>
      </c>
      <c r="U32" s="64"/>
      <c r="V32" s="42" t="s">
        <v>200</v>
      </c>
      <c r="W32" s="64"/>
      <c r="X32" s="76" t="s">
        <v>222</v>
      </c>
      <c r="Y32" s="77" t="s">
        <v>238</v>
      </c>
      <c r="Z32" s="76" t="s">
        <v>223</v>
      </c>
      <c r="AA32" s="68" t="s">
        <v>174</v>
      </c>
      <c r="AB32" s="68" t="s">
        <v>193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194</v>
      </c>
      <c r="AQ32" s="68" t="s">
        <v>195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264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172</v>
      </c>
      <c r="H33" s="63" t="s">
        <v>247</v>
      </c>
      <c r="I33" s="63">
        <v>1.0E7</v>
      </c>
      <c r="J33" s="42" t="s">
        <v>174</v>
      </c>
      <c r="K33" s="42" t="s">
        <v>188</v>
      </c>
      <c r="L33" s="65"/>
      <c r="M33" s="65"/>
      <c r="N33" s="65"/>
      <c r="O33" s="65"/>
      <c r="P33" s="42" t="s">
        <v>172</v>
      </c>
      <c r="Q33" s="42" t="s">
        <v>189</v>
      </c>
      <c r="R33" s="42" t="s">
        <v>174</v>
      </c>
      <c r="S33" s="42" t="s">
        <v>265</v>
      </c>
      <c r="T33" s="72" t="s">
        <v>266</v>
      </c>
      <c r="U33" s="64"/>
      <c r="V33" s="42" t="s">
        <v>267</v>
      </c>
      <c r="W33" s="64"/>
      <c r="X33" s="66" t="s">
        <v>180</v>
      </c>
      <c r="Y33" s="67" t="s">
        <v>181</v>
      </c>
      <c r="Z33" s="66" t="s">
        <v>223</v>
      </c>
      <c r="AA33" s="68" t="s">
        <v>174</v>
      </c>
      <c r="AB33" s="68" t="s">
        <v>193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194</v>
      </c>
      <c r="AQ33" s="68" t="s">
        <v>195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268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172</v>
      </c>
      <c r="H34" s="63" t="s">
        <v>269</v>
      </c>
      <c r="I34" s="63">
        <v>1.0E7</v>
      </c>
      <c r="J34" s="42" t="s">
        <v>174</v>
      </c>
      <c r="K34" s="42" t="s">
        <v>188</v>
      </c>
      <c r="L34" s="65"/>
      <c r="M34" s="65"/>
      <c r="N34" s="65"/>
      <c r="O34" s="65"/>
      <c r="P34" s="42" t="s">
        <v>172</v>
      </c>
      <c r="Q34" s="42" t="s">
        <v>189</v>
      </c>
      <c r="R34" s="42" t="s">
        <v>174</v>
      </c>
      <c r="S34" s="42" t="s">
        <v>270</v>
      </c>
      <c r="T34" s="72" t="s">
        <v>266</v>
      </c>
      <c r="U34" s="64"/>
      <c r="V34" s="42" t="s">
        <v>267</v>
      </c>
      <c r="W34" s="64"/>
      <c r="X34" s="66" t="s">
        <v>180</v>
      </c>
      <c r="Y34" s="67" t="s">
        <v>181</v>
      </c>
      <c r="Z34" s="66" t="s">
        <v>223</v>
      </c>
      <c r="AA34" s="68" t="s">
        <v>174</v>
      </c>
      <c r="AB34" s="68" t="s">
        <v>193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194</v>
      </c>
      <c r="AQ34" s="68" t="s">
        <v>195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271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172</v>
      </c>
      <c r="H35" s="63" t="s">
        <v>269</v>
      </c>
      <c r="I35" s="63">
        <v>1.0E7</v>
      </c>
      <c r="J35" s="42" t="s">
        <v>174</v>
      </c>
      <c r="K35" s="42" t="s">
        <v>188</v>
      </c>
      <c r="L35" s="65"/>
      <c r="M35" s="65"/>
      <c r="N35" s="65"/>
      <c r="O35" s="65"/>
      <c r="P35" s="42" t="s">
        <v>172</v>
      </c>
      <c r="Q35" s="42" t="s">
        <v>240</v>
      </c>
      <c r="R35" s="42" t="s">
        <v>174</v>
      </c>
      <c r="S35" s="42" t="s">
        <v>272</v>
      </c>
      <c r="T35" s="72" t="s">
        <v>266</v>
      </c>
      <c r="U35" s="64"/>
      <c r="V35" s="42" t="s">
        <v>267</v>
      </c>
      <c r="W35" s="64"/>
      <c r="X35" s="78" t="s">
        <v>250</v>
      </c>
      <c r="Y35" s="67" t="s">
        <v>181</v>
      </c>
      <c r="Z35" s="79"/>
      <c r="AA35" s="68" t="s">
        <v>174</v>
      </c>
      <c r="AB35" s="68" t="s">
        <v>183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194</v>
      </c>
      <c r="AQ35" s="68" t="s">
        <v>195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273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172</v>
      </c>
      <c r="H36" s="63" t="s">
        <v>269</v>
      </c>
      <c r="I36" s="63">
        <v>1.0E7</v>
      </c>
      <c r="J36" s="42" t="s">
        <v>174</v>
      </c>
      <c r="K36" s="42" t="s">
        <v>188</v>
      </c>
      <c r="L36" s="65"/>
      <c r="M36" s="65"/>
      <c r="N36" s="65"/>
      <c r="O36" s="65"/>
      <c r="P36" s="42" t="s">
        <v>172</v>
      </c>
      <c r="Q36" s="42" t="s">
        <v>240</v>
      </c>
      <c r="R36" s="42" t="s">
        <v>174</v>
      </c>
      <c r="S36" s="42" t="s">
        <v>274</v>
      </c>
      <c r="T36" s="72" t="s">
        <v>266</v>
      </c>
      <c r="U36" s="64"/>
      <c r="V36" s="42" t="s">
        <v>267</v>
      </c>
      <c r="W36" s="64"/>
      <c r="X36" s="66" t="s">
        <v>180</v>
      </c>
      <c r="Y36" s="67" t="s">
        <v>181</v>
      </c>
      <c r="Z36" s="66" t="s">
        <v>223</v>
      </c>
      <c r="AA36" s="68" t="s">
        <v>174</v>
      </c>
      <c r="AB36" s="68" t="s">
        <v>193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194</v>
      </c>
      <c r="AQ36" s="68" t="s">
        <v>195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275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172</v>
      </c>
      <c r="H37" s="63" t="s">
        <v>213</v>
      </c>
      <c r="I37" s="64"/>
      <c r="J37" s="42" t="s">
        <v>172</v>
      </c>
      <c r="K37" s="42" t="s">
        <v>188</v>
      </c>
      <c r="L37" s="64"/>
      <c r="M37" s="64"/>
      <c r="N37" s="64"/>
      <c r="O37" s="64"/>
      <c r="P37" s="42" t="s">
        <v>174</v>
      </c>
      <c r="Q37" s="42" t="s">
        <v>189</v>
      </c>
      <c r="R37" s="42" t="s">
        <v>174</v>
      </c>
      <c r="S37" s="42" t="s">
        <v>276</v>
      </c>
      <c r="T37" s="42" t="s">
        <v>191</v>
      </c>
      <c r="U37" s="64"/>
      <c r="V37" s="42" t="s">
        <v>200</v>
      </c>
      <c r="W37" s="64"/>
      <c r="X37" s="66" t="s">
        <v>180</v>
      </c>
      <c r="Y37" s="73" t="s">
        <v>192</v>
      </c>
      <c r="Z37" s="66" t="s">
        <v>182</v>
      </c>
      <c r="AA37" s="68" t="s">
        <v>172</v>
      </c>
      <c r="AB37" s="68" t="s">
        <v>193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194</v>
      </c>
      <c r="AQ37" s="68" t="s">
        <v>195</v>
      </c>
      <c r="AR37" s="75"/>
      <c r="AS37" s="74"/>
      <c r="AT37" s="75"/>
      <c r="AU37" s="75"/>
      <c r="AV37" s="74"/>
      <c r="AW37" s="74"/>
    </row>
    <row r="38">
      <c r="A38" s="42" t="s">
        <v>277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172</v>
      </c>
      <c r="H38" s="63" t="s">
        <v>173</v>
      </c>
      <c r="I38" s="64"/>
      <c r="J38" s="42" t="s">
        <v>172</v>
      </c>
      <c r="K38" s="42" t="s">
        <v>188</v>
      </c>
      <c r="L38" s="64"/>
      <c r="M38" s="64"/>
      <c r="N38" s="64"/>
      <c r="O38" s="64"/>
      <c r="P38" s="42" t="s">
        <v>174</v>
      </c>
      <c r="Q38" s="42" t="s">
        <v>189</v>
      </c>
      <c r="R38" s="42" t="s">
        <v>174</v>
      </c>
      <c r="S38" s="42" t="s">
        <v>278</v>
      </c>
      <c r="T38" s="42" t="s">
        <v>191</v>
      </c>
      <c r="U38" s="64"/>
      <c r="V38" s="42" t="s">
        <v>200</v>
      </c>
      <c r="W38" s="64"/>
      <c r="X38" s="66" t="s">
        <v>180</v>
      </c>
      <c r="Y38" s="73" t="s">
        <v>192</v>
      </c>
      <c r="Z38" s="66" t="s">
        <v>182</v>
      </c>
      <c r="AA38" s="68" t="s">
        <v>172</v>
      </c>
      <c r="AB38" s="68" t="s">
        <v>193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194</v>
      </c>
      <c r="AQ38" s="68" t="s">
        <v>195</v>
      </c>
      <c r="AR38" s="75"/>
      <c r="AS38" s="74"/>
      <c r="AT38" s="75"/>
      <c r="AU38" s="75"/>
      <c r="AV38" s="74"/>
      <c r="AW38" s="74"/>
    </row>
    <row r="39">
      <c r="A39" s="42" t="s">
        <v>279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172</v>
      </c>
      <c r="H39" s="63" t="s">
        <v>173</v>
      </c>
      <c r="I39" s="64"/>
      <c r="J39" s="42" t="s">
        <v>174</v>
      </c>
      <c r="K39" s="42" t="s">
        <v>188</v>
      </c>
      <c r="L39" s="65"/>
      <c r="M39" s="65"/>
      <c r="N39" s="65"/>
      <c r="O39" s="65"/>
      <c r="P39" s="42" t="s">
        <v>172</v>
      </c>
      <c r="Q39" s="42" t="s">
        <v>189</v>
      </c>
      <c r="R39" s="42" t="s">
        <v>174</v>
      </c>
      <c r="S39" s="42" t="s">
        <v>280</v>
      </c>
      <c r="T39" s="42" t="s">
        <v>191</v>
      </c>
      <c r="U39" s="64"/>
      <c r="V39" s="42" t="s">
        <v>200</v>
      </c>
      <c r="W39" s="64"/>
      <c r="X39" s="66" t="s">
        <v>180</v>
      </c>
      <c r="Y39" s="67" t="s">
        <v>181</v>
      </c>
      <c r="Z39" s="66" t="s">
        <v>182</v>
      </c>
      <c r="AA39" s="68" t="s">
        <v>174</v>
      </c>
      <c r="AB39" s="68" t="s">
        <v>183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194</v>
      </c>
      <c r="AQ39" s="68" t="s">
        <v>195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75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172</v>
      </c>
      <c r="H40" s="63" t="s">
        <v>247</v>
      </c>
      <c r="I40" s="64"/>
      <c r="J40" s="42" t="s">
        <v>174</v>
      </c>
      <c r="K40" s="42" t="s">
        <v>188</v>
      </c>
      <c r="L40" s="65"/>
      <c r="M40" s="65"/>
      <c r="N40" s="65"/>
      <c r="O40" s="65"/>
      <c r="P40" s="42" t="s">
        <v>172</v>
      </c>
      <c r="Q40" s="42" t="s">
        <v>189</v>
      </c>
      <c r="R40" s="42" t="s">
        <v>174</v>
      </c>
      <c r="S40" s="42" t="s">
        <v>281</v>
      </c>
      <c r="T40" s="42" t="s">
        <v>282</v>
      </c>
      <c r="U40" s="64"/>
      <c r="V40" s="42" t="s">
        <v>200</v>
      </c>
      <c r="W40" s="64"/>
      <c r="X40" s="76" t="s">
        <v>222</v>
      </c>
      <c r="Y40" s="67" t="s">
        <v>181</v>
      </c>
      <c r="Z40" s="76" t="s">
        <v>223</v>
      </c>
      <c r="AA40" s="68" t="s">
        <v>174</v>
      </c>
      <c r="AB40" s="68" t="s">
        <v>224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194</v>
      </c>
      <c r="AQ40" s="68" t="s">
        <v>195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69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172</v>
      </c>
      <c r="H41" s="63" t="s">
        <v>247</v>
      </c>
      <c r="I41" s="64"/>
      <c r="J41" s="42" t="s">
        <v>172</v>
      </c>
      <c r="K41" s="42" t="s">
        <v>188</v>
      </c>
      <c r="L41" s="65"/>
      <c r="M41" s="65"/>
      <c r="N41" s="65"/>
      <c r="O41" s="65"/>
      <c r="P41" s="42" t="s">
        <v>172</v>
      </c>
      <c r="Q41" s="42" t="s">
        <v>189</v>
      </c>
      <c r="R41" s="42" t="s">
        <v>174</v>
      </c>
      <c r="S41" s="42" t="s">
        <v>283</v>
      </c>
      <c r="T41" s="72" t="s">
        <v>266</v>
      </c>
      <c r="U41" s="64"/>
      <c r="V41" s="42" t="s">
        <v>179</v>
      </c>
      <c r="W41" s="64"/>
      <c r="X41" s="66" t="s">
        <v>180</v>
      </c>
      <c r="Y41" s="73" t="s">
        <v>181</v>
      </c>
      <c r="Z41" s="66" t="s">
        <v>182</v>
      </c>
      <c r="AA41" s="68" t="s">
        <v>172</v>
      </c>
      <c r="AB41" s="68" t="s">
        <v>224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194</v>
      </c>
      <c r="AQ41" s="68" t="s">
        <v>195</v>
      </c>
      <c r="AR41" s="75"/>
      <c r="AS41" s="74"/>
      <c r="AT41" s="75"/>
      <c r="AU41" s="75"/>
      <c r="AV41" s="74"/>
      <c r="AW41" s="74"/>
    </row>
    <row r="42">
      <c r="A42" s="42" t="s">
        <v>284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172</v>
      </c>
      <c r="H42" s="63" t="s">
        <v>285</v>
      </c>
      <c r="I42" s="63">
        <v>60000.0</v>
      </c>
      <c r="J42" s="42" t="s">
        <v>174</v>
      </c>
      <c r="K42" s="42" t="s">
        <v>188</v>
      </c>
      <c r="L42" s="65"/>
      <c r="M42" s="65"/>
      <c r="N42" s="65"/>
      <c r="O42" s="65"/>
      <c r="P42" s="42" t="s">
        <v>172</v>
      </c>
      <c r="Q42" s="42" t="s">
        <v>189</v>
      </c>
      <c r="R42" s="42" t="s">
        <v>174</v>
      </c>
      <c r="S42" s="42" t="s">
        <v>286</v>
      </c>
      <c r="T42" s="42" t="s">
        <v>287</v>
      </c>
      <c r="U42" s="64"/>
      <c r="V42" s="42" t="s">
        <v>200</v>
      </c>
      <c r="W42" s="64"/>
      <c r="X42" s="66" t="s">
        <v>180</v>
      </c>
      <c r="Y42" s="77" t="s">
        <v>238</v>
      </c>
      <c r="Z42" s="66" t="s">
        <v>223</v>
      </c>
      <c r="AA42" s="68" t="s">
        <v>174</v>
      </c>
      <c r="AB42" s="68" t="s">
        <v>224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194</v>
      </c>
      <c r="AQ42" s="68" t="s">
        <v>195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71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172</v>
      </c>
      <c r="H43" s="63" t="s">
        <v>173</v>
      </c>
      <c r="I43" s="63">
        <v>3000.0</v>
      </c>
      <c r="J43" s="42" t="s">
        <v>172</v>
      </c>
      <c r="K43" s="42" t="s">
        <v>188</v>
      </c>
      <c r="L43" s="65"/>
      <c r="M43" s="65"/>
      <c r="N43" s="65"/>
      <c r="O43" s="65"/>
      <c r="P43" s="42" t="s">
        <v>172</v>
      </c>
      <c r="Q43" s="42" t="s">
        <v>189</v>
      </c>
      <c r="R43" s="42" t="s">
        <v>174</v>
      </c>
      <c r="S43" s="42" t="s">
        <v>288</v>
      </c>
      <c r="T43" s="42" t="s">
        <v>287</v>
      </c>
      <c r="U43" s="64"/>
      <c r="V43" s="42" t="s">
        <v>200</v>
      </c>
      <c r="W43" s="64"/>
      <c r="X43" s="66" t="s">
        <v>180</v>
      </c>
      <c r="Y43" s="73" t="s">
        <v>192</v>
      </c>
      <c r="Z43" s="66" t="s">
        <v>289</v>
      </c>
      <c r="AA43" s="68" t="s">
        <v>172</v>
      </c>
      <c r="AB43" s="68" t="s">
        <v>224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194</v>
      </c>
      <c r="AQ43" s="68" t="s">
        <v>195</v>
      </c>
      <c r="AR43" s="75"/>
      <c r="AS43" s="74"/>
      <c r="AT43" s="75"/>
      <c r="AU43" s="75"/>
      <c r="AV43" s="74"/>
      <c r="AW43" s="74"/>
    </row>
    <row r="44">
      <c r="A44" s="42" t="s">
        <v>290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172</v>
      </c>
      <c r="H44" s="63" t="s">
        <v>291</v>
      </c>
      <c r="I44" s="64"/>
      <c r="J44" s="42" t="s">
        <v>174</v>
      </c>
      <c r="K44" s="42" t="s">
        <v>292</v>
      </c>
      <c r="L44" s="42" t="s">
        <v>293</v>
      </c>
      <c r="M44" s="42" t="s">
        <v>294</v>
      </c>
      <c r="N44" s="63">
        <v>2.0</v>
      </c>
      <c r="O44" s="63">
        <v>1.0</v>
      </c>
      <c r="P44" s="42" t="s">
        <v>172</v>
      </c>
      <c r="Q44" s="42" t="s">
        <v>189</v>
      </c>
      <c r="R44" s="42" t="s">
        <v>174</v>
      </c>
      <c r="S44" s="42" t="s">
        <v>295</v>
      </c>
      <c r="T44" s="42" t="s">
        <v>296</v>
      </c>
      <c r="U44" s="64"/>
      <c r="V44" s="42" t="s">
        <v>200</v>
      </c>
      <c r="W44" s="64"/>
      <c r="X44" s="80" t="s">
        <v>297</v>
      </c>
      <c r="Y44" s="73" t="s">
        <v>181</v>
      </c>
      <c r="Z44" s="80" t="s">
        <v>223</v>
      </c>
      <c r="AA44" s="68" t="s">
        <v>174</v>
      </c>
      <c r="AB44" s="68" t="s">
        <v>224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194</v>
      </c>
      <c r="AQ44" s="68" t="s">
        <v>195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298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172</v>
      </c>
      <c r="H45" s="72" t="s">
        <v>291</v>
      </c>
      <c r="I45" s="64"/>
      <c r="J45" s="42" t="s">
        <v>174</v>
      </c>
      <c r="K45" s="42" t="s">
        <v>292</v>
      </c>
      <c r="L45" s="42" t="s">
        <v>293</v>
      </c>
      <c r="M45" s="42" t="s">
        <v>299</v>
      </c>
      <c r="N45" s="72">
        <v>2.0</v>
      </c>
      <c r="O45" s="72">
        <v>1.0</v>
      </c>
      <c r="P45" s="42" t="s">
        <v>172</v>
      </c>
      <c r="Q45" s="42" t="s">
        <v>189</v>
      </c>
      <c r="R45" s="42" t="s">
        <v>174</v>
      </c>
      <c r="S45" s="42" t="s">
        <v>300</v>
      </c>
      <c r="T45" s="42" t="s">
        <v>296</v>
      </c>
      <c r="U45" s="64"/>
      <c r="V45" s="42" t="s">
        <v>200</v>
      </c>
      <c r="W45" s="64"/>
      <c r="X45" s="80" t="s">
        <v>297</v>
      </c>
      <c r="Y45" s="73" t="s">
        <v>181</v>
      </c>
      <c r="Z45" s="80" t="s">
        <v>223</v>
      </c>
      <c r="AA45" s="68" t="s">
        <v>174</v>
      </c>
      <c r="AB45" s="68" t="s">
        <v>224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194</v>
      </c>
      <c r="AQ45" s="68" t="s">
        <v>195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301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172</v>
      </c>
      <c r="H46" s="72" t="s">
        <v>291</v>
      </c>
      <c r="I46" s="64"/>
      <c r="J46" s="42" t="s">
        <v>174</v>
      </c>
      <c r="K46" s="42" t="s">
        <v>292</v>
      </c>
      <c r="L46" s="42" t="s">
        <v>293</v>
      </c>
      <c r="M46" s="42" t="s">
        <v>302</v>
      </c>
      <c r="N46" s="72">
        <v>2.0</v>
      </c>
      <c r="O46" s="72">
        <v>1.0</v>
      </c>
      <c r="P46" s="42" t="s">
        <v>172</v>
      </c>
      <c r="Q46" s="42" t="s">
        <v>189</v>
      </c>
      <c r="R46" s="42" t="s">
        <v>174</v>
      </c>
      <c r="S46" s="42" t="s">
        <v>303</v>
      </c>
      <c r="T46" s="42" t="s">
        <v>296</v>
      </c>
      <c r="U46" s="64"/>
      <c r="V46" s="42" t="s">
        <v>200</v>
      </c>
      <c r="W46" s="64"/>
      <c r="X46" s="80" t="s">
        <v>297</v>
      </c>
      <c r="Y46" s="73" t="s">
        <v>181</v>
      </c>
      <c r="Z46" s="80" t="s">
        <v>223</v>
      </c>
      <c r="AA46" s="68" t="s">
        <v>174</v>
      </c>
      <c r="AB46" s="68" t="s">
        <v>224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194</v>
      </c>
      <c r="AQ46" s="68" t="s">
        <v>195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304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172</v>
      </c>
      <c r="H47" s="63" t="s">
        <v>305</v>
      </c>
      <c r="I47" s="64"/>
      <c r="J47" s="42" t="s">
        <v>174</v>
      </c>
      <c r="K47" s="42" t="s">
        <v>306</v>
      </c>
      <c r="L47" s="65"/>
      <c r="M47" s="65"/>
      <c r="N47" s="65"/>
      <c r="O47" s="65"/>
      <c r="P47" s="42" t="s">
        <v>172</v>
      </c>
      <c r="Q47" s="42" t="s">
        <v>189</v>
      </c>
      <c r="R47" s="42" t="s">
        <v>172</v>
      </c>
      <c r="S47" s="42" t="s">
        <v>307</v>
      </c>
      <c r="T47" s="42" t="s">
        <v>308</v>
      </c>
      <c r="U47" s="64"/>
      <c r="V47" s="42" t="s">
        <v>267</v>
      </c>
      <c r="W47" s="64"/>
      <c r="X47" s="66" t="s">
        <v>180</v>
      </c>
      <c r="Y47" s="67" t="s">
        <v>181</v>
      </c>
      <c r="Z47" s="66" t="s">
        <v>182</v>
      </c>
      <c r="AA47" s="68" t="s">
        <v>174</v>
      </c>
      <c r="AB47" s="68" t="s">
        <v>224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194</v>
      </c>
      <c r="AQ47" s="68" t="s">
        <v>195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309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172</v>
      </c>
      <c r="H48" s="63" t="s">
        <v>213</v>
      </c>
      <c r="I48" s="64"/>
      <c r="J48" s="42" t="s">
        <v>174</v>
      </c>
      <c r="K48" s="42" t="s">
        <v>310</v>
      </c>
      <c r="L48" s="65"/>
      <c r="M48" s="65"/>
      <c r="N48" s="65"/>
      <c r="O48" s="65"/>
      <c r="P48" s="42" t="s">
        <v>172</v>
      </c>
      <c r="Q48" s="42" t="s">
        <v>189</v>
      </c>
      <c r="R48" s="42" t="s">
        <v>172</v>
      </c>
      <c r="S48" s="42" t="s">
        <v>311</v>
      </c>
      <c r="T48" s="42" t="s">
        <v>312</v>
      </c>
      <c r="U48" s="64"/>
      <c r="V48" s="42" t="s">
        <v>200</v>
      </c>
      <c r="W48" s="64"/>
      <c r="X48" s="66" t="s">
        <v>180</v>
      </c>
      <c r="Y48" s="67" t="s">
        <v>181</v>
      </c>
      <c r="Z48" s="66" t="s">
        <v>182</v>
      </c>
      <c r="AA48" s="68" t="s">
        <v>174</v>
      </c>
      <c r="AB48" s="68" t="s">
        <v>183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184</v>
      </c>
      <c r="AQ48" s="68" t="s">
        <v>185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313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172</v>
      </c>
      <c r="H49" s="63" t="s">
        <v>173</v>
      </c>
      <c r="I49" s="64"/>
      <c r="J49" s="42" t="s">
        <v>174</v>
      </c>
      <c r="K49" s="42" t="s">
        <v>314</v>
      </c>
      <c r="L49" s="65"/>
      <c r="M49" s="65"/>
      <c r="N49" s="65"/>
      <c r="O49" s="65"/>
      <c r="P49" s="42" t="s">
        <v>172</v>
      </c>
      <c r="Q49" s="42" t="s">
        <v>189</v>
      </c>
      <c r="R49" s="42" t="s">
        <v>172</v>
      </c>
      <c r="S49" s="42" t="s">
        <v>315</v>
      </c>
      <c r="T49" s="42" t="s">
        <v>316</v>
      </c>
      <c r="U49" s="64"/>
      <c r="V49" s="42" t="s">
        <v>179</v>
      </c>
      <c r="W49" s="64"/>
      <c r="X49" s="66" t="s">
        <v>180</v>
      </c>
      <c r="Y49" s="67" t="s">
        <v>181</v>
      </c>
      <c r="Z49" s="66" t="s">
        <v>182</v>
      </c>
      <c r="AA49" s="68" t="s">
        <v>174</v>
      </c>
      <c r="AB49" s="68" t="s">
        <v>183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194</v>
      </c>
      <c r="AQ49" s="68" t="s">
        <v>195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317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172</v>
      </c>
      <c r="H50" s="63" t="s">
        <v>173</v>
      </c>
      <c r="I50" s="64"/>
      <c r="J50" s="42" t="s">
        <v>174</v>
      </c>
      <c r="K50" s="42" t="s">
        <v>314</v>
      </c>
      <c r="L50" s="65"/>
      <c r="M50" s="65"/>
      <c r="N50" s="65"/>
      <c r="O50" s="65"/>
      <c r="P50" s="42" t="s">
        <v>172</v>
      </c>
      <c r="Q50" s="42" t="s">
        <v>189</v>
      </c>
      <c r="R50" s="42" t="s">
        <v>172</v>
      </c>
      <c r="S50" s="42" t="s">
        <v>318</v>
      </c>
      <c r="T50" s="42" t="s">
        <v>316</v>
      </c>
      <c r="U50" s="64"/>
      <c r="V50" s="42" t="s">
        <v>179</v>
      </c>
      <c r="W50" s="64"/>
      <c r="X50" s="66" t="s">
        <v>180</v>
      </c>
      <c r="Y50" s="67" t="s">
        <v>181</v>
      </c>
      <c r="Z50" s="81"/>
      <c r="AA50" s="68" t="s">
        <v>174</v>
      </c>
      <c r="AB50" s="68" t="s">
        <v>183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194</v>
      </c>
      <c r="AQ50" s="68" t="s">
        <v>195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319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172</v>
      </c>
      <c r="H51" s="63" t="s">
        <v>173</v>
      </c>
      <c r="I51" s="64"/>
      <c r="J51" s="42" t="s">
        <v>174</v>
      </c>
      <c r="K51" s="42" t="s">
        <v>314</v>
      </c>
      <c r="L51" s="65"/>
      <c r="M51" s="65"/>
      <c r="N51" s="65"/>
      <c r="O51" s="65"/>
      <c r="P51" s="42" t="s">
        <v>172</v>
      </c>
      <c r="Q51" s="42" t="s">
        <v>189</v>
      </c>
      <c r="R51" s="42" t="s">
        <v>172</v>
      </c>
      <c r="S51" s="42" t="s">
        <v>320</v>
      </c>
      <c r="T51" s="42" t="s">
        <v>316</v>
      </c>
      <c r="U51" s="64"/>
      <c r="V51" s="42" t="s">
        <v>179</v>
      </c>
      <c r="W51" s="64"/>
      <c r="X51" s="66" t="s">
        <v>180</v>
      </c>
      <c r="Y51" s="67" t="s">
        <v>181</v>
      </c>
      <c r="Z51" s="66" t="s">
        <v>182</v>
      </c>
      <c r="AA51" s="68" t="s">
        <v>174</v>
      </c>
      <c r="AB51" s="68" t="s">
        <v>193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194</v>
      </c>
      <c r="AQ51" s="68" t="s">
        <v>195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321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172</v>
      </c>
      <c r="H52" s="63" t="s">
        <v>173</v>
      </c>
      <c r="I52" s="64"/>
      <c r="J52" s="42" t="s">
        <v>174</v>
      </c>
      <c r="K52" s="42" t="s">
        <v>314</v>
      </c>
      <c r="L52" s="65"/>
      <c r="M52" s="65"/>
      <c r="N52" s="65"/>
      <c r="O52" s="65"/>
      <c r="P52" s="42" t="s">
        <v>172</v>
      </c>
      <c r="Q52" s="42" t="s">
        <v>189</v>
      </c>
      <c r="R52" s="42" t="s">
        <v>172</v>
      </c>
      <c r="S52" s="42" t="s">
        <v>322</v>
      </c>
      <c r="T52" s="42" t="s">
        <v>316</v>
      </c>
      <c r="U52" s="64"/>
      <c r="V52" s="42" t="s">
        <v>179</v>
      </c>
      <c r="W52" s="64"/>
      <c r="X52" s="66" t="s">
        <v>180</v>
      </c>
      <c r="Y52" s="67" t="s">
        <v>181</v>
      </c>
      <c r="Z52" s="66" t="s">
        <v>182</v>
      </c>
      <c r="AA52" s="68" t="s">
        <v>174</v>
      </c>
      <c r="AB52" s="68" t="s">
        <v>193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194</v>
      </c>
      <c r="AQ52" s="68" t="s">
        <v>195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323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172</v>
      </c>
      <c r="H53" s="63" t="s">
        <v>269</v>
      </c>
      <c r="I53" s="64"/>
      <c r="J53" s="42" t="s">
        <v>174</v>
      </c>
      <c r="K53" s="42" t="s">
        <v>175</v>
      </c>
      <c r="L53" s="65"/>
      <c r="M53" s="65"/>
      <c r="N53" s="65"/>
      <c r="O53" s="65"/>
      <c r="P53" s="42" t="s">
        <v>172</v>
      </c>
      <c r="Q53" s="42" t="s">
        <v>189</v>
      </c>
      <c r="R53" s="42" t="s">
        <v>172</v>
      </c>
      <c r="S53" s="42" t="s">
        <v>324</v>
      </c>
      <c r="T53" s="42" t="s">
        <v>325</v>
      </c>
      <c r="U53" s="64"/>
      <c r="V53" s="42" t="s">
        <v>179</v>
      </c>
      <c r="W53" s="64"/>
      <c r="X53" s="66" t="s">
        <v>180</v>
      </c>
      <c r="Y53" s="67" t="s">
        <v>181</v>
      </c>
      <c r="Z53" s="66" t="s">
        <v>223</v>
      </c>
      <c r="AA53" s="68" t="s">
        <v>174</v>
      </c>
      <c r="AB53" s="68" t="s">
        <v>251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194</v>
      </c>
      <c r="AQ53" s="68" t="s">
        <v>195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326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174</v>
      </c>
      <c r="H54" s="72" t="s">
        <v>213</v>
      </c>
      <c r="I54" s="64"/>
      <c r="J54" s="42" t="s">
        <v>174</v>
      </c>
      <c r="K54" s="42" t="s">
        <v>327</v>
      </c>
      <c r="L54" s="65"/>
      <c r="M54" s="65"/>
      <c r="N54" s="65"/>
      <c r="O54" s="65"/>
      <c r="P54" s="42" t="s">
        <v>172</v>
      </c>
      <c r="Q54" s="42" t="s">
        <v>240</v>
      </c>
      <c r="R54" s="42" t="s">
        <v>174</v>
      </c>
      <c r="S54" s="42" t="s">
        <v>328</v>
      </c>
      <c r="T54" s="42" t="s">
        <v>242</v>
      </c>
      <c r="U54" s="64"/>
      <c r="V54" s="42" t="s">
        <v>200</v>
      </c>
      <c r="W54" s="64"/>
      <c r="X54" s="66" t="s">
        <v>180</v>
      </c>
      <c r="Y54" s="67" t="s">
        <v>181</v>
      </c>
      <c r="Z54" s="66" t="s">
        <v>182</v>
      </c>
      <c r="AA54" s="68" t="s">
        <v>174</v>
      </c>
      <c r="AB54" s="68" t="s">
        <v>183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194</v>
      </c>
      <c r="AQ54" s="68" t="s">
        <v>195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329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174</v>
      </c>
      <c r="H55" s="63" t="s">
        <v>173</v>
      </c>
      <c r="I55" s="64"/>
      <c r="J55" s="42" t="s">
        <v>174</v>
      </c>
      <c r="K55" s="42" t="s">
        <v>327</v>
      </c>
      <c r="L55" s="65"/>
      <c r="M55" s="65"/>
      <c r="N55" s="65"/>
      <c r="O55" s="65"/>
      <c r="P55" s="42" t="s">
        <v>172</v>
      </c>
      <c r="Q55" s="42" t="s">
        <v>189</v>
      </c>
      <c r="R55" s="42" t="s">
        <v>174</v>
      </c>
      <c r="S55" s="42" t="s">
        <v>330</v>
      </c>
      <c r="T55" s="42" t="s">
        <v>331</v>
      </c>
      <c r="U55" s="64"/>
      <c r="V55" s="42" t="s">
        <v>200</v>
      </c>
      <c r="W55" s="64"/>
      <c r="X55" s="66" t="s">
        <v>180</v>
      </c>
      <c r="Y55" s="67" t="s">
        <v>181</v>
      </c>
      <c r="Z55" s="66" t="s">
        <v>223</v>
      </c>
      <c r="AA55" s="68" t="s">
        <v>174</v>
      </c>
      <c r="AB55" s="68" t="s">
        <v>193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194</v>
      </c>
      <c r="AQ55" s="68" t="s">
        <v>195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332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174</v>
      </c>
      <c r="H56" s="63" t="s">
        <v>213</v>
      </c>
      <c r="I56" s="64"/>
      <c r="J56" s="42" t="s">
        <v>174</v>
      </c>
      <c r="K56" s="42" t="s">
        <v>327</v>
      </c>
      <c r="L56" s="65"/>
      <c r="M56" s="65"/>
      <c r="N56" s="65"/>
      <c r="O56" s="65"/>
      <c r="P56" s="42" t="s">
        <v>172</v>
      </c>
      <c r="Q56" s="42" t="s">
        <v>333</v>
      </c>
      <c r="R56" s="42" t="s">
        <v>174</v>
      </c>
      <c r="S56" s="42" t="s">
        <v>334</v>
      </c>
      <c r="T56" s="72" t="s">
        <v>242</v>
      </c>
      <c r="U56" s="64"/>
      <c r="V56" s="42" t="s">
        <v>179</v>
      </c>
      <c r="W56" s="64"/>
      <c r="X56" s="66" t="s">
        <v>180</v>
      </c>
      <c r="Y56" s="73" t="s">
        <v>181</v>
      </c>
      <c r="Z56" s="66" t="s">
        <v>182</v>
      </c>
      <c r="AA56" s="68" t="s">
        <v>174</v>
      </c>
      <c r="AB56" s="68" t="s">
        <v>183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194</v>
      </c>
      <c r="AQ56" s="68" t="s">
        <v>195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335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174</v>
      </c>
      <c r="H57" s="72" t="s">
        <v>213</v>
      </c>
      <c r="I57" s="64"/>
      <c r="J57" s="42" t="s">
        <v>174</v>
      </c>
      <c r="K57" s="42" t="s">
        <v>327</v>
      </c>
      <c r="L57" s="65"/>
      <c r="M57" s="65"/>
      <c r="N57" s="65"/>
      <c r="O57" s="65"/>
      <c r="P57" s="42" t="s">
        <v>172</v>
      </c>
      <c r="Q57" s="42" t="s">
        <v>189</v>
      </c>
      <c r="R57" s="42" t="s">
        <v>174</v>
      </c>
      <c r="S57" s="42" t="s">
        <v>336</v>
      </c>
      <c r="T57" s="42" t="s">
        <v>337</v>
      </c>
      <c r="U57" s="64"/>
      <c r="V57" s="42" t="s">
        <v>200</v>
      </c>
      <c r="W57" s="64"/>
      <c r="X57" s="78" t="s">
        <v>250</v>
      </c>
      <c r="Y57" s="67" t="s">
        <v>181</v>
      </c>
      <c r="Z57" s="78" t="s">
        <v>182</v>
      </c>
      <c r="AA57" s="68" t="s">
        <v>174</v>
      </c>
      <c r="AB57" s="68" t="s">
        <v>183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194</v>
      </c>
      <c r="AQ57" s="68" t="s">
        <v>195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338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174</v>
      </c>
      <c r="H58" s="72" t="s">
        <v>213</v>
      </c>
      <c r="I58" s="64"/>
      <c r="J58" s="42" t="s">
        <v>174</v>
      </c>
      <c r="K58" s="42" t="s">
        <v>327</v>
      </c>
      <c r="L58" s="65"/>
      <c r="M58" s="65"/>
      <c r="N58" s="65"/>
      <c r="O58" s="65"/>
      <c r="P58" s="42" t="s">
        <v>172</v>
      </c>
      <c r="Q58" s="42" t="s">
        <v>240</v>
      </c>
      <c r="R58" s="42" t="s">
        <v>174</v>
      </c>
      <c r="S58" s="42" t="s">
        <v>339</v>
      </c>
      <c r="T58" s="42" t="s">
        <v>337</v>
      </c>
      <c r="U58" s="64"/>
      <c r="V58" s="42" t="s">
        <v>200</v>
      </c>
      <c r="W58" s="64"/>
      <c r="X58" s="66" t="s">
        <v>180</v>
      </c>
      <c r="Y58" s="67" t="s">
        <v>181</v>
      </c>
      <c r="Z58" s="81"/>
      <c r="AA58" s="68" t="s">
        <v>174</v>
      </c>
      <c r="AB58" s="68" t="s">
        <v>183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194</v>
      </c>
      <c r="AQ58" s="68" t="s">
        <v>195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340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174</v>
      </c>
      <c r="H59" s="72" t="s">
        <v>213</v>
      </c>
      <c r="I59" s="64"/>
      <c r="J59" s="42" t="s">
        <v>174</v>
      </c>
      <c r="K59" s="42" t="s">
        <v>327</v>
      </c>
      <c r="L59" s="65"/>
      <c r="M59" s="65"/>
      <c r="N59" s="65"/>
      <c r="O59" s="65"/>
      <c r="P59" s="42" t="s">
        <v>172</v>
      </c>
      <c r="Q59" s="42" t="s">
        <v>240</v>
      </c>
      <c r="R59" s="42" t="s">
        <v>174</v>
      </c>
      <c r="S59" s="42" t="s">
        <v>341</v>
      </c>
      <c r="T59" s="42" t="s">
        <v>337</v>
      </c>
      <c r="U59" s="64"/>
      <c r="V59" s="42" t="s">
        <v>200</v>
      </c>
      <c r="W59" s="64"/>
      <c r="X59" s="66" t="s">
        <v>180</v>
      </c>
      <c r="Y59" s="67" t="s">
        <v>181</v>
      </c>
      <c r="Z59" s="66" t="s">
        <v>182</v>
      </c>
      <c r="AA59" s="68" t="s">
        <v>174</v>
      </c>
      <c r="AB59" s="68" t="s">
        <v>183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194</v>
      </c>
      <c r="AQ59" s="68" t="s">
        <v>195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342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174</v>
      </c>
      <c r="H60" s="72" t="s">
        <v>213</v>
      </c>
      <c r="I60" s="64"/>
      <c r="J60" s="42" t="s">
        <v>174</v>
      </c>
      <c r="K60" s="42" t="s">
        <v>327</v>
      </c>
      <c r="L60" s="65"/>
      <c r="M60" s="65"/>
      <c r="N60" s="65"/>
      <c r="O60" s="65"/>
      <c r="P60" s="42" t="s">
        <v>172</v>
      </c>
      <c r="Q60" s="42" t="s">
        <v>240</v>
      </c>
      <c r="R60" s="42" t="s">
        <v>174</v>
      </c>
      <c r="S60" s="42" t="s">
        <v>343</v>
      </c>
      <c r="T60" s="42" t="s">
        <v>337</v>
      </c>
      <c r="U60" s="64"/>
      <c r="V60" s="42" t="s">
        <v>200</v>
      </c>
      <c r="W60" s="64"/>
      <c r="X60" s="66" t="s">
        <v>180</v>
      </c>
      <c r="Y60" s="67" t="s">
        <v>181</v>
      </c>
      <c r="Z60" s="66" t="s">
        <v>182</v>
      </c>
      <c r="AA60" s="68" t="s">
        <v>174</v>
      </c>
      <c r="AB60" s="68" t="s">
        <v>183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194</v>
      </c>
      <c r="AQ60" s="68" t="s">
        <v>195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344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174</v>
      </c>
      <c r="H61" s="63" t="s">
        <v>213</v>
      </c>
      <c r="I61" s="64"/>
      <c r="J61" s="42" t="s">
        <v>174</v>
      </c>
      <c r="K61" s="42" t="s">
        <v>345</v>
      </c>
      <c r="L61" s="65"/>
      <c r="M61" s="65"/>
      <c r="N61" s="65"/>
      <c r="O61" s="65"/>
      <c r="P61" s="42" t="s">
        <v>172</v>
      </c>
      <c r="Q61" s="42" t="s">
        <v>189</v>
      </c>
      <c r="R61" s="42" t="s">
        <v>174</v>
      </c>
      <c r="S61" s="42" t="s">
        <v>346</v>
      </c>
      <c r="T61" s="42" t="s">
        <v>347</v>
      </c>
      <c r="U61" s="64"/>
      <c r="V61" s="42" t="s">
        <v>200</v>
      </c>
      <c r="W61" s="64"/>
      <c r="X61" s="76" t="s">
        <v>222</v>
      </c>
      <c r="Y61" s="73" t="s">
        <v>181</v>
      </c>
      <c r="Z61" s="76" t="s">
        <v>223</v>
      </c>
      <c r="AA61" s="68" t="s">
        <v>174</v>
      </c>
      <c r="AB61" s="68" t="s">
        <v>193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194</v>
      </c>
      <c r="AQ61" s="68" t="s">
        <v>195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348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174</v>
      </c>
      <c r="H62" s="63" t="s">
        <v>213</v>
      </c>
      <c r="I62" s="64"/>
      <c r="J62" s="42" t="s">
        <v>174</v>
      </c>
      <c r="K62" s="42" t="s">
        <v>345</v>
      </c>
      <c r="L62" s="65"/>
      <c r="M62" s="65"/>
      <c r="N62" s="65"/>
      <c r="O62" s="65"/>
      <c r="P62" s="42" t="s">
        <v>172</v>
      </c>
      <c r="Q62" s="42" t="s">
        <v>189</v>
      </c>
      <c r="R62" s="42" t="s">
        <v>174</v>
      </c>
      <c r="S62" s="42" t="s">
        <v>349</v>
      </c>
      <c r="T62" s="72" t="s">
        <v>350</v>
      </c>
      <c r="U62" s="64"/>
      <c r="V62" s="42" t="s">
        <v>179</v>
      </c>
      <c r="W62" s="64"/>
      <c r="X62" s="76" t="s">
        <v>222</v>
      </c>
      <c r="Y62" s="73" t="s">
        <v>181</v>
      </c>
      <c r="Z62" s="76" t="s">
        <v>223</v>
      </c>
      <c r="AA62" s="68" t="s">
        <v>174</v>
      </c>
      <c r="AB62" s="68" t="s">
        <v>183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194</v>
      </c>
      <c r="AQ62" s="68" t="s">
        <v>195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351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172</v>
      </c>
      <c r="H63" s="63" t="s">
        <v>213</v>
      </c>
      <c r="I63" s="64"/>
      <c r="J63" s="42" t="s">
        <v>174</v>
      </c>
      <c r="K63" s="42" t="s">
        <v>175</v>
      </c>
      <c r="L63" s="65"/>
      <c r="M63" s="65"/>
      <c r="N63" s="65"/>
      <c r="O63" s="65"/>
      <c r="P63" s="42" t="s">
        <v>172</v>
      </c>
      <c r="Q63" s="42" t="s">
        <v>189</v>
      </c>
      <c r="R63" s="42" t="s">
        <v>172</v>
      </c>
      <c r="S63" s="42" t="s">
        <v>352</v>
      </c>
      <c r="T63" s="42" t="s">
        <v>353</v>
      </c>
      <c r="U63" s="64"/>
      <c r="V63" s="42" t="s">
        <v>200</v>
      </c>
      <c r="W63" s="64"/>
      <c r="X63" s="78" t="s">
        <v>250</v>
      </c>
      <c r="Y63" s="67" t="s">
        <v>181</v>
      </c>
      <c r="Z63" s="78" t="s">
        <v>223</v>
      </c>
      <c r="AA63" s="68" t="s">
        <v>174</v>
      </c>
      <c r="AB63" s="68" t="s">
        <v>224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194</v>
      </c>
      <c r="AQ63" s="68" t="s">
        <v>195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354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172</v>
      </c>
      <c r="H64" s="63" t="s">
        <v>247</v>
      </c>
      <c r="I64" s="72">
        <v>5000.0</v>
      </c>
      <c r="J64" s="42" t="s">
        <v>174</v>
      </c>
      <c r="K64" s="42" t="s">
        <v>314</v>
      </c>
      <c r="L64" s="65"/>
      <c r="M64" s="65"/>
      <c r="N64" s="65"/>
      <c r="O64" s="65"/>
      <c r="P64" s="42" t="s">
        <v>172</v>
      </c>
      <c r="Q64" s="42" t="s">
        <v>189</v>
      </c>
      <c r="R64" s="42" t="s">
        <v>172</v>
      </c>
      <c r="S64" s="42" t="s">
        <v>355</v>
      </c>
      <c r="T64" s="42" t="s">
        <v>356</v>
      </c>
      <c r="U64" s="64"/>
      <c r="V64" s="42" t="s">
        <v>200</v>
      </c>
      <c r="W64" s="64"/>
      <c r="X64" s="80" t="s">
        <v>297</v>
      </c>
      <c r="Y64" s="67" t="s">
        <v>238</v>
      </c>
      <c r="Z64" s="80" t="s">
        <v>223</v>
      </c>
      <c r="AA64" s="68" t="s">
        <v>174</v>
      </c>
      <c r="AB64" s="68" t="s">
        <v>224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194</v>
      </c>
      <c r="AQ64" s="68" t="s">
        <v>195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357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172</v>
      </c>
      <c r="H65" s="63" t="s">
        <v>247</v>
      </c>
      <c r="I65" s="72">
        <v>10000.0</v>
      </c>
      <c r="J65" s="42" t="s">
        <v>174</v>
      </c>
      <c r="K65" s="42" t="s">
        <v>314</v>
      </c>
      <c r="L65" s="65"/>
      <c r="M65" s="65"/>
      <c r="N65" s="65"/>
      <c r="O65" s="65"/>
      <c r="P65" s="42" t="s">
        <v>172</v>
      </c>
      <c r="Q65" s="42" t="s">
        <v>189</v>
      </c>
      <c r="R65" s="42" t="s">
        <v>172</v>
      </c>
      <c r="S65" s="42" t="s">
        <v>358</v>
      </c>
      <c r="T65" s="42" t="s">
        <v>356</v>
      </c>
      <c r="U65" s="64"/>
      <c r="V65" s="42" t="s">
        <v>200</v>
      </c>
      <c r="W65" s="64"/>
      <c r="X65" s="80" t="s">
        <v>297</v>
      </c>
      <c r="Y65" s="67" t="s">
        <v>238</v>
      </c>
      <c r="Z65" s="80" t="s">
        <v>223</v>
      </c>
      <c r="AA65" s="68" t="s">
        <v>174</v>
      </c>
      <c r="AB65" s="68" t="s">
        <v>224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194</v>
      </c>
      <c r="AQ65" s="68" t="s">
        <v>195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359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172</v>
      </c>
      <c r="H66" s="63" t="s">
        <v>173</v>
      </c>
      <c r="I66" s="64"/>
      <c r="J66" s="42" t="s">
        <v>174</v>
      </c>
      <c r="K66" s="42" t="s">
        <v>310</v>
      </c>
      <c r="L66" s="65"/>
      <c r="M66" s="65"/>
      <c r="N66" s="65"/>
      <c r="O66" s="65"/>
      <c r="P66" s="42" t="s">
        <v>172</v>
      </c>
      <c r="Q66" s="42" t="s">
        <v>189</v>
      </c>
      <c r="R66" s="42" t="s">
        <v>172</v>
      </c>
      <c r="S66" s="42" t="s">
        <v>360</v>
      </c>
      <c r="T66" s="42" t="s">
        <v>361</v>
      </c>
      <c r="U66" s="64"/>
      <c r="V66" s="42" t="s">
        <v>200</v>
      </c>
      <c r="W66" s="64"/>
      <c r="X66" s="80" t="s">
        <v>297</v>
      </c>
      <c r="Y66" s="67" t="s">
        <v>181</v>
      </c>
      <c r="Z66" s="80" t="s">
        <v>223</v>
      </c>
      <c r="AA66" s="68" t="s">
        <v>174</v>
      </c>
      <c r="AB66" s="68" t="s">
        <v>183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184</v>
      </c>
      <c r="AQ66" s="68" t="s">
        <v>185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362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172</v>
      </c>
      <c r="H67" s="63" t="s">
        <v>363</v>
      </c>
      <c r="I67" s="64"/>
      <c r="J67" s="42" t="s">
        <v>174</v>
      </c>
      <c r="K67" s="42" t="s">
        <v>364</v>
      </c>
      <c r="L67" s="65"/>
      <c r="M67" s="65"/>
      <c r="N67" s="65"/>
      <c r="O67" s="65"/>
      <c r="P67" s="42" t="s">
        <v>172</v>
      </c>
      <c r="Q67" s="42" t="s">
        <v>333</v>
      </c>
      <c r="R67" s="42" t="s">
        <v>172</v>
      </c>
      <c r="S67" s="42" t="s">
        <v>365</v>
      </c>
      <c r="T67" s="42" t="s">
        <v>364</v>
      </c>
      <c r="U67" s="64"/>
      <c r="V67" s="42" t="s">
        <v>200</v>
      </c>
      <c r="W67" s="64"/>
      <c r="X67" s="66" t="s">
        <v>180</v>
      </c>
      <c r="Y67" s="67" t="s">
        <v>181</v>
      </c>
      <c r="Z67" s="66" t="s">
        <v>182</v>
      </c>
      <c r="AA67" s="68" t="s">
        <v>174</v>
      </c>
      <c r="AB67" s="68" t="s">
        <v>183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366</v>
      </c>
      <c r="AQ67" s="68" t="s">
        <v>185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367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172</v>
      </c>
      <c r="H68" s="63" t="s">
        <v>368</v>
      </c>
      <c r="I68" s="64"/>
      <c r="J68" s="42" t="s">
        <v>174</v>
      </c>
      <c r="K68" s="42" t="s">
        <v>364</v>
      </c>
      <c r="L68" s="65"/>
      <c r="M68" s="65"/>
      <c r="N68" s="65"/>
      <c r="O68" s="65"/>
      <c r="P68" s="42" t="s">
        <v>172</v>
      </c>
      <c r="Q68" s="42" t="s">
        <v>333</v>
      </c>
      <c r="R68" s="42" t="s">
        <v>172</v>
      </c>
      <c r="S68" s="42" t="s">
        <v>369</v>
      </c>
      <c r="T68" s="42" t="s">
        <v>364</v>
      </c>
      <c r="U68" s="64"/>
      <c r="V68" s="42" t="s">
        <v>200</v>
      </c>
      <c r="W68" s="64"/>
      <c r="X68" s="66" t="s">
        <v>180</v>
      </c>
      <c r="Y68" s="67" t="s">
        <v>181</v>
      </c>
      <c r="Z68" s="66" t="s">
        <v>182</v>
      </c>
      <c r="AA68" s="68" t="s">
        <v>174</v>
      </c>
      <c r="AB68" s="68" t="s">
        <v>183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366</v>
      </c>
      <c r="AQ68" s="68" t="s">
        <v>185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370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172</v>
      </c>
      <c r="H69" s="63" t="s">
        <v>371</v>
      </c>
      <c r="I69" s="64"/>
      <c r="J69" s="42" t="s">
        <v>174</v>
      </c>
      <c r="K69" s="42" t="s">
        <v>364</v>
      </c>
      <c r="L69" s="65"/>
      <c r="M69" s="65"/>
      <c r="N69" s="65"/>
      <c r="O69" s="65"/>
      <c r="P69" s="42" t="s">
        <v>172</v>
      </c>
      <c r="Q69" s="42" t="s">
        <v>333</v>
      </c>
      <c r="R69" s="42" t="s">
        <v>172</v>
      </c>
      <c r="S69" s="42" t="s">
        <v>372</v>
      </c>
      <c r="T69" s="42" t="s">
        <v>364</v>
      </c>
      <c r="U69" s="64"/>
      <c r="V69" s="42" t="s">
        <v>200</v>
      </c>
      <c r="W69" s="64"/>
      <c r="X69" s="66" t="s">
        <v>180</v>
      </c>
      <c r="Y69" s="67" t="s">
        <v>181</v>
      </c>
      <c r="Z69" s="66" t="s">
        <v>182</v>
      </c>
      <c r="AA69" s="68" t="s">
        <v>174</v>
      </c>
      <c r="AB69" s="68" t="s">
        <v>183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366</v>
      </c>
      <c r="AQ69" s="68" t="s">
        <v>185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373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172</v>
      </c>
      <c r="H70" s="63" t="s">
        <v>374</v>
      </c>
      <c r="I70" s="64"/>
      <c r="J70" s="42" t="s">
        <v>174</v>
      </c>
      <c r="K70" s="42" t="s">
        <v>364</v>
      </c>
      <c r="L70" s="65"/>
      <c r="M70" s="65"/>
      <c r="N70" s="65"/>
      <c r="O70" s="65"/>
      <c r="P70" s="42" t="s">
        <v>172</v>
      </c>
      <c r="Q70" s="42" t="s">
        <v>333</v>
      </c>
      <c r="R70" s="42" t="s">
        <v>172</v>
      </c>
      <c r="S70" s="42" t="s">
        <v>375</v>
      </c>
      <c r="T70" s="42" t="s">
        <v>364</v>
      </c>
      <c r="U70" s="64"/>
      <c r="V70" s="42" t="s">
        <v>200</v>
      </c>
      <c r="W70" s="64"/>
      <c r="X70" s="66" t="s">
        <v>180</v>
      </c>
      <c r="Y70" s="67" t="s">
        <v>181</v>
      </c>
      <c r="Z70" s="66" t="s">
        <v>182</v>
      </c>
      <c r="AA70" s="68" t="s">
        <v>174</v>
      </c>
      <c r="AB70" s="68" t="s">
        <v>183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366</v>
      </c>
      <c r="AQ70" s="68" t="s">
        <v>185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376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172</v>
      </c>
      <c r="H71" s="63" t="s">
        <v>377</v>
      </c>
      <c r="I71" s="64"/>
      <c r="J71" s="42" t="s">
        <v>174</v>
      </c>
      <c r="K71" s="42" t="s">
        <v>364</v>
      </c>
      <c r="L71" s="65"/>
      <c r="M71" s="65"/>
      <c r="N71" s="65"/>
      <c r="O71" s="65"/>
      <c r="P71" s="42" t="s">
        <v>172</v>
      </c>
      <c r="Q71" s="42" t="s">
        <v>333</v>
      </c>
      <c r="R71" s="42" t="s">
        <v>172</v>
      </c>
      <c r="S71" s="42" t="s">
        <v>378</v>
      </c>
      <c r="T71" s="42" t="s">
        <v>364</v>
      </c>
      <c r="U71" s="64"/>
      <c r="V71" s="42" t="s">
        <v>200</v>
      </c>
      <c r="W71" s="64"/>
      <c r="X71" s="66" t="s">
        <v>180</v>
      </c>
      <c r="Y71" s="67" t="s">
        <v>181</v>
      </c>
      <c r="Z71" s="66" t="s">
        <v>182</v>
      </c>
      <c r="AA71" s="68" t="s">
        <v>174</v>
      </c>
      <c r="AB71" s="68" t="s">
        <v>183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366</v>
      </c>
      <c r="AQ71" s="68" t="s">
        <v>185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379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172</v>
      </c>
      <c r="H72" s="63" t="s">
        <v>380</v>
      </c>
      <c r="I72" s="64"/>
      <c r="J72" s="42" t="s">
        <v>174</v>
      </c>
      <c r="K72" s="42" t="s">
        <v>364</v>
      </c>
      <c r="L72" s="65"/>
      <c r="M72" s="65"/>
      <c r="N72" s="65"/>
      <c r="O72" s="65"/>
      <c r="P72" s="42" t="s">
        <v>172</v>
      </c>
      <c r="Q72" s="42" t="s">
        <v>333</v>
      </c>
      <c r="R72" s="42" t="s">
        <v>172</v>
      </c>
      <c r="S72" s="42" t="s">
        <v>381</v>
      </c>
      <c r="T72" s="42" t="s">
        <v>364</v>
      </c>
      <c r="U72" s="64"/>
      <c r="V72" s="42" t="s">
        <v>200</v>
      </c>
      <c r="W72" s="64"/>
      <c r="X72" s="66" t="s">
        <v>180</v>
      </c>
      <c r="Y72" s="67" t="s">
        <v>181</v>
      </c>
      <c r="Z72" s="66" t="s">
        <v>182</v>
      </c>
      <c r="AA72" s="68" t="s">
        <v>174</v>
      </c>
      <c r="AB72" s="68" t="s">
        <v>183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366</v>
      </c>
      <c r="AQ72" s="68" t="s">
        <v>185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382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172</v>
      </c>
      <c r="H73" s="63" t="s">
        <v>383</v>
      </c>
      <c r="I73" s="64"/>
      <c r="J73" s="42" t="s">
        <v>174</v>
      </c>
      <c r="K73" s="42" t="s">
        <v>364</v>
      </c>
      <c r="L73" s="65"/>
      <c r="M73" s="65"/>
      <c r="N73" s="65"/>
      <c r="O73" s="65"/>
      <c r="P73" s="42" t="s">
        <v>172</v>
      </c>
      <c r="Q73" s="42" t="s">
        <v>333</v>
      </c>
      <c r="R73" s="42" t="s">
        <v>172</v>
      </c>
      <c r="S73" s="42" t="s">
        <v>384</v>
      </c>
      <c r="T73" s="42" t="s">
        <v>364</v>
      </c>
      <c r="U73" s="64"/>
      <c r="V73" s="42" t="s">
        <v>200</v>
      </c>
      <c r="W73" s="64"/>
      <c r="X73" s="66" t="s">
        <v>180</v>
      </c>
      <c r="Y73" s="67" t="s">
        <v>181</v>
      </c>
      <c r="Z73" s="66" t="s">
        <v>182</v>
      </c>
      <c r="AA73" s="68" t="s">
        <v>174</v>
      </c>
      <c r="AB73" s="68" t="s">
        <v>183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366</v>
      </c>
      <c r="AQ73" s="68" t="s">
        <v>185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385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172</v>
      </c>
      <c r="H74" s="63" t="s">
        <v>386</v>
      </c>
      <c r="I74" s="64"/>
      <c r="J74" s="42" t="s">
        <v>174</v>
      </c>
      <c r="K74" s="42" t="s">
        <v>364</v>
      </c>
      <c r="L74" s="65"/>
      <c r="M74" s="65"/>
      <c r="N74" s="65"/>
      <c r="O74" s="65"/>
      <c r="P74" s="42" t="s">
        <v>172</v>
      </c>
      <c r="Q74" s="42" t="s">
        <v>333</v>
      </c>
      <c r="R74" s="42" t="s">
        <v>172</v>
      </c>
      <c r="S74" s="42" t="s">
        <v>387</v>
      </c>
      <c r="T74" s="42" t="s">
        <v>364</v>
      </c>
      <c r="U74" s="64"/>
      <c r="V74" s="42" t="s">
        <v>200</v>
      </c>
      <c r="W74" s="64"/>
      <c r="X74" s="66" t="s">
        <v>180</v>
      </c>
      <c r="Y74" s="67" t="s">
        <v>181</v>
      </c>
      <c r="Z74" s="66" t="s">
        <v>182</v>
      </c>
      <c r="AA74" s="68" t="s">
        <v>174</v>
      </c>
      <c r="AB74" s="68" t="s">
        <v>183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366</v>
      </c>
      <c r="AQ74" s="68" t="s">
        <v>185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388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172</v>
      </c>
      <c r="H75" s="63" t="s">
        <v>389</v>
      </c>
      <c r="I75" s="64"/>
      <c r="J75" s="42" t="s">
        <v>174</v>
      </c>
      <c r="K75" s="42" t="s">
        <v>364</v>
      </c>
      <c r="L75" s="65"/>
      <c r="M75" s="65"/>
      <c r="N75" s="65"/>
      <c r="O75" s="65"/>
      <c r="P75" s="42" t="s">
        <v>172</v>
      </c>
      <c r="Q75" s="42" t="s">
        <v>333</v>
      </c>
      <c r="R75" s="42" t="s">
        <v>172</v>
      </c>
      <c r="S75" s="42" t="s">
        <v>390</v>
      </c>
      <c r="T75" s="42" t="s">
        <v>364</v>
      </c>
      <c r="U75" s="64"/>
      <c r="V75" s="42" t="s">
        <v>200</v>
      </c>
      <c r="W75" s="64"/>
      <c r="X75" s="66" t="s">
        <v>180</v>
      </c>
      <c r="Y75" s="67" t="s">
        <v>181</v>
      </c>
      <c r="Z75" s="66" t="s">
        <v>182</v>
      </c>
      <c r="AA75" s="68" t="s">
        <v>174</v>
      </c>
      <c r="AB75" s="68" t="s">
        <v>183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366</v>
      </c>
      <c r="AQ75" s="68" t="s">
        <v>185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391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172</v>
      </c>
      <c r="H76" s="63" t="s">
        <v>392</v>
      </c>
      <c r="I76" s="64"/>
      <c r="J76" s="42" t="s">
        <v>174</v>
      </c>
      <c r="K76" s="42" t="s">
        <v>364</v>
      </c>
      <c r="L76" s="65"/>
      <c r="M76" s="65"/>
      <c r="N76" s="65"/>
      <c r="O76" s="65"/>
      <c r="P76" s="42" t="s">
        <v>172</v>
      </c>
      <c r="Q76" s="42" t="s">
        <v>333</v>
      </c>
      <c r="R76" s="42" t="s">
        <v>172</v>
      </c>
      <c r="S76" s="42" t="s">
        <v>393</v>
      </c>
      <c r="T76" s="42" t="s">
        <v>364</v>
      </c>
      <c r="U76" s="64"/>
      <c r="V76" s="42" t="s">
        <v>200</v>
      </c>
      <c r="W76" s="64"/>
      <c r="X76" s="66" t="s">
        <v>180</v>
      </c>
      <c r="Y76" s="67" t="s">
        <v>181</v>
      </c>
      <c r="Z76" s="66" t="s">
        <v>182</v>
      </c>
      <c r="AA76" s="68" t="s">
        <v>174</v>
      </c>
      <c r="AB76" s="68" t="s">
        <v>183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366</v>
      </c>
      <c r="AQ76" s="68" t="s">
        <v>185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394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172</v>
      </c>
      <c r="H77" s="63" t="s">
        <v>395</v>
      </c>
      <c r="I77" s="64"/>
      <c r="J77" s="42" t="s">
        <v>174</v>
      </c>
      <c r="K77" s="42" t="s">
        <v>364</v>
      </c>
      <c r="L77" s="65"/>
      <c r="M77" s="65"/>
      <c r="N77" s="65"/>
      <c r="O77" s="65"/>
      <c r="P77" s="42" t="s">
        <v>172</v>
      </c>
      <c r="Q77" s="42" t="s">
        <v>333</v>
      </c>
      <c r="R77" s="42" t="s">
        <v>172</v>
      </c>
      <c r="S77" s="42" t="s">
        <v>396</v>
      </c>
      <c r="T77" s="42" t="s">
        <v>364</v>
      </c>
      <c r="U77" s="64"/>
      <c r="V77" s="42" t="s">
        <v>200</v>
      </c>
      <c r="W77" s="64"/>
      <c r="X77" s="66" t="s">
        <v>180</v>
      </c>
      <c r="Y77" s="67" t="s">
        <v>181</v>
      </c>
      <c r="Z77" s="66" t="s">
        <v>182</v>
      </c>
      <c r="AA77" s="68" t="s">
        <v>174</v>
      </c>
      <c r="AB77" s="68" t="s">
        <v>183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366</v>
      </c>
      <c r="AQ77" s="68" t="s">
        <v>185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397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172</v>
      </c>
      <c r="H78" s="63" t="s">
        <v>398</v>
      </c>
      <c r="I78" s="64"/>
      <c r="J78" s="42" t="s">
        <v>174</v>
      </c>
      <c r="K78" s="42" t="s">
        <v>364</v>
      </c>
      <c r="L78" s="65"/>
      <c r="M78" s="65"/>
      <c r="N78" s="65"/>
      <c r="O78" s="65"/>
      <c r="P78" s="42" t="s">
        <v>172</v>
      </c>
      <c r="Q78" s="42" t="s">
        <v>240</v>
      </c>
      <c r="R78" s="42" t="s">
        <v>172</v>
      </c>
      <c r="S78" s="42" t="s">
        <v>399</v>
      </c>
      <c r="T78" s="42" t="s">
        <v>364</v>
      </c>
      <c r="U78" s="64"/>
      <c r="V78" s="42" t="s">
        <v>200</v>
      </c>
      <c r="W78" s="64"/>
      <c r="X78" s="66" t="s">
        <v>180</v>
      </c>
      <c r="Y78" s="67" t="s">
        <v>181</v>
      </c>
      <c r="Z78" s="66" t="s">
        <v>223</v>
      </c>
      <c r="AA78" s="68" t="s">
        <v>174</v>
      </c>
      <c r="AB78" s="68" t="s">
        <v>183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366</v>
      </c>
      <c r="AQ78" s="68" t="s">
        <v>185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400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172</v>
      </c>
      <c r="H79" s="63" t="s">
        <v>392</v>
      </c>
      <c r="I79" s="64"/>
      <c r="J79" s="42" t="s">
        <v>174</v>
      </c>
      <c r="K79" s="42" t="s">
        <v>364</v>
      </c>
      <c r="L79" s="65"/>
      <c r="M79" s="65"/>
      <c r="N79" s="65"/>
      <c r="O79" s="65"/>
      <c r="P79" s="42" t="s">
        <v>172</v>
      </c>
      <c r="Q79" s="42" t="s">
        <v>236</v>
      </c>
      <c r="R79" s="42" t="s">
        <v>172</v>
      </c>
      <c r="S79" s="42" t="s">
        <v>401</v>
      </c>
      <c r="T79" s="42" t="s">
        <v>364</v>
      </c>
      <c r="U79" s="64"/>
      <c r="V79" s="42" t="s">
        <v>267</v>
      </c>
      <c r="W79" s="64"/>
      <c r="X79" s="66" t="s">
        <v>180</v>
      </c>
      <c r="Y79" s="67" t="s">
        <v>181</v>
      </c>
      <c r="Z79" s="66" t="s">
        <v>223</v>
      </c>
      <c r="AA79" s="68" t="s">
        <v>174</v>
      </c>
      <c r="AB79" s="68" t="s">
        <v>251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402</v>
      </c>
      <c r="AQ79" s="68" t="s">
        <v>185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403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172</v>
      </c>
      <c r="H80" s="63" t="s">
        <v>404</v>
      </c>
      <c r="I80" s="64"/>
      <c r="J80" s="42" t="s">
        <v>174</v>
      </c>
      <c r="K80" s="42" t="s">
        <v>364</v>
      </c>
      <c r="L80" s="65"/>
      <c r="M80" s="65"/>
      <c r="N80" s="65"/>
      <c r="O80" s="65"/>
      <c r="P80" s="42" t="s">
        <v>172</v>
      </c>
      <c r="Q80" s="42" t="s">
        <v>236</v>
      </c>
      <c r="R80" s="42" t="s">
        <v>172</v>
      </c>
      <c r="S80" s="42" t="s">
        <v>405</v>
      </c>
      <c r="T80" s="42" t="s">
        <v>364</v>
      </c>
      <c r="U80" s="64"/>
      <c r="V80" s="42" t="s">
        <v>200</v>
      </c>
      <c r="W80" s="64"/>
      <c r="X80" s="66" t="s">
        <v>180</v>
      </c>
      <c r="Y80" s="67" t="s">
        <v>181</v>
      </c>
      <c r="Z80" s="66" t="s">
        <v>223</v>
      </c>
      <c r="AA80" s="68" t="s">
        <v>174</v>
      </c>
      <c r="AB80" s="68" t="s">
        <v>251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402</v>
      </c>
      <c r="AQ80" s="68" t="s">
        <v>185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406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172</v>
      </c>
      <c r="H81" s="63" t="s">
        <v>173</v>
      </c>
      <c r="I81" s="64"/>
      <c r="J81" s="42" t="s">
        <v>174</v>
      </c>
      <c r="K81" s="42" t="s">
        <v>175</v>
      </c>
      <c r="L81" s="65"/>
      <c r="M81" s="65"/>
      <c r="N81" s="65"/>
      <c r="O81" s="65"/>
      <c r="P81" s="42" t="s">
        <v>172</v>
      </c>
      <c r="Q81" s="42" t="s">
        <v>176</v>
      </c>
      <c r="R81" s="42" t="s">
        <v>172</v>
      </c>
      <c r="S81" s="42" t="s">
        <v>407</v>
      </c>
      <c r="T81" s="42" t="s">
        <v>408</v>
      </c>
      <c r="U81" s="64"/>
      <c r="V81" s="42" t="s">
        <v>179</v>
      </c>
      <c r="W81" s="64"/>
      <c r="X81" s="80" t="s">
        <v>297</v>
      </c>
      <c r="Y81" s="67" t="s">
        <v>181</v>
      </c>
      <c r="Z81" s="80" t="s">
        <v>182</v>
      </c>
      <c r="AA81" s="68" t="s">
        <v>174</v>
      </c>
      <c r="AB81" s="68" t="s">
        <v>183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184</v>
      </c>
      <c r="AQ81" s="68" t="s">
        <v>185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409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172</v>
      </c>
      <c r="H82" s="63" t="s">
        <v>173</v>
      </c>
      <c r="I82" s="64"/>
      <c r="J82" s="42" t="s">
        <v>174</v>
      </c>
      <c r="K82" s="42" t="s">
        <v>175</v>
      </c>
      <c r="L82" s="65"/>
      <c r="M82" s="65"/>
      <c r="N82" s="65"/>
      <c r="O82" s="65"/>
      <c r="P82" s="42" t="s">
        <v>172</v>
      </c>
      <c r="Q82" s="42" t="s">
        <v>176</v>
      </c>
      <c r="R82" s="42" t="s">
        <v>172</v>
      </c>
      <c r="S82" s="42" t="s">
        <v>410</v>
      </c>
      <c r="T82" s="42" t="s">
        <v>408</v>
      </c>
      <c r="U82" s="64"/>
      <c r="V82" s="42" t="s">
        <v>179</v>
      </c>
      <c r="W82" s="64"/>
      <c r="X82" s="80" t="s">
        <v>297</v>
      </c>
      <c r="Y82" s="67" t="s">
        <v>181</v>
      </c>
      <c r="Z82" s="80" t="s">
        <v>182</v>
      </c>
      <c r="AA82" s="68" t="s">
        <v>174</v>
      </c>
      <c r="AB82" s="68" t="s">
        <v>183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184</v>
      </c>
      <c r="AQ82" s="68" t="s">
        <v>185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411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172</v>
      </c>
      <c r="H83" s="63" t="s">
        <v>173</v>
      </c>
      <c r="I83" s="64"/>
      <c r="J83" s="42" t="s">
        <v>174</v>
      </c>
      <c r="K83" s="42" t="s">
        <v>175</v>
      </c>
      <c r="L83" s="65"/>
      <c r="M83" s="65"/>
      <c r="N83" s="65"/>
      <c r="O83" s="65"/>
      <c r="P83" s="42" t="s">
        <v>172</v>
      </c>
      <c r="Q83" s="42" t="s">
        <v>189</v>
      </c>
      <c r="R83" s="42" t="s">
        <v>172</v>
      </c>
      <c r="S83" s="42" t="s">
        <v>412</v>
      </c>
      <c r="T83" s="42" t="s">
        <v>408</v>
      </c>
      <c r="U83" s="64"/>
      <c r="V83" s="42" t="s">
        <v>200</v>
      </c>
      <c r="W83" s="64"/>
      <c r="X83" s="66" t="s">
        <v>180</v>
      </c>
      <c r="Y83" s="67" t="s">
        <v>181</v>
      </c>
      <c r="Z83" s="66" t="s">
        <v>223</v>
      </c>
      <c r="AA83" s="68" t="s">
        <v>174</v>
      </c>
      <c r="AB83" s="68" t="s">
        <v>224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194</v>
      </c>
      <c r="AQ83" s="68" t="s">
        <v>195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413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172</v>
      </c>
      <c r="H84" s="63" t="s">
        <v>173</v>
      </c>
      <c r="I84" s="64"/>
      <c r="J84" s="42" t="s">
        <v>174</v>
      </c>
      <c r="K84" s="42" t="s">
        <v>175</v>
      </c>
      <c r="L84" s="65"/>
      <c r="M84" s="65"/>
      <c r="N84" s="65"/>
      <c r="O84" s="65"/>
      <c r="P84" s="42" t="s">
        <v>172</v>
      </c>
      <c r="Q84" s="42" t="s">
        <v>176</v>
      </c>
      <c r="R84" s="42" t="s">
        <v>172</v>
      </c>
      <c r="S84" s="42" t="s">
        <v>414</v>
      </c>
      <c r="T84" s="42" t="s">
        <v>408</v>
      </c>
      <c r="U84" s="64"/>
      <c r="V84" s="42" t="s">
        <v>179</v>
      </c>
      <c r="W84" s="64"/>
      <c r="X84" s="80" t="s">
        <v>297</v>
      </c>
      <c r="Y84" s="67" t="s">
        <v>181</v>
      </c>
      <c r="Z84" s="80" t="s">
        <v>182</v>
      </c>
      <c r="AA84" s="68" t="s">
        <v>174</v>
      </c>
      <c r="AB84" s="68" t="s">
        <v>183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184</v>
      </c>
      <c r="AQ84" s="68" t="s">
        <v>185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