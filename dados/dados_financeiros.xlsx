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Gastos'!$A$1:$E$273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fLD/fPL1u84Fvh55VsFZ5OehLJPi2Z4ILPY6bnln4g="/>
    </ext>
  </extLst>
</workbook>
</file>

<file path=xl/sharedStrings.xml><?xml version="1.0" encoding="utf-8"?>
<sst xmlns="http://schemas.openxmlformats.org/spreadsheetml/2006/main" count="2440" uniqueCount="427">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</sst>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048450435"/>
        <c:axId val="1683088026"/>
      </c:barChart>
      <c:catAx>
        <c:axId val="1048450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83088026"/>
      </c:catAx>
      <c:valAx>
        <c:axId val="1683088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4845043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7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80.0"/>
        <n v="101.47"/>
        <n v="983.8"/>
        <n v="7200.0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258712.66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14100.29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15377.97</v>
      </c>
      <c r="C6" s="3">
        <f>IF($A6="","",SUMIFS('Salários'!$D:$D,'Salários'!$B:$B,"&gt;="&amp;$A6,'Salários'!$B:$B,"&lt;"&amp;EDATE($A6,1)))</f>
        <v>17216.72</v>
      </c>
      <c r="D6" s="3">
        <f t="shared" si="1"/>
        <v>1838.75</v>
      </c>
      <c r="E6" s="4">
        <f>IF($A6="","",COUNTIFS('Todos os Gastos'!$A:$A,"&gt;="&amp;$A6,'Todos os Gastos'!$A:$A,"&lt;"&amp;EDATE($A6,1)))</f>
        <v>20</v>
      </c>
      <c r="F6" s="4">
        <f>IF($A6="","",COUNTIFS('Salários'!$B:$B,"&gt;="&amp;$A6,'Salários'!$B:$B,"&lt;"&amp;EDATE($A6,1)))</f>
        <v>3</v>
      </c>
      <c r="G6" s="3">
        <f t="shared" si="2"/>
        <v>14100.29</v>
      </c>
      <c r="I6" s="7" t="s">
        <v>13</v>
      </c>
      <c r="J6" s="8">
        <f>IFERROR(__xludf.DUMMYFUNCTION("INDEX(G:G, MAX(FILTER(ROW(G:G), G:G&lt;&gt;"""")))"),-64.3299999999872)</f>
        <v>-64.33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14607.38</v>
      </c>
      <c r="C7" s="6">
        <f>IF($A7="","",SUMIFS('Salários'!$D:$D,'Salários'!$B:$B,"&gt;="&amp;$A7,'Salários'!$B:$B,"&lt;"&amp;EDATE($A7,1)))</f>
        <v>17243</v>
      </c>
      <c r="D7" s="6">
        <f t="shared" si="1"/>
        <v>2635.62</v>
      </c>
      <c r="E7" s="4">
        <f>IF($A7="","",COUNTIFS('Todos os Gastos'!$A:$A,"&gt;="&amp;$A7,'Todos os Gastos'!$A:$A,"&lt;"&amp;EDATE($A7,1)))</f>
        <v>16</v>
      </c>
      <c r="F7" s="4">
        <f>IF($A7="","",COUNTIFS('Salários'!$B:$B,"&gt;="&amp;$A7,'Salários'!$B:$B,"&lt;"&amp;EDATE($A7,1)))</f>
        <v>3</v>
      </c>
      <c r="G7" s="6">
        <f t="shared" si="2"/>
        <v>16735.91</v>
      </c>
      <c r="I7" s="7" t="s">
        <v>14</v>
      </c>
      <c r="J7" s="8">
        <f>SUMIFS(D:D,A:A,"&gt;="&amp;EOMONTH(TODAY(),-1)+1,A:A,"&lt;"&amp;EDATE(EOMONTH(TODAY(),-1)+1,1))</f>
        <v>1838.75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15956.73</v>
      </c>
      <c r="I8" s="7" t="s">
        <v>15</v>
      </c>
      <c r="J8" s="8">
        <f>AVERAGEIF(D:D,"&lt;&gt;",D:D)</f>
        <v>-3.784117647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14535.75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12546.57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10957.59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9868.41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5659.23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8498.97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5428.07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2246.95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-2106.1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-64.33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6">
        <v>7663.0</v>
      </c>
    </row>
    <row r="20">
      <c r="A20" s="22" t="s">
        <v>24</v>
      </c>
      <c r="B20" s="27">
        <v>46178.0</v>
      </c>
      <c r="C20" s="22" t="s">
        <v>26</v>
      </c>
      <c r="D20" s="26">
        <v>3900.0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70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87</v>
      </c>
      <c r="C77" s="49">
        <v>70.0</v>
      </c>
      <c r="D77" s="42" t="s">
        <v>37</v>
      </c>
      <c r="E77" s="35" t="s">
        <v>55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55</v>
      </c>
      <c r="G86" s="57"/>
      <c r="H86" s="58"/>
    </row>
    <row r="87" ht="14.25" customHeight="1">
      <c r="A87" s="46">
        <v>46126.0</v>
      </c>
      <c r="B87" s="42" t="s">
        <v>70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61</v>
      </c>
      <c r="G91" s="57"/>
      <c r="H91" s="58"/>
    </row>
    <row r="92" ht="14.25" customHeight="1">
      <c r="A92" s="34">
        <v>46132.0</v>
      </c>
      <c r="B92" s="43" t="s">
        <v>91</v>
      </c>
      <c r="C92" s="47">
        <v>120.75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34">
        <v>46175.0</v>
      </c>
      <c r="B118" s="43" t="s">
        <v>92</v>
      </c>
      <c r="C118" s="47">
        <v>400.0</v>
      </c>
      <c r="D118" s="35"/>
      <c r="E118" s="35"/>
      <c r="G118" s="57"/>
      <c r="H118" s="58"/>
    </row>
    <row r="119" ht="14.25" customHeight="1">
      <c r="A119" s="34">
        <v>46175.0</v>
      </c>
      <c r="B119" s="42" t="s">
        <v>40</v>
      </c>
      <c r="C119" s="49">
        <v>580.0</v>
      </c>
      <c r="D119" s="42"/>
      <c r="E119" s="42"/>
      <c r="G119" s="57"/>
      <c r="H119" s="58"/>
    </row>
    <row r="120" ht="14.25" customHeight="1">
      <c r="A120" s="34">
        <v>46179.0</v>
      </c>
      <c r="B120" s="43" t="s">
        <v>60</v>
      </c>
      <c r="C120" s="49">
        <v>950.0</v>
      </c>
      <c r="D120" s="42"/>
      <c r="E120" s="42"/>
      <c r="G120" s="57"/>
      <c r="H120" s="58"/>
    </row>
    <row r="121" ht="14.25" customHeight="1">
      <c r="A121" s="46">
        <v>46180.0</v>
      </c>
      <c r="B121" s="43" t="s">
        <v>44</v>
      </c>
      <c r="C121" s="47">
        <v>110.0</v>
      </c>
      <c r="D121" s="42"/>
      <c r="E121" s="42"/>
      <c r="G121" s="57"/>
      <c r="H121" s="58"/>
    </row>
    <row r="122" ht="14.25" customHeight="1">
      <c r="A122" s="34">
        <v>46183.0</v>
      </c>
      <c r="B122" s="35" t="s">
        <v>76</v>
      </c>
      <c r="C122" s="49">
        <v>65.0</v>
      </c>
      <c r="D122" s="42"/>
      <c r="E122" s="42"/>
      <c r="G122" s="57"/>
      <c r="H122" s="58"/>
    </row>
    <row r="123" ht="14.25" customHeight="1">
      <c r="A123" s="34">
        <v>46183.0</v>
      </c>
      <c r="B123" s="42" t="s">
        <v>85</v>
      </c>
      <c r="C123" s="47">
        <v>120.0</v>
      </c>
      <c r="D123" s="42"/>
      <c r="E123" s="42"/>
      <c r="G123" s="57"/>
      <c r="H123" s="58"/>
    </row>
    <row r="124" ht="14.25" customHeight="1">
      <c r="A124" s="34">
        <v>46183.0</v>
      </c>
      <c r="B124" s="42" t="s">
        <v>65</v>
      </c>
      <c r="C124" s="49">
        <v>530.0</v>
      </c>
      <c r="D124" s="42"/>
      <c r="E124" s="42"/>
      <c r="G124" s="57"/>
      <c r="H124" s="58"/>
    </row>
    <row r="125" ht="14.25" customHeight="1">
      <c r="A125" s="34">
        <v>46184.0</v>
      </c>
      <c r="B125" s="42" t="s">
        <v>42</v>
      </c>
      <c r="C125" s="47">
        <v>101.47</v>
      </c>
      <c r="D125" s="42"/>
      <c r="E125" s="42"/>
      <c r="G125" s="57"/>
      <c r="H125" s="58"/>
    </row>
    <row r="126" ht="14.25" customHeight="1">
      <c r="A126" s="34">
        <v>46185.0</v>
      </c>
      <c r="B126" s="43" t="s">
        <v>63</v>
      </c>
      <c r="C126" s="47">
        <v>983.8</v>
      </c>
      <c r="D126" s="42"/>
      <c r="E126" s="42"/>
      <c r="G126" s="57"/>
      <c r="H126" s="58"/>
    </row>
    <row r="127" ht="14.25" customHeight="1">
      <c r="A127" s="34">
        <v>46185.0</v>
      </c>
      <c r="B127" s="42" t="s">
        <v>70</v>
      </c>
      <c r="C127" s="49">
        <v>2831.4</v>
      </c>
      <c r="D127" s="42"/>
      <c r="E127" s="42"/>
      <c r="G127" s="57"/>
      <c r="H127" s="58"/>
    </row>
    <row r="128" ht="14.25" customHeight="1">
      <c r="A128" s="46">
        <v>46185.0</v>
      </c>
      <c r="B128" s="43" t="s">
        <v>56</v>
      </c>
      <c r="C128" s="49">
        <v>50.0</v>
      </c>
      <c r="D128" s="42"/>
      <c r="E128" s="42"/>
      <c r="G128" s="57"/>
      <c r="H128" s="58"/>
    </row>
    <row r="129" ht="14.25" customHeight="1">
      <c r="A129" s="34">
        <v>46188.0</v>
      </c>
      <c r="B129" s="43" t="s">
        <v>62</v>
      </c>
      <c r="C129" s="49">
        <v>132.4</v>
      </c>
      <c r="D129" s="42"/>
      <c r="E129" s="42"/>
      <c r="G129" s="57"/>
      <c r="H129" s="58"/>
    </row>
    <row r="130" ht="14.25" customHeight="1">
      <c r="A130" s="46">
        <v>46192.0</v>
      </c>
      <c r="B130" s="37" t="s">
        <v>96</v>
      </c>
      <c r="C130" s="47">
        <v>40.0</v>
      </c>
      <c r="D130" s="42"/>
      <c r="E130" s="42"/>
      <c r="G130" s="57"/>
      <c r="H130" s="58"/>
    </row>
    <row r="131" ht="14.25" customHeight="1">
      <c r="A131" s="34">
        <v>46193.0</v>
      </c>
      <c r="B131" s="35" t="s">
        <v>36</v>
      </c>
      <c r="C131" s="49">
        <v>7200.0</v>
      </c>
      <c r="D131" s="42"/>
      <c r="E131" s="42"/>
      <c r="G131" s="57"/>
      <c r="H131" s="58"/>
    </row>
    <row r="132" ht="14.25" customHeight="1">
      <c r="A132" s="46">
        <v>46193.0</v>
      </c>
      <c r="B132" s="43" t="s">
        <v>54</v>
      </c>
      <c r="C132" s="49">
        <v>113.31</v>
      </c>
      <c r="D132" s="42"/>
      <c r="E132" s="42"/>
      <c r="G132" s="57"/>
      <c r="H132" s="58"/>
    </row>
    <row r="133" ht="14.25" customHeight="1">
      <c r="A133" s="46">
        <v>46203.0</v>
      </c>
      <c r="B133" s="43" t="s">
        <v>92</v>
      </c>
      <c r="C133" s="47">
        <v>400.0</v>
      </c>
      <c r="D133" s="35"/>
      <c r="E133" s="35"/>
      <c r="F133" s="54"/>
      <c r="G133" s="39"/>
      <c r="H133" s="53"/>
      <c r="I133" s="41"/>
      <c r="J133" s="41"/>
    </row>
    <row r="134" ht="14.25" customHeight="1">
      <c r="A134" s="34">
        <v>46205.0</v>
      </c>
      <c r="B134" s="42" t="s">
        <v>40</v>
      </c>
      <c r="C134" s="49">
        <v>930.0</v>
      </c>
      <c r="D134" s="42"/>
      <c r="E134" s="42"/>
      <c r="F134" s="54"/>
      <c r="G134" s="39"/>
      <c r="H134" s="53"/>
      <c r="I134" s="41"/>
      <c r="J134" s="41"/>
    </row>
    <row r="135" ht="14.25" customHeight="1">
      <c r="A135" s="34">
        <v>46209.0</v>
      </c>
      <c r="B135" s="43" t="s">
        <v>60</v>
      </c>
      <c r="C135" s="49">
        <v>950.0</v>
      </c>
      <c r="D135" s="42"/>
      <c r="E135" s="42"/>
      <c r="G135" s="57"/>
      <c r="H135" s="58"/>
    </row>
    <row r="136" ht="14.25" customHeight="1">
      <c r="A136" s="46">
        <v>46210.0</v>
      </c>
      <c r="B136" s="43" t="s">
        <v>44</v>
      </c>
      <c r="C136" s="47">
        <v>110.0</v>
      </c>
      <c r="D136" s="42"/>
      <c r="E136" s="42"/>
      <c r="G136" s="57"/>
      <c r="H136" s="58"/>
    </row>
    <row r="137" ht="14.25" customHeight="1">
      <c r="A137" s="34">
        <v>46213.0</v>
      </c>
      <c r="B137" s="35" t="s">
        <v>76</v>
      </c>
      <c r="C137" s="49">
        <v>65.0</v>
      </c>
      <c r="D137" s="42"/>
      <c r="E137" s="42"/>
      <c r="G137" s="57"/>
      <c r="H137" s="58"/>
    </row>
    <row r="138" ht="14.25" customHeight="1">
      <c r="A138" s="34">
        <v>46214.0</v>
      </c>
      <c r="B138" s="42" t="s">
        <v>42</v>
      </c>
      <c r="C138" s="49">
        <v>95.12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63</v>
      </c>
      <c r="C139" s="49">
        <v>981.95</v>
      </c>
      <c r="D139" s="42"/>
      <c r="E139" s="42"/>
      <c r="G139" s="57"/>
      <c r="H139" s="58"/>
    </row>
    <row r="140" ht="14.25" customHeight="1">
      <c r="A140" s="34">
        <v>46215.0</v>
      </c>
      <c r="B140" s="42" t="s">
        <v>70</v>
      </c>
      <c r="C140" s="49">
        <v>2831.4</v>
      </c>
      <c r="D140" s="42"/>
      <c r="E140" s="42"/>
      <c r="G140" s="57"/>
      <c r="H140" s="58"/>
    </row>
    <row r="141" ht="14.25" customHeight="1">
      <c r="A141" s="34">
        <v>46215.0</v>
      </c>
      <c r="B141" s="43" t="s">
        <v>56</v>
      </c>
      <c r="C141" s="49">
        <v>50.0</v>
      </c>
      <c r="D141" s="42"/>
      <c r="E141" s="42"/>
      <c r="G141" s="57"/>
      <c r="H141" s="58"/>
    </row>
    <row r="142" ht="14.25" customHeight="1">
      <c r="A142" s="34">
        <v>46218.0</v>
      </c>
      <c r="B142" s="43" t="s">
        <v>62</v>
      </c>
      <c r="C142" s="49">
        <v>132.4</v>
      </c>
      <c r="D142" s="42"/>
      <c r="E142" s="42"/>
      <c r="G142" s="57"/>
      <c r="H142" s="58"/>
    </row>
    <row r="143" ht="14.25" customHeight="1">
      <c r="A143" s="34">
        <v>46223.0</v>
      </c>
      <c r="B143" s="35" t="s">
        <v>36</v>
      </c>
      <c r="C143" s="49">
        <v>6800.0</v>
      </c>
      <c r="D143" s="42"/>
      <c r="E143" s="42"/>
      <c r="G143" s="57"/>
      <c r="H143" s="58"/>
    </row>
    <row r="144" ht="14.25" customHeight="1">
      <c r="A144" s="34">
        <v>46223.0</v>
      </c>
      <c r="B144" s="43" t="s">
        <v>54</v>
      </c>
      <c r="C144" s="49">
        <v>113.31</v>
      </c>
      <c r="D144" s="42"/>
      <c r="E144" s="42"/>
      <c r="G144" s="57"/>
      <c r="H144" s="58"/>
    </row>
    <row r="145" ht="14.25" customHeight="1">
      <c r="A145" s="46">
        <v>46233.0</v>
      </c>
      <c r="B145" s="43" t="s">
        <v>92</v>
      </c>
      <c r="C145" s="47">
        <v>400.0</v>
      </c>
      <c r="D145" s="35"/>
      <c r="E145" s="35"/>
      <c r="G145" s="57"/>
      <c r="H145" s="58"/>
    </row>
    <row r="146" ht="14.25" customHeight="1">
      <c r="A146" s="34">
        <v>46236.0</v>
      </c>
      <c r="B146" s="42" t="s">
        <v>40</v>
      </c>
      <c r="C146" s="49">
        <v>1500.0</v>
      </c>
      <c r="D146" s="42"/>
      <c r="E146" s="42"/>
      <c r="G146" s="57"/>
      <c r="H146" s="58"/>
    </row>
    <row r="147" ht="14.25" customHeight="1">
      <c r="A147" s="46">
        <v>46239.0</v>
      </c>
      <c r="B147" s="42" t="s">
        <v>75</v>
      </c>
      <c r="C147" s="49">
        <v>81.8</v>
      </c>
      <c r="D147" s="35"/>
      <c r="E147" s="35"/>
      <c r="G147" s="57"/>
      <c r="H147" s="58"/>
    </row>
    <row r="148" ht="14.25" customHeight="1">
      <c r="A148" s="34">
        <v>46240.0</v>
      </c>
      <c r="B148" s="43" t="s">
        <v>60</v>
      </c>
      <c r="C148" s="49">
        <v>950.0</v>
      </c>
      <c r="D148" s="42"/>
      <c r="E148" s="42"/>
      <c r="G148" s="57"/>
      <c r="H148" s="58"/>
    </row>
    <row r="149" ht="14.25" customHeight="1">
      <c r="A149" s="46">
        <v>46241.0</v>
      </c>
      <c r="B149" s="43" t="s">
        <v>44</v>
      </c>
      <c r="C149" s="47">
        <v>110.0</v>
      </c>
      <c r="D149" s="42"/>
      <c r="E149" s="42"/>
      <c r="G149" s="57"/>
      <c r="H149" s="58"/>
    </row>
    <row r="150" ht="14.25" customHeight="1">
      <c r="A150" s="34">
        <v>46244.0</v>
      </c>
      <c r="B150" s="35" t="s">
        <v>76</v>
      </c>
      <c r="C150" s="49">
        <v>65.0</v>
      </c>
      <c r="D150" s="42"/>
      <c r="E150" s="42"/>
      <c r="G150" s="57"/>
      <c r="H150" s="58"/>
    </row>
    <row r="151" ht="14.25" customHeight="1">
      <c r="A151" s="34">
        <v>46245.0</v>
      </c>
      <c r="B151" s="42" t="s">
        <v>42</v>
      </c>
      <c r="C151" s="49">
        <v>95.12</v>
      </c>
      <c r="D151" s="42"/>
      <c r="E151" s="42"/>
      <c r="G151" s="57"/>
      <c r="H151" s="58"/>
    </row>
    <row r="152" ht="14.25" customHeight="1">
      <c r="A152" s="34">
        <v>46246.0</v>
      </c>
      <c r="B152" s="43" t="s">
        <v>63</v>
      </c>
      <c r="C152" s="49">
        <v>981.95</v>
      </c>
      <c r="D152" s="42"/>
      <c r="E152" s="42"/>
      <c r="G152" s="57"/>
      <c r="H152" s="58"/>
    </row>
    <row r="153" ht="14.25" customHeight="1">
      <c r="A153" s="34">
        <v>46246.0</v>
      </c>
      <c r="B153" s="42" t="s">
        <v>70</v>
      </c>
      <c r="C153" s="49">
        <v>2831.4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69</v>
      </c>
      <c r="C154" s="49">
        <v>460.0</v>
      </c>
      <c r="D154" s="42"/>
      <c r="E154" s="42"/>
      <c r="G154" s="57"/>
      <c r="H154" s="58"/>
    </row>
    <row r="155" ht="14.25" customHeight="1">
      <c r="A155" s="46">
        <v>46246.0</v>
      </c>
      <c r="B155" s="43" t="s">
        <v>56</v>
      </c>
      <c r="C155" s="49">
        <v>50.0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65</v>
      </c>
      <c r="C156" s="49">
        <v>530.0</v>
      </c>
      <c r="D156" s="42"/>
      <c r="E156" s="42"/>
      <c r="G156" s="57"/>
      <c r="H156" s="58"/>
    </row>
    <row r="157" ht="14.25" customHeight="1">
      <c r="A157" s="34">
        <v>46249.0</v>
      </c>
      <c r="B157" s="43" t="s">
        <v>62</v>
      </c>
      <c r="C157" s="49">
        <v>132.4</v>
      </c>
      <c r="D157" s="42"/>
      <c r="E157" s="42"/>
      <c r="G157" s="57"/>
      <c r="H157" s="58"/>
    </row>
    <row r="158" ht="14.25" customHeight="1">
      <c r="A158" s="34">
        <v>46254.0</v>
      </c>
      <c r="B158" s="35" t="s">
        <v>36</v>
      </c>
      <c r="C158" s="49">
        <v>5800.0</v>
      </c>
      <c r="D158" s="42"/>
      <c r="E158" s="42"/>
      <c r="G158" s="57"/>
      <c r="H158" s="58"/>
    </row>
    <row r="159" ht="14.25" customHeight="1">
      <c r="A159" s="34">
        <v>46254.0</v>
      </c>
      <c r="B159" s="43" t="s">
        <v>54</v>
      </c>
      <c r="C159" s="49">
        <v>113.31</v>
      </c>
      <c r="D159" s="42"/>
      <c r="E159" s="42"/>
      <c r="G159" s="57"/>
      <c r="H159" s="58"/>
    </row>
    <row r="160" ht="14.25" customHeight="1">
      <c r="A160" s="46">
        <v>46264.0</v>
      </c>
      <c r="B160" s="43" t="s">
        <v>92</v>
      </c>
      <c r="C160" s="47">
        <v>400.0</v>
      </c>
      <c r="D160" s="35"/>
      <c r="E160" s="35"/>
      <c r="G160" s="57"/>
      <c r="H160" s="58"/>
    </row>
    <row r="161" ht="14.25" customHeight="1">
      <c r="A161" s="34">
        <v>46267.0</v>
      </c>
      <c r="B161" s="42" t="s">
        <v>40</v>
      </c>
      <c r="C161" s="49">
        <v>2000.0</v>
      </c>
      <c r="D161" s="42"/>
      <c r="E161" s="42"/>
      <c r="G161" s="57"/>
      <c r="H161" s="58"/>
    </row>
    <row r="162" ht="14.25" customHeight="1">
      <c r="A162" s="34">
        <v>46271.0</v>
      </c>
      <c r="B162" s="43" t="s">
        <v>60</v>
      </c>
      <c r="C162" s="49">
        <v>950.0</v>
      </c>
      <c r="D162" s="42"/>
      <c r="E162" s="42"/>
      <c r="G162" s="57"/>
      <c r="H162" s="58"/>
    </row>
    <row r="163" ht="14.25" customHeight="1">
      <c r="A163" s="46">
        <v>46272.0</v>
      </c>
      <c r="B163" s="43" t="s">
        <v>44</v>
      </c>
      <c r="C163" s="47">
        <v>110.0</v>
      </c>
      <c r="D163" s="42"/>
      <c r="E163" s="42"/>
      <c r="G163" s="57"/>
      <c r="H163" s="58"/>
    </row>
    <row r="164" ht="14.25" customHeight="1">
      <c r="A164" s="34">
        <v>46273.0</v>
      </c>
      <c r="B164" s="42" t="s">
        <v>97</v>
      </c>
      <c r="C164" s="49">
        <v>90.0</v>
      </c>
      <c r="D164" s="42"/>
      <c r="E164" s="42"/>
      <c r="G164" s="57"/>
      <c r="H164" s="58"/>
    </row>
    <row r="165" ht="14.25" customHeight="1">
      <c r="A165" s="34">
        <v>46275.0</v>
      </c>
      <c r="B165" s="35" t="s">
        <v>76</v>
      </c>
      <c r="C165" s="49">
        <v>65.0</v>
      </c>
      <c r="D165" s="42"/>
      <c r="E165" s="42"/>
      <c r="G165" s="57"/>
      <c r="H165" s="58"/>
    </row>
    <row r="166" ht="14.25" customHeight="1">
      <c r="A166" s="34">
        <v>46276.0</v>
      </c>
      <c r="B166" s="42" t="s">
        <v>42</v>
      </c>
      <c r="C166" s="49">
        <v>95.12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63</v>
      </c>
      <c r="C167" s="49">
        <v>981.95</v>
      </c>
      <c r="D167" s="42"/>
      <c r="E167" s="42"/>
      <c r="G167" s="57"/>
      <c r="H167" s="58"/>
    </row>
    <row r="168" ht="14.25" customHeight="1">
      <c r="A168" s="34">
        <v>46277.0</v>
      </c>
      <c r="B168" s="42" t="s">
        <v>70</v>
      </c>
      <c r="C168" s="49">
        <v>2831.4</v>
      </c>
      <c r="D168" s="42"/>
      <c r="E168" s="42"/>
      <c r="G168" s="57"/>
      <c r="H168" s="58"/>
    </row>
    <row r="169" ht="14.25" customHeight="1">
      <c r="A169" s="34">
        <v>46277.0</v>
      </c>
      <c r="B169" s="43" t="s">
        <v>56</v>
      </c>
      <c r="C169" s="49">
        <v>50.0</v>
      </c>
      <c r="D169" s="42"/>
      <c r="E169" s="42"/>
      <c r="G169" s="57"/>
      <c r="H169" s="58"/>
    </row>
    <row r="170" ht="14.25" customHeight="1">
      <c r="A170" s="34">
        <v>46280.0</v>
      </c>
      <c r="B170" s="43" t="s">
        <v>62</v>
      </c>
      <c r="C170" s="49">
        <v>132.4</v>
      </c>
      <c r="D170" s="42"/>
      <c r="E170" s="42"/>
      <c r="G170" s="57"/>
      <c r="H170" s="58"/>
    </row>
    <row r="171" ht="14.25" customHeight="1">
      <c r="A171" s="34">
        <v>46285.0</v>
      </c>
      <c r="B171" s="35" t="s">
        <v>36</v>
      </c>
      <c r="C171" s="49">
        <v>6850.0</v>
      </c>
      <c r="D171" s="42"/>
      <c r="E171" s="42"/>
      <c r="G171" s="57"/>
      <c r="H171" s="58"/>
    </row>
    <row r="172" ht="14.25" customHeight="1">
      <c r="A172" s="46">
        <v>46285.0</v>
      </c>
      <c r="B172" s="43" t="s">
        <v>54</v>
      </c>
      <c r="C172" s="49">
        <v>113.31</v>
      </c>
      <c r="D172" s="42"/>
      <c r="E172" s="42"/>
      <c r="G172" s="57"/>
      <c r="H172" s="58"/>
    </row>
    <row r="173" ht="14.25" customHeight="1">
      <c r="A173" s="46">
        <v>46295.0</v>
      </c>
      <c r="B173" s="43" t="s">
        <v>92</v>
      </c>
      <c r="C173" s="47">
        <v>400.0</v>
      </c>
      <c r="D173" s="35"/>
      <c r="E173" s="35"/>
      <c r="G173" s="57"/>
      <c r="H173" s="58"/>
    </row>
    <row r="174" ht="14.25" customHeight="1">
      <c r="A174" s="34">
        <v>46297.0</v>
      </c>
      <c r="B174" s="42" t="s">
        <v>40</v>
      </c>
      <c r="C174" s="49">
        <v>1800.0</v>
      </c>
      <c r="D174" s="42"/>
      <c r="E174" s="42"/>
      <c r="G174" s="57"/>
      <c r="H174" s="58"/>
    </row>
    <row r="175" ht="14.25" customHeight="1">
      <c r="A175" s="34">
        <v>46301.0</v>
      </c>
      <c r="B175" s="43" t="s">
        <v>60</v>
      </c>
      <c r="C175" s="49">
        <v>950.0</v>
      </c>
      <c r="D175" s="42"/>
      <c r="E175" s="42"/>
      <c r="G175" s="57"/>
      <c r="H175" s="58"/>
    </row>
    <row r="176" ht="14.25" customHeight="1">
      <c r="A176" s="46">
        <v>46302.0</v>
      </c>
      <c r="B176" s="43" t="s">
        <v>44</v>
      </c>
      <c r="C176" s="47">
        <v>110.0</v>
      </c>
      <c r="D176" s="42"/>
      <c r="E176" s="42"/>
      <c r="G176" s="57"/>
      <c r="H176" s="58"/>
    </row>
    <row r="177" ht="14.25" customHeight="1">
      <c r="A177" s="34">
        <v>46302.0</v>
      </c>
      <c r="B177" s="42" t="s">
        <v>65</v>
      </c>
      <c r="C177" s="49">
        <v>530.0</v>
      </c>
      <c r="D177" s="42"/>
      <c r="E177" s="42"/>
      <c r="G177" s="57"/>
      <c r="H177" s="58"/>
    </row>
    <row r="178" ht="14.25" customHeight="1">
      <c r="A178" s="34">
        <v>46303.0</v>
      </c>
      <c r="B178" s="42" t="s">
        <v>97</v>
      </c>
      <c r="C178" s="49">
        <v>90.0</v>
      </c>
      <c r="D178" s="42"/>
      <c r="E178" s="42"/>
      <c r="G178" s="57"/>
      <c r="H178" s="58"/>
    </row>
    <row r="179" ht="14.25" customHeight="1">
      <c r="A179" s="34">
        <v>46303.0</v>
      </c>
      <c r="B179" s="42" t="s">
        <v>98</v>
      </c>
      <c r="C179" s="49">
        <v>119.8</v>
      </c>
      <c r="D179" s="42"/>
      <c r="E179" s="42"/>
      <c r="G179" s="57"/>
      <c r="H179" s="58"/>
    </row>
    <row r="180" ht="14.25" customHeight="1">
      <c r="A180" s="34">
        <v>46305.0</v>
      </c>
      <c r="B180" s="35" t="s">
        <v>76</v>
      </c>
      <c r="C180" s="49">
        <v>65.0</v>
      </c>
      <c r="D180" s="42"/>
      <c r="E180" s="42"/>
      <c r="G180" s="57"/>
      <c r="H180" s="58"/>
    </row>
    <row r="181" ht="14.25" customHeight="1">
      <c r="A181" s="34">
        <v>46306.0</v>
      </c>
      <c r="B181" s="42" t="s">
        <v>42</v>
      </c>
      <c r="C181" s="49">
        <v>95.12</v>
      </c>
      <c r="D181" s="42"/>
      <c r="E181" s="42"/>
      <c r="G181" s="57"/>
      <c r="H181" s="58"/>
    </row>
    <row r="182" ht="14.25" customHeight="1">
      <c r="A182" s="34">
        <v>46307.0</v>
      </c>
      <c r="B182" s="43" t="s">
        <v>63</v>
      </c>
      <c r="C182" s="49">
        <v>981.95</v>
      </c>
      <c r="D182" s="42"/>
      <c r="E182" s="42"/>
      <c r="G182" s="57"/>
      <c r="H182" s="58"/>
    </row>
    <row r="183" ht="14.25" customHeight="1">
      <c r="A183" s="34">
        <v>46307.0</v>
      </c>
      <c r="B183" s="42" t="s">
        <v>70</v>
      </c>
      <c r="C183" s="49">
        <v>2831.4</v>
      </c>
      <c r="D183" s="42"/>
      <c r="E183" s="42"/>
      <c r="G183" s="57"/>
      <c r="H183" s="58"/>
    </row>
    <row r="184" ht="14.25" customHeight="1">
      <c r="A184" s="46">
        <v>46307.0</v>
      </c>
      <c r="B184" s="43" t="s">
        <v>56</v>
      </c>
      <c r="C184" s="49">
        <v>50.0</v>
      </c>
      <c r="D184" s="42"/>
      <c r="E184" s="42"/>
      <c r="G184" s="57"/>
      <c r="H184" s="58"/>
    </row>
    <row r="185" ht="14.25" customHeight="1">
      <c r="A185" s="34">
        <v>46310.0</v>
      </c>
      <c r="B185" s="43" t="s">
        <v>62</v>
      </c>
      <c r="C185" s="49">
        <v>132.4</v>
      </c>
      <c r="D185" s="42"/>
      <c r="E185" s="42"/>
      <c r="G185" s="57"/>
      <c r="H185" s="58"/>
    </row>
    <row r="186" ht="14.25" customHeight="1">
      <c r="A186" s="34">
        <v>46315.0</v>
      </c>
      <c r="B186" s="35" t="s">
        <v>36</v>
      </c>
      <c r="C186" s="49">
        <v>6000.0</v>
      </c>
      <c r="D186" s="42"/>
      <c r="E186" s="42"/>
      <c r="G186" s="57"/>
      <c r="H186" s="58"/>
    </row>
    <row r="187" ht="14.25" customHeight="1">
      <c r="A187" s="34">
        <v>46315.0</v>
      </c>
      <c r="B187" s="43" t="s">
        <v>54</v>
      </c>
      <c r="C187" s="49">
        <v>113.31</v>
      </c>
      <c r="D187" s="42"/>
      <c r="E187" s="42"/>
      <c r="G187" s="57"/>
      <c r="H187" s="58"/>
    </row>
    <row r="188" ht="14.25" customHeight="1">
      <c r="A188" s="46">
        <v>46325.0</v>
      </c>
      <c r="B188" s="43" t="s">
        <v>92</v>
      </c>
      <c r="C188" s="47">
        <v>400.0</v>
      </c>
      <c r="D188" s="35"/>
      <c r="E188" s="35"/>
      <c r="G188" s="57"/>
      <c r="H188" s="58"/>
    </row>
    <row r="189" ht="14.25" customHeight="1">
      <c r="A189" s="34">
        <v>46328.0</v>
      </c>
      <c r="B189" s="42" t="s">
        <v>40</v>
      </c>
      <c r="C189" s="49">
        <v>2200.0</v>
      </c>
      <c r="D189" s="42"/>
      <c r="E189" s="42"/>
      <c r="G189" s="57"/>
      <c r="H189" s="58"/>
    </row>
    <row r="190" ht="14.25" customHeight="1">
      <c r="A190" s="34">
        <v>46332.0</v>
      </c>
      <c r="B190" s="43" t="s">
        <v>60</v>
      </c>
      <c r="C190" s="49">
        <v>950.0</v>
      </c>
      <c r="D190" s="42"/>
      <c r="E190" s="42"/>
      <c r="G190" s="57"/>
      <c r="H190" s="58"/>
    </row>
    <row r="191" ht="14.25" customHeight="1">
      <c r="A191" s="46">
        <v>46333.0</v>
      </c>
      <c r="B191" s="43" t="s">
        <v>44</v>
      </c>
      <c r="C191" s="47">
        <v>110.0</v>
      </c>
      <c r="D191" s="42"/>
      <c r="E191" s="42"/>
      <c r="G191" s="57"/>
      <c r="H191" s="58"/>
    </row>
    <row r="192" ht="14.25" customHeight="1">
      <c r="A192" s="34">
        <v>46335.0</v>
      </c>
      <c r="B192" s="42" t="s">
        <v>97</v>
      </c>
      <c r="C192" s="49">
        <v>90.0</v>
      </c>
      <c r="D192" s="42"/>
      <c r="E192" s="42"/>
      <c r="G192" s="57"/>
      <c r="H192" s="58"/>
    </row>
    <row r="193" ht="14.25" customHeight="1">
      <c r="A193" s="34">
        <v>46336.0</v>
      </c>
      <c r="B193" s="35" t="s">
        <v>76</v>
      </c>
      <c r="C193" s="49">
        <v>65.0</v>
      </c>
      <c r="D193" s="42"/>
      <c r="E193" s="42"/>
      <c r="G193" s="57"/>
      <c r="H193" s="58"/>
    </row>
    <row r="194" ht="14.25" customHeight="1">
      <c r="A194" s="34">
        <v>46337.0</v>
      </c>
      <c r="B194" s="42" t="s">
        <v>42</v>
      </c>
      <c r="C194" s="49">
        <v>95.12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63</v>
      </c>
      <c r="C195" s="49">
        <v>981.95</v>
      </c>
      <c r="D195" s="42"/>
      <c r="E195" s="42"/>
      <c r="G195" s="57"/>
      <c r="H195" s="58"/>
    </row>
    <row r="196" ht="14.25" customHeight="1">
      <c r="A196" s="34">
        <v>46338.0</v>
      </c>
      <c r="B196" s="42" t="s">
        <v>70</v>
      </c>
      <c r="C196" s="49">
        <v>2831.4</v>
      </c>
      <c r="D196" s="42"/>
      <c r="E196" s="42"/>
      <c r="G196" s="57"/>
      <c r="H196" s="58"/>
    </row>
    <row r="197" ht="14.25" customHeight="1">
      <c r="A197" s="34">
        <v>46338.0</v>
      </c>
      <c r="B197" s="43" t="s">
        <v>56</v>
      </c>
      <c r="C197" s="49">
        <v>50.0</v>
      </c>
      <c r="D197" s="42"/>
      <c r="E197" s="42"/>
      <c r="G197" s="57"/>
      <c r="H197" s="58"/>
    </row>
    <row r="198" ht="14.25" customHeight="1">
      <c r="A198" s="34">
        <v>46341.0</v>
      </c>
      <c r="B198" s="43" t="s">
        <v>62</v>
      </c>
      <c r="C198" s="49">
        <v>132.4</v>
      </c>
      <c r="D198" s="42"/>
      <c r="E198" s="42"/>
      <c r="G198" s="57"/>
      <c r="H198" s="58"/>
    </row>
    <row r="199" ht="14.25" customHeight="1">
      <c r="A199" s="34">
        <v>46346.0</v>
      </c>
      <c r="B199" s="35" t="s">
        <v>36</v>
      </c>
      <c r="C199" s="49">
        <v>5750.0</v>
      </c>
      <c r="D199" s="42"/>
      <c r="E199" s="42"/>
      <c r="G199" s="57"/>
      <c r="H199" s="58"/>
    </row>
    <row r="200" ht="14.25" customHeight="1">
      <c r="A200" s="34">
        <v>46346.0</v>
      </c>
      <c r="B200" s="43" t="s">
        <v>54</v>
      </c>
      <c r="C200" s="49">
        <v>113.31</v>
      </c>
      <c r="D200" s="42"/>
      <c r="E200" s="42"/>
      <c r="G200" s="57"/>
      <c r="H200" s="58"/>
    </row>
    <row r="201" ht="14.25" customHeight="1">
      <c r="A201" s="46">
        <v>46356.0</v>
      </c>
      <c r="B201" s="43" t="s">
        <v>92</v>
      </c>
      <c r="C201" s="47">
        <v>400.0</v>
      </c>
      <c r="D201" s="35"/>
      <c r="E201" s="35"/>
      <c r="G201" s="57"/>
      <c r="H201" s="58"/>
    </row>
    <row r="202" ht="14.25" customHeight="1">
      <c r="A202" s="34">
        <v>46358.0</v>
      </c>
      <c r="B202" s="42" t="s">
        <v>40</v>
      </c>
      <c r="C202" s="49">
        <v>1880.0</v>
      </c>
      <c r="D202" s="42"/>
      <c r="E202" s="42"/>
      <c r="G202" s="57"/>
      <c r="H202" s="58"/>
    </row>
    <row r="203" ht="14.25" customHeight="1">
      <c r="A203" s="34">
        <v>46362.0</v>
      </c>
      <c r="B203" s="43" t="s">
        <v>60</v>
      </c>
      <c r="C203" s="49">
        <v>950.0</v>
      </c>
      <c r="D203" s="42"/>
      <c r="E203" s="42"/>
      <c r="G203" s="57"/>
      <c r="H203" s="58"/>
    </row>
    <row r="204" ht="14.25" customHeight="1">
      <c r="A204" s="46">
        <v>46363.0</v>
      </c>
      <c r="B204" s="43" t="s">
        <v>44</v>
      </c>
      <c r="C204" s="47">
        <v>110.0</v>
      </c>
      <c r="D204" s="42"/>
      <c r="E204" s="42"/>
      <c r="G204" s="57"/>
      <c r="H204" s="58"/>
    </row>
    <row r="205" ht="14.25" customHeight="1">
      <c r="A205" s="34">
        <v>46365.0</v>
      </c>
      <c r="B205" s="42" t="s">
        <v>65</v>
      </c>
      <c r="C205" s="49">
        <v>530.0</v>
      </c>
      <c r="D205" s="42"/>
      <c r="E205" s="42"/>
      <c r="G205" s="57"/>
      <c r="H205" s="58"/>
    </row>
    <row r="206" ht="14.25" customHeight="1">
      <c r="A206" s="34">
        <v>46366.0</v>
      </c>
      <c r="B206" s="35" t="s">
        <v>76</v>
      </c>
      <c r="C206" s="49">
        <v>65.0</v>
      </c>
      <c r="D206" s="42"/>
      <c r="E206" s="42"/>
      <c r="G206" s="57"/>
      <c r="H206" s="58"/>
    </row>
    <row r="207" ht="14.25" customHeight="1">
      <c r="A207" s="34">
        <v>46367.0</v>
      </c>
      <c r="B207" s="42" t="s">
        <v>42</v>
      </c>
      <c r="C207" s="49">
        <v>95.12</v>
      </c>
      <c r="D207" s="42"/>
      <c r="E207" s="42"/>
      <c r="G207" s="57"/>
      <c r="H207" s="58"/>
    </row>
    <row r="208" ht="14.25" customHeight="1">
      <c r="A208" s="34">
        <v>46367.0</v>
      </c>
      <c r="B208" s="42" t="s">
        <v>99</v>
      </c>
      <c r="C208" s="49">
        <v>2900.0</v>
      </c>
      <c r="D208" s="42"/>
      <c r="E208" s="42"/>
      <c r="G208" s="57"/>
      <c r="H208" s="58"/>
    </row>
    <row r="209" ht="14.25" customHeight="1">
      <c r="A209" s="34">
        <v>46368.0</v>
      </c>
      <c r="B209" s="43" t="s">
        <v>63</v>
      </c>
      <c r="C209" s="49">
        <v>981.95</v>
      </c>
      <c r="D209" s="42"/>
      <c r="E209" s="42"/>
      <c r="G209" s="57"/>
      <c r="H209" s="58"/>
    </row>
    <row r="210" ht="14.25" customHeight="1">
      <c r="A210" s="34">
        <v>46368.0</v>
      </c>
      <c r="B210" s="42" t="s">
        <v>70</v>
      </c>
      <c r="C210" s="49">
        <v>2831.4</v>
      </c>
      <c r="D210" s="42"/>
      <c r="E210" s="42"/>
      <c r="G210" s="57"/>
      <c r="H210" s="58"/>
    </row>
    <row r="211" ht="14.25" customHeight="1">
      <c r="A211" s="46">
        <v>46368.0</v>
      </c>
      <c r="B211" s="43" t="s">
        <v>56</v>
      </c>
      <c r="C211" s="49">
        <v>50.0</v>
      </c>
      <c r="D211" s="42"/>
      <c r="E211" s="42"/>
      <c r="G211" s="57"/>
      <c r="H211" s="58"/>
    </row>
    <row r="212" ht="14.25" customHeight="1">
      <c r="A212" s="34">
        <v>46371.0</v>
      </c>
      <c r="B212" s="43" t="s">
        <v>62</v>
      </c>
      <c r="C212" s="49">
        <v>132.4</v>
      </c>
      <c r="D212" s="42"/>
      <c r="E212" s="42"/>
      <c r="G212" s="57"/>
      <c r="H212" s="58"/>
    </row>
    <row r="213" ht="14.25" customHeight="1">
      <c r="A213" s="34">
        <v>46376.0</v>
      </c>
      <c r="B213" s="35" t="s">
        <v>36</v>
      </c>
      <c r="C213" s="49">
        <v>6250.0</v>
      </c>
      <c r="D213" s="42"/>
      <c r="E213" s="42"/>
      <c r="G213" s="57"/>
      <c r="H213" s="58"/>
    </row>
    <row r="214" ht="14.25" customHeight="1">
      <c r="A214" s="46">
        <v>46376.0</v>
      </c>
      <c r="B214" s="43" t="s">
        <v>54</v>
      </c>
      <c r="C214" s="49">
        <v>113.31</v>
      </c>
      <c r="D214" s="42"/>
      <c r="E214" s="42"/>
      <c r="G214" s="57"/>
      <c r="H214" s="58"/>
    </row>
    <row r="215" ht="14.25" customHeight="1">
      <c r="A215" s="34">
        <v>46389.0</v>
      </c>
      <c r="B215" s="42" t="s">
        <v>40</v>
      </c>
      <c r="C215" s="49">
        <v>2000.0</v>
      </c>
      <c r="D215" s="42"/>
      <c r="E215" s="42"/>
      <c r="G215" s="57"/>
      <c r="H215" s="58"/>
    </row>
    <row r="216" ht="14.25" customHeight="1">
      <c r="A216" s="34">
        <v>46393.0</v>
      </c>
      <c r="B216" s="43" t="s">
        <v>60</v>
      </c>
      <c r="C216" s="49">
        <v>950.0</v>
      </c>
      <c r="D216" s="42"/>
      <c r="E216" s="42"/>
      <c r="G216" s="57"/>
      <c r="H216" s="58"/>
    </row>
    <row r="217" ht="14.25" customHeight="1">
      <c r="A217" s="46">
        <v>46394.0</v>
      </c>
      <c r="B217" s="43" t="s">
        <v>44</v>
      </c>
      <c r="C217" s="47">
        <v>110.0</v>
      </c>
      <c r="D217" s="42"/>
      <c r="E217" s="42"/>
      <c r="G217" s="57"/>
      <c r="H217" s="58"/>
    </row>
    <row r="218" ht="14.25" customHeight="1">
      <c r="A218" s="34">
        <v>46397.0</v>
      </c>
      <c r="B218" s="35" t="s">
        <v>76</v>
      </c>
      <c r="C218" s="49">
        <v>65.0</v>
      </c>
      <c r="D218" s="42"/>
      <c r="E218" s="42"/>
      <c r="G218" s="57"/>
      <c r="H218" s="58"/>
    </row>
    <row r="219" ht="14.25" customHeight="1">
      <c r="A219" s="34">
        <v>46398.0</v>
      </c>
      <c r="B219" s="42" t="s">
        <v>42</v>
      </c>
      <c r="C219" s="49">
        <v>105.37</v>
      </c>
      <c r="D219" s="42"/>
      <c r="E219" s="42"/>
      <c r="G219" s="57"/>
      <c r="H219" s="58"/>
    </row>
    <row r="220" ht="14.25" customHeight="1">
      <c r="A220" s="34">
        <v>46399.0</v>
      </c>
      <c r="B220" s="43" t="s">
        <v>63</v>
      </c>
      <c r="C220" s="49">
        <v>983.13</v>
      </c>
      <c r="D220" s="42"/>
      <c r="E220" s="42"/>
      <c r="G220" s="57"/>
      <c r="H220" s="58"/>
    </row>
    <row r="221" ht="14.25" customHeight="1">
      <c r="A221" s="34">
        <v>46399.0</v>
      </c>
      <c r="B221" s="43" t="s">
        <v>56</v>
      </c>
      <c r="C221" s="49">
        <v>50.0</v>
      </c>
      <c r="D221" s="42"/>
      <c r="E221" s="42"/>
      <c r="G221" s="57"/>
      <c r="H221" s="58"/>
    </row>
    <row r="222" ht="14.25" customHeight="1">
      <c r="A222" s="34">
        <v>46402.0</v>
      </c>
      <c r="B222" s="43" t="s">
        <v>62</v>
      </c>
      <c r="C222" s="49">
        <v>132.4</v>
      </c>
      <c r="D222" s="42"/>
      <c r="E222" s="42"/>
      <c r="G222" s="57"/>
      <c r="H222" s="58"/>
    </row>
    <row r="223" ht="14.25" customHeight="1">
      <c r="A223" s="34">
        <v>46407.0</v>
      </c>
      <c r="B223" s="35" t="s">
        <v>36</v>
      </c>
      <c r="C223" s="49">
        <v>7796.0</v>
      </c>
      <c r="D223" s="42"/>
      <c r="E223" s="42"/>
      <c r="G223" s="57"/>
      <c r="H223" s="58"/>
    </row>
    <row r="224" ht="14.25" customHeight="1">
      <c r="A224" s="34">
        <v>46407.0</v>
      </c>
      <c r="B224" s="43" t="s">
        <v>54</v>
      </c>
      <c r="C224" s="49">
        <v>102.36</v>
      </c>
      <c r="D224" s="42"/>
      <c r="E224" s="42"/>
      <c r="G224" s="57"/>
      <c r="H224" s="58"/>
    </row>
    <row r="225" ht="14.25" customHeight="1">
      <c r="A225" s="34">
        <v>46420.0</v>
      </c>
      <c r="B225" s="42" t="s">
        <v>40</v>
      </c>
      <c r="C225" s="49">
        <v>1800.0</v>
      </c>
      <c r="D225" s="42"/>
      <c r="E225" s="42"/>
      <c r="G225" s="57"/>
      <c r="H225" s="58"/>
    </row>
    <row r="226" ht="14.25" customHeight="1">
      <c r="A226" s="34">
        <v>46424.0</v>
      </c>
      <c r="B226" s="43" t="s">
        <v>60</v>
      </c>
      <c r="C226" s="49">
        <v>950.0</v>
      </c>
      <c r="D226" s="42"/>
      <c r="E226" s="42"/>
      <c r="G226" s="57"/>
      <c r="H226" s="58"/>
    </row>
    <row r="227" ht="14.25" customHeight="1">
      <c r="A227" s="46">
        <v>46425.0</v>
      </c>
      <c r="B227" s="43" t="s">
        <v>44</v>
      </c>
      <c r="C227" s="47">
        <v>110.0</v>
      </c>
      <c r="D227" s="42"/>
      <c r="E227" s="42"/>
      <c r="G227" s="57"/>
      <c r="H227" s="58"/>
    </row>
    <row r="228" ht="14.25" customHeight="1">
      <c r="A228" s="34">
        <v>46428.0</v>
      </c>
      <c r="B228" s="35" t="s">
        <v>76</v>
      </c>
      <c r="C228" s="49">
        <v>65.0</v>
      </c>
      <c r="D228" s="42"/>
      <c r="E228" s="42"/>
      <c r="G228" s="57"/>
      <c r="H228" s="58"/>
    </row>
    <row r="229" ht="14.25" customHeight="1">
      <c r="A229" s="34">
        <v>46428.0</v>
      </c>
      <c r="B229" s="42" t="s">
        <v>65</v>
      </c>
      <c r="C229" s="49">
        <v>530.0</v>
      </c>
      <c r="D229" s="42"/>
      <c r="E229" s="42"/>
      <c r="G229" s="57"/>
      <c r="H229" s="58"/>
    </row>
    <row r="230" ht="14.25" customHeight="1">
      <c r="A230" s="34">
        <v>46429.0</v>
      </c>
      <c r="B230" s="42" t="s">
        <v>42</v>
      </c>
      <c r="C230" s="49">
        <v>95.12</v>
      </c>
      <c r="D230" s="42"/>
      <c r="E230" s="42"/>
      <c r="G230" s="57"/>
      <c r="H230" s="58"/>
    </row>
    <row r="231" ht="14.25" customHeight="1">
      <c r="A231" s="34">
        <v>46430.0</v>
      </c>
      <c r="B231" s="43" t="s">
        <v>63</v>
      </c>
      <c r="C231" s="49">
        <v>981.95</v>
      </c>
      <c r="D231" s="42"/>
      <c r="E231" s="42"/>
      <c r="G231" s="57"/>
      <c r="H231" s="58"/>
    </row>
    <row r="232" ht="14.25" customHeight="1">
      <c r="A232" s="34">
        <v>46430.0</v>
      </c>
      <c r="B232" s="42" t="s">
        <v>70</v>
      </c>
      <c r="C232" s="49">
        <v>2831.4</v>
      </c>
      <c r="D232" s="42"/>
      <c r="E232" s="42"/>
      <c r="G232" s="57"/>
      <c r="H232" s="58"/>
    </row>
    <row r="233" ht="14.25" customHeight="1">
      <c r="A233" s="34">
        <v>46430.0</v>
      </c>
      <c r="B233" s="42" t="s">
        <v>68</v>
      </c>
      <c r="C233" s="49">
        <v>1407.65</v>
      </c>
      <c r="D233" s="42"/>
      <c r="E233" s="42"/>
      <c r="G233" s="57"/>
      <c r="H233" s="58"/>
    </row>
    <row r="234" ht="14.25" customHeight="1">
      <c r="A234" s="46">
        <v>46430.0</v>
      </c>
      <c r="B234" s="43" t="s">
        <v>56</v>
      </c>
      <c r="C234" s="49">
        <v>50.0</v>
      </c>
      <c r="D234" s="42"/>
      <c r="E234" s="35"/>
      <c r="G234" s="57"/>
      <c r="H234" s="58"/>
    </row>
    <row r="235" ht="14.25" customHeight="1">
      <c r="A235" s="34">
        <v>46433.0</v>
      </c>
      <c r="B235" s="43" t="s">
        <v>62</v>
      </c>
      <c r="C235" s="49">
        <v>132.4</v>
      </c>
      <c r="D235" s="42"/>
      <c r="E235" s="42"/>
      <c r="G235" s="57"/>
      <c r="H235" s="58"/>
    </row>
    <row r="236" ht="14.25" customHeight="1">
      <c r="A236" s="34">
        <v>46437.0</v>
      </c>
      <c r="B236" s="42" t="s">
        <v>69</v>
      </c>
      <c r="C236" s="49">
        <v>460.0</v>
      </c>
      <c r="D236" s="42"/>
      <c r="E236" s="42"/>
      <c r="G236" s="57"/>
      <c r="H236" s="58"/>
    </row>
    <row r="237" ht="14.25" customHeight="1">
      <c r="A237" s="34">
        <v>46438.0</v>
      </c>
      <c r="B237" s="35" t="s">
        <v>36</v>
      </c>
      <c r="C237" s="49">
        <v>6004.07</v>
      </c>
      <c r="D237" s="42"/>
      <c r="E237" s="42"/>
      <c r="G237" s="57"/>
      <c r="H237" s="58"/>
    </row>
    <row r="238" ht="14.25" customHeight="1">
      <c r="A238" s="46">
        <v>46438.0</v>
      </c>
      <c r="B238" s="43" t="s">
        <v>54</v>
      </c>
      <c r="C238" s="49">
        <v>113.31</v>
      </c>
      <c r="D238" s="42"/>
      <c r="E238" s="42"/>
      <c r="G238" s="57"/>
      <c r="H238" s="58"/>
    </row>
    <row r="239" ht="14.25" customHeight="1">
      <c r="A239" s="34">
        <v>46448.0</v>
      </c>
      <c r="B239" s="42" t="s">
        <v>40</v>
      </c>
      <c r="C239" s="49">
        <v>1771.95</v>
      </c>
      <c r="D239" s="42"/>
      <c r="E239" s="42"/>
      <c r="G239" s="57"/>
      <c r="H239" s="58"/>
    </row>
    <row r="240" ht="14.25" customHeight="1">
      <c r="A240" s="34">
        <v>46451.0</v>
      </c>
      <c r="B240" s="42" t="s">
        <v>75</v>
      </c>
      <c r="C240" s="49">
        <v>81.8</v>
      </c>
      <c r="D240" s="42"/>
      <c r="E240" s="42"/>
      <c r="G240" s="57"/>
      <c r="H240" s="58"/>
    </row>
    <row r="241" ht="14.25" customHeight="1">
      <c r="A241" s="34">
        <v>46452.0</v>
      </c>
      <c r="B241" s="43" t="s">
        <v>60</v>
      </c>
      <c r="C241" s="49">
        <v>950.0</v>
      </c>
      <c r="D241" s="42"/>
      <c r="E241" s="42"/>
      <c r="G241" s="57"/>
      <c r="H241" s="58"/>
    </row>
    <row r="242" ht="14.25" customHeight="1">
      <c r="A242" s="46">
        <v>46453.0</v>
      </c>
      <c r="B242" s="43" t="s">
        <v>44</v>
      </c>
      <c r="C242" s="47">
        <v>110.0</v>
      </c>
      <c r="D242" s="42"/>
      <c r="E242" s="42"/>
      <c r="G242" s="57"/>
      <c r="H242" s="58"/>
    </row>
    <row r="243" ht="14.25" customHeight="1">
      <c r="A243" s="34">
        <v>46456.0</v>
      </c>
      <c r="B243" s="35" t="s">
        <v>50</v>
      </c>
      <c r="C243" s="49">
        <v>1336.73</v>
      </c>
      <c r="D243" s="42"/>
      <c r="E243" s="42"/>
      <c r="G243" s="57"/>
      <c r="H243" s="58"/>
    </row>
    <row r="244" ht="14.25" customHeight="1">
      <c r="A244" s="34">
        <v>46456.0</v>
      </c>
      <c r="B244" s="35" t="s">
        <v>76</v>
      </c>
      <c r="C244" s="49">
        <v>65.0</v>
      </c>
      <c r="D244" s="42"/>
      <c r="E244" s="42"/>
      <c r="G244" s="57"/>
      <c r="H244" s="58"/>
    </row>
    <row r="245" ht="14.25" customHeight="1">
      <c r="A245" s="34">
        <v>46457.0</v>
      </c>
      <c r="B245" s="42" t="s">
        <v>42</v>
      </c>
      <c r="C245" s="49">
        <v>86.15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63</v>
      </c>
      <c r="C246" s="49">
        <v>981.22</v>
      </c>
      <c r="D246" s="42"/>
      <c r="E246" s="42"/>
      <c r="G246" s="57"/>
      <c r="H246" s="58"/>
    </row>
    <row r="247" ht="14.25" customHeight="1">
      <c r="A247" s="34">
        <v>46458.0</v>
      </c>
      <c r="B247" s="42" t="s">
        <v>70</v>
      </c>
      <c r="C247" s="49">
        <v>2831.4</v>
      </c>
      <c r="D247" s="42"/>
      <c r="E247" s="42"/>
      <c r="G247" s="57"/>
      <c r="H247" s="58"/>
    </row>
    <row r="248" ht="14.25" customHeight="1">
      <c r="A248" s="34">
        <v>46458.0</v>
      </c>
      <c r="B248" s="43" t="s">
        <v>56</v>
      </c>
      <c r="C248" s="49">
        <v>50.0</v>
      </c>
      <c r="D248" s="42"/>
      <c r="E248" s="42"/>
      <c r="G248" s="57"/>
      <c r="H248" s="58"/>
    </row>
    <row r="249" ht="14.25" customHeight="1">
      <c r="A249" s="34">
        <v>46461.0</v>
      </c>
      <c r="B249" s="43" t="s">
        <v>62</v>
      </c>
      <c r="C249" s="49">
        <v>132.4</v>
      </c>
      <c r="D249" s="42"/>
      <c r="E249" s="42"/>
      <c r="G249" s="57"/>
      <c r="H249" s="58"/>
    </row>
    <row r="250" ht="14.25" customHeight="1">
      <c r="A250" s="34">
        <v>46466.0</v>
      </c>
      <c r="B250" s="35" t="s">
        <v>36</v>
      </c>
      <c r="C250" s="49">
        <v>7494.55</v>
      </c>
      <c r="D250" s="42"/>
      <c r="E250" s="42"/>
      <c r="G250" s="57"/>
      <c r="H250" s="58"/>
    </row>
    <row r="251" ht="14.25" customHeight="1">
      <c r="A251" s="34">
        <v>46466.0</v>
      </c>
      <c r="B251" s="43" t="s">
        <v>54</v>
      </c>
      <c r="C251" s="49">
        <v>87.84</v>
      </c>
      <c r="D251" s="42"/>
      <c r="E251" s="42"/>
      <c r="G251" s="57"/>
      <c r="H251" s="58"/>
    </row>
    <row r="252" ht="14.25" customHeight="1">
      <c r="A252" s="34">
        <v>46477.0</v>
      </c>
      <c r="B252" s="42" t="s">
        <v>79</v>
      </c>
      <c r="C252" s="49">
        <v>35.62</v>
      </c>
      <c r="D252" s="42"/>
      <c r="E252" s="42"/>
      <c r="G252" s="57"/>
      <c r="H252" s="58"/>
    </row>
    <row r="253" ht="14.25" customHeight="1">
      <c r="A253" s="34">
        <v>46479.0</v>
      </c>
      <c r="B253" s="42" t="s">
        <v>40</v>
      </c>
      <c r="C253" s="49">
        <v>5310.25</v>
      </c>
      <c r="D253" s="42"/>
      <c r="E253" s="42"/>
      <c r="G253" s="57"/>
      <c r="H253" s="58"/>
    </row>
    <row r="254" ht="14.25" customHeight="1">
      <c r="A254" s="34">
        <v>46483.0</v>
      </c>
      <c r="B254" s="43" t="s">
        <v>60</v>
      </c>
      <c r="C254" s="49">
        <v>950.0</v>
      </c>
      <c r="D254" s="42"/>
      <c r="E254" s="42"/>
      <c r="G254" s="57"/>
      <c r="H254" s="58"/>
    </row>
    <row r="255" ht="14.25" customHeight="1">
      <c r="A255" s="46">
        <v>46484.0</v>
      </c>
      <c r="B255" s="43" t="s">
        <v>44</v>
      </c>
      <c r="C255" s="47">
        <v>110.0</v>
      </c>
      <c r="D255" s="42"/>
      <c r="E255" s="42"/>
      <c r="G255" s="57"/>
      <c r="H255" s="58"/>
    </row>
    <row r="256" ht="14.25" customHeight="1">
      <c r="A256" s="34">
        <v>46487.0</v>
      </c>
      <c r="B256" s="35" t="s">
        <v>76</v>
      </c>
      <c r="C256" s="49">
        <v>65.0</v>
      </c>
      <c r="D256" s="42"/>
      <c r="E256" s="42"/>
      <c r="G256" s="57"/>
      <c r="H256" s="58"/>
    </row>
    <row r="257" ht="14.25" customHeight="1">
      <c r="A257" s="34">
        <v>46488.0</v>
      </c>
      <c r="B257" s="42" t="s">
        <v>42</v>
      </c>
      <c r="C257" s="49">
        <v>98.98</v>
      </c>
      <c r="D257" s="42"/>
      <c r="E257" s="42"/>
      <c r="G257" s="57"/>
      <c r="H257" s="58"/>
    </row>
    <row r="258" ht="14.25" customHeight="1">
      <c r="A258" s="34">
        <v>46489.0</v>
      </c>
      <c r="B258" s="43" t="s">
        <v>63</v>
      </c>
      <c r="C258" s="49">
        <v>981.22</v>
      </c>
      <c r="D258" s="42"/>
      <c r="E258" s="42"/>
      <c r="G258" s="57"/>
      <c r="H258" s="58"/>
    </row>
    <row r="259" ht="14.25" customHeight="1">
      <c r="A259" s="34">
        <v>46489.0</v>
      </c>
      <c r="B259" s="42" t="s">
        <v>70</v>
      </c>
      <c r="C259" s="49">
        <v>2831.4</v>
      </c>
      <c r="D259" s="42"/>
      <c r="E259" s="42"/>
      <c r="G259" s="57"/>
      <c r="H259" s="58"/>
    </row>
    <row r="260" ht="14.25" customHeight="1">
      <c r="A260" s="46">
        <v>46489.0</v>
      </c>
      <c r="B260" s="43" t="s">
        <v>56</v>
      </c>
      <c r="C260" s="49">
        <v>50.0</v>
      </c>
      <c r="D260" s="42"/>
      <c r="E260" s="42"/>
      <c r="G260" s="57"/>
      <c r="H260" s="58"/>
    </row>
    <row r="261" ht="14.25" customHeight="1">
      <c r="A261" s="34">
        <v>46492.0</v>
      </c>
      <c r="B261" s="43" t="s">
        <v>62</v>
      </c>
      <c r="C261" s="49">
        <v>132.4</v>
      </c>
      <c r="D261" s="42"/>
      <c r="E261" s="42"/>
      <c r="G261" s="57"/>
      <c r="H261" s="58"/>
    </row>
    <row r="262" ht="14.25" customHeight="1">
      <c r="A262" s="34">
        <v>46497.0</v>
      </c>
      <c r="B262" s="35" t="s">
        <v>36</v>
      </c>
      <c r="C262" s="47">
        <v>6350.0</v>
      </c>
      <c r="D262" s="42"/>
      <c r="E262" s="42"/>
      <c r="G262" s="57"/>
      <c r="H262" s="58"/>
    </row>
    <row r="263" ht="14.25" customHeight="1">
      <c r="A263" s="46">
        <v>46497.0</v>
      </c>
      <c r="B263" s="43" t="s">
        <v>54</v>
      </c>
      <c r="C263" s="47">
        <v>113.8</v>
      </c>
      <c r="D263" s="42"/>
      <c r="E263" s="42"/>
      <c r="G263" s="57"/>
      <c r="H263" s="58"/>
    </row>
    <row r="264" ht="14.25" customHeight="1">
      <c r="A264" s="46">
        <v>46507.0</v>
      </c>
      <c r="B264" s="42" t="s">
        <v>65</v>
      </c>
      <c r="C264" s="49">
        <v>530.0</v>
      </c>
      <c r="D264" s="42"/>
      <c r="E264" s="42"/>
      <c r="G264" s="57"/>
      <c r="H264" s="58"/>
    </row>
    <row r="265" ht="14.25" customHeight="1">
      <c r="A265" s="34">
        <v>46509.0</v>
      </c>
      <c r="B265" s="42" t="s">
        <v>40</v>
      </c>
      <c r="C265" s="47">
        <v>3452.5</v>
      </c>
      <c r="D265" s="42"/>
      <c r="E265" s="42"/>
      <c r="G265" s="57"/>
      <c r="H265" s="58"/>
    </row>
    <row r="266" ht="14.25" customHeight="1">
      <c r="A266" s="34">
        <v>46513.0</v>
      </c>
      <c r="B266" s="43" t="s">
        <v>60</v>
      </c>
      <c r="C266" s="49">
        <v>950.0</v>
      </c>
      <c r="D266" s="42"/>
      <c r="E266" s="42"/>
      <c r="G266" s="57"/>
      <c r="H266" s="58"/>
    </row>
    <row r="267" ht="14.25" customHeight="1">
      <c r="A267" s="46">
        <v>46514.0</v>
      </c>
      <c r="B267" s="43" t="s">
        <v>44</v>
      </c>
      <c r="C267" s="47">
        <v>110.0</v>
      </c>
      <c r="D267" s="42"/>
      <c r="E267" s="42"/>
      <c r="G267" s="57"/>
      <c r="H267" s="58"/>
    </row>
    <row r="268" ht="14.25" customHeight="1">
      <c r="A268" s="34">
        <v>46517.0</v>
      </c>
      <c r="B268" s="35" t="s">
        <v>76</v>
      </c>
      <c r="C268" s="49">
        <v>65.0</v>
      </c>
      <c r="D268" s="42"/>
      <c r="E268" s="42"/>
      <c r="G268" s="57"/>
      <c r="H268" s="58"/>
    </row>
    <row r="269" ht="14.25" customHeight="1">
      <c r="A269" s="34">
        <v>46518.0</v>
      </c>
      <c r="B269" s="42" t="s">
        <v>42</v>
      </c>
      <c r="C269" s="47">
        <v>98.88</v>
      </c>
      <c r="D269" s="42"/>
      <c r="E269" s="42"/>
      <c r="G269" s="57"/>
      <c r="H269" s="58"/>
    </row>
    <row r="270" ht="14.25" customHeight="1">
      <c r="A270" s="34">
        <v>46519.0</v>
      </c>
      <c r="B270" s="43" t="s">
        <v>63</v>
      </c>
      <c r="C270" s="47">
        <v>980.86</v>
      </c>
      <c r="D270" s="42"/>
      <c r="E270" s="42"/>
      <c r="G270" s="57"/>
      <c r="H270" s="58"/>
    </row>
    <row r="271" ht="14.25" customHeight="1">
      <c r="A271" s="34">
        <v>46522.0</v>
      </c>
      <c r="B271" s="43" t="s">
        <v>62</v>
      </c>
      <c r="C271" s="49">
        <v>132.4</v>
      </c>
      <c r="D271" s="42"/>
      <c r="E271" s="42"/>
      <c r="G271" s="57"/>
      <c r="H271" s="58"/>
    </row>
    <row r="272" ht="14.25" customHeight="1">
      <c r="A272" s="34">
        <v>46527.0</v>
      </c>
      <c r="B272" s="35" t="s">
        <v>36</v>
      </c>
      <c r="C272" s="47">
        <v>5372.0</v>
      </c>
      <c r="D272" s="42"/>
      <c r="E272" s="42"/>
      <c r="G272" s="57"/>
      <c r="H272" s="58"/>
    </row>
    <row r="273" ht="14.25" customHeight="1">
      <c r="A273" s="46">
        <v>46527.0</v>
      </c>
      <c r="B273" s="43" t="s">
        <v>54</v>
      </c>
      <c r="C273" s="49">
        <v>113.31</v>
      </c>
      <c r="D273" s="42"/>
      <c r="E273" s="4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0"/>
      <c r="C404" s="32"/>
      <c r="G404" s="57"/>
      <c r="H404" s="58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</row>
  </sheetData>
  <autoFilter ref="$A$1:$E$273">
    <sortState ref="A1:E273">
      <sortCondition ref="A1:A273"/>
      <sortCondition ref="E1:E273"/>
      <sortCondition ref="B1:B273"/>
      <sortCondition ref="C1:C273"/>
      <sortCondition ref="D1:D27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100</v>
      </c>
      <c r="B1" s="21" t="s">
        <v>101</v>
      </c>
      <c r="C1" s="21" t="s">
        <v>21</v>
      </c>
      <c r="D1" s="21" t="s">
        <v>102</v>
      </c>
      <c r="E1" s="21" t="s">
        <v>103</v>
      </c>
      <c r="F1" s="21" t="s">
        <v>104</v>
      </c>
    </row>
    <row r="2" ht="14.25" customHeight="1">
      <c r="A2" s="66" t="s">
        <v>105</v>
      </c>
      <c r="B2" s="59" t="s">
        <v>46</v>
      </c>
      <c r="C2" s="30">
        <v>46146.0</v>
      </c>
      <c r="D2" s="30">
        <v>46147.0</v>
      </c>
      <c r="E2" s="26">
        <v>3122.53</v>
      </c>
      <c r="F2" s="67" t="s">
        <v>106</v>
      </c>
    </row>
    <row r="3" ht="14.25" customHeight="1">
      <c r="A3" s="66" t="s">
        <v>107</v>
      </c>
      <c r="B3" s="59" t="s">
        <v>108</v>
      </c>
      <c r="C3" s="30">
        <v>46146.0</v>
      </c>
      <c r="D3" s="30">
        <v>46147.0</v>
      </c>
      <c r="E3" s="26">
        <v>3119.0</v>
      </c>
      <c r="F3" s="67" t="s">
        <v>109</v>
      </c>
    </row>
    <row r="4" ht="14.25" customHeight="1">
      <c r="A4" s="66" t="s">
        <v>61</v>
      </c>
      <c r="B4" s="59" t="s">
        <v>110</v>
      </c>
      <c r="C4" s="30">
        <v>46148.0</v>
      </c>
      <c r="D4" s="30">
        <v>46148.0</v>
      </c>
      <c r="E4" s="26">
        <v>3000.0</v>
      </c>
      <c r="F4" s="67" t="s">
        <v>111</v>
      </c>
    </row>
    <row r="5" ht="14.25" customHeight="1">
      <c r="A5" s="66" t="s">
        <v>61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106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102</v>
      </c>
      <c r="D1" s="21" t="s">
        <v>113</v>
      </c>
      <c r="E1" s="21" t="s">
        <v>104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114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114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114</v>
      </c>
    </row>
    <row r="5" ht="14.25" customHeight="1">
      <c r="A5" s="66" t="s">
        <v>51</v>
      </c>
      <c r="B5" s="27">
        <v>46058.0</v>
      </c>
      <c r="C5" s="27">
        <v>46058.0</v>
      </c>
      <c r="D5" s="69">
        <v>4124.75</v>
      </c>
      <c r="E5" s="70" t="s">
        <v>114</v>
      </c>
    </row>
    <row r="6" ht="14.25" customHeight="1">
      <c r="A6" s="66" t="s">
        <v>53</v>
      </c>
      <c r="B6" s="27">
        <v>46058.0</v>
      </c>
      <c r="C6" s="27">
        <v>46058.0</v>
      </c>
      <c r="D6" s="69">
        <v>5400.0</v>
      </c>
      <c r="E6" s="70" t="s">
        <v>114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114</v>
      </c>
    </row>
    <row r="8" ht="14.25" customHeight="1">
      <c r="A8" s="66" t="s">
        <v>105</v>
      </c>
      <c r="B8" s="71">
        <v>46084.0</v>
      </c>
      <c r="C8" s="71">
        <v>46084.0</v>
      </c>
      <c r="D8" s="72">
        <v>3000.0</v>
      </c>
      <c r="E8" s="73" t="s">
        <v>115</v>
      </c>
    </row>
    <row r="9" ht="14.25" customHeight="1">
      <c r="A9" s="66" t="s">
        <v>107</v>
      </c>
      <c r="B9" s="71">
        <v>46085.0</v>
      </c>
      <c r="C9" s="71">
        <v>46085.0</v>
      </c>
      <c r="D9" s="72">
        <v>3000.0</v>
      </c>
      <c r="E9" s="73" t="s">
        <v>115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116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109</v>
      </c>
    </row>
    <row r="12" ht="14.25" customHeight="1">
      <c r="A12" s="59" t="s">
        <v>59</v>
      </c>
      <c r="B12" s="30">
        <v>46146.0</v>
      </c>
      <c r="C12" s="30">
        <v>46146.0</v>
      </c>
      <c r="D12" s="26">
        <v>7536.72</v>
      </c>
      <c r="E12" s="67" t="s">
        <v>106</v>
      </c>
    </row>
    <row r="13" ht="14.25" customHeight="1">
      <c r="A13" s="59" t="s">
        <v>45</v>
      </c>
      <c r="B13" s="30">
        <v>46150.0</v>
      </c>
      <c r="C13" s="30">
        <v>46150.0</v>
      </c>
      <c r="D13" s="26">
        <v>2800.0</v>
      </c>
      <c r="E13" s="67" t="s">
        <v>106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111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109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106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109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116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114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115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111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